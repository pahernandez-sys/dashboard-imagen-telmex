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i\Desktop\IMAGEN CASETAS Y CAJAS\NUEVA CAMPAÑA\"/>
    </mc:Choice>
  </mc:AlternateContent>
  <xr:revisionPtr revIDLastSave="0" documentId="8_{D5945333-20B4-457A-A7D8-79BF2AFD270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ograma CASETAS REPORTE DIARIO" sheetId="1" r:id="rId1"/>
    <sheet name="Programa CAJAS REPORTE DIARIO" sheetId="2" r:id="rId2"/>
  </sheets>
  <definedNames>
    <definedName name="_xlnm._FilterDatabase" localSheetId="1" hidden="1">'Programa CAJAS REPORTE DIARIO'!$A$13:$CQ$77</definedName>
    <definedName name="_xlnm._FilterDatabase" localSheetId="0" hidden="1">'Programa CASETAS REPORTE DIARIO'!$A$13:$CW$79</definedName>
    <definedName name="_xlnm.Print_Area" localSheetId="1">'Programa CAJAS REPORTE DIARIO'!$B$1:$AA$84</definedName>
    <definedName name="_xlnm.Print_Area" localSheetId="0">'Programa CASETAS REPORTE DIARIO'!$B$1:$U$86</definedName>
  </definedNames>
  <calcPr calcId="191029"/>
</workbook>
</file>

<file path=xl/calcChain.xml><?xml version="1.0" encoding="utf-8"?>
<calcChain xmlns="http://schemas.openxmlformats.org/spreadsheetml/2006/main">
  <c r="AO77" i="2" l="1"/>
  <c r="AC83" i="2"/>
  <c r="CH82" i="2"/>
  <c r="CH81" i="2"/>
  <c r="CH80" i="2"/>
  <c r="CK77" i="2"/>
  <c r="CG77" i="2"/>
  <c r="CF77" i="2"/>
  <c r="CE77" i="2"/>
  <c r="CD77" i="2"/>
  <c r="CC77" i="2"/>
  <c r="CB77" i="2"/>
  <c r="CA77" i="2"/>
  <c r="BZ77" i="2"/>
  <c r="BZ13" i="2" s="1"/>
  <c r="BY77" i="2"/>
  <c r="BX77" i="2"/>
  <c r="BW77" i="2"/>
  <c r="BV77" i="2"/>
  <c r="BU77" i="2"/>
  <c r="BT77" i="2"/>
  <c r="BS77" i="2"/>
  <c r="BR77" i="2"/>
  <c r="BR13" i="2" s="1"/>
  <c r="BQ77" i="2"/>
  <c r="BP77" i="2"/>
  <c r="BO77" i="2"/>
  <c r="BN77" i="2"/>
  <c r="BM77" i="2"/>
  <c r="BL77" i="2"/>
  <c r="BK77" i="2"/>
  <c r="BJ77" i="2"/>
  <c r="BJ13" i="2" s="1"/>
  <c r="BI77" i="2"/>
  <c r="BH77" i="2"/>
  <c r="BG77" i="2"/>
  <c r="BF77" i="2"/>
  <c r="BE77" i="2"/>
  <c r="BD77" i="2"/>
  <c r="BC77" i="2"/>
  <c r="BB77" i="2"/>
  <c r="BB13" i="2" s="1"/>
  <c r="BA77" i="2"/>
  <c r="AZ77" i="2"/>
  <c r="AY77" i="2"/>
  <c r="AX77" i="2"/>
  <c r="AW77" i="2"/>
  <c r="AV77" i="2"/>
  <c r="AU77" i="2"/>
  <c r="AT77" i="2"/>
  <c r="AT13" i="2" s="1"/>
  <c r="AS77" i="2"/>
  <c r="AR77" i="2"/>
  <c r="AQ77" i="2"/>
  <c r="AP77" i="2"/>
  <c r="AP13" i="2" s="1"/>
  <c r="AO13" i="2"/>
  <c r="AN77" i="2"/>
  <c r="AM77" i="2"/>
  <c r="AL77" i="2"/>
  <c r="AL13" i="2" s="1"/>
  <c r="AK77" i="2"/>
  <c r="AJ77" i="2"/>
  <c r="AI77" i="2"/>
  <c r="AH77" i="2"/>
  <c r="AG77" i="2"/>
  <c r="AF77" i="2"/>
  <c r="AE77" i="2"/>
  <c r="AD77" i="2"/>
  <c r="AD13" i="2" s="1"/>
  <c r="AC77" i="2"/>
  <c r="DC76" i="2"/>
  <c r="CO76" i="2" s="1"/>
  <c r="CP76" i="2" s="1"/>
  <c r="CH76" i="2"/>
  <c r="CJ76" i="2" s="1"/>
  <c r="CL76" i="2" s="1"/>
  <c r="DC75" i="2"/>
  <c r="CO75" i="2" s="1"/>
  <c r="CP75" i="2" s="1"/>
  <c r="CQ75" i="2" s="1"/>
  <c r="CH75" i="2"/>
  <c r="CJ75" i="2" s="1"/>
  <c r="CL75" i="2" s="1"/>
  <c r="DC74" i="2"/>
  <c r="CO74" i="2" s="1"/>
  <c r="CP74" i="2" s="1"/>
  <c r="CH74" i="2"/>
  <c r="CJ74" i="2" s="1"/>
  <c r="CL74" i="2" s="1"/>
  <c r="DC73" i="2"/>
  <c r="CO73" i="2" s="1"/>
  <c r="CP73" i="2" s="1"/>
  <c r="CQ73" i="2" s="1"/>
  <c r="CH73" i="2"/>
  <c r="CJ73" i="2" s="1"/>
  <c r="CL73" i="2" s="1"/>
  <c r="DC72" i="2"/>
  <c r="CO72" i="2" s="1"/>
  <c r="CP72" i="2"/>
  <c r="CQ72" i="2" s="1"/>
  <c r="CL72" i="2"/>
  <c r="CJ72" i="2"/>
  <c r="CH72" i="2"/>
  <c r="DC71" i="2"/>
  <c r="CO71" i="2"/>
  <c r="CP71" i="2" s="1"/>
  <c r="CQ71" i="2" s="1"/>
  <c r="CL71" i="2"/>
  <c r="CJ71" i="2"/>
  <c r="CH71" i="2"/>
  <c r="DC70" i="2"/>
  <c r="CO70" i="2"/>
  <c r="CP70" i="2" s="1"/>
  <c r="CQ70" i="2" s="1"/>
  <c r="CL70" i="2"/>
  <c r="CJ70" i="2"/>
  <c r="CH70" i="2"/>
  <c r="DC69" i="2"/>
  <c r="CO69" i="2"/>
  <c r="CP69" i="2" s="1"/>
  <c r="CJ69" i="2"/>
  <c r="CL69" i="2" s="1"/>
  <c r="CH69" i="2"/>
  <c r="DC68" i="2"/>
  <c r="CO68" i="2" s="1"/>
  <c r="CP68" i="2" s="1"/>
  <c r="CH68" i="2"/>
  <c r="CJ68" i="2" s="1"/>
  <c r="CL68" i="2" s="1"/>
  <c r="DC67" i="2"/>
  <c r="CO67" i="2" s="1"/>
  <c r="CP67" i="2" s="1"/>
  <c r="CQ67" i="2" s="1"/>
  <c r="CH67" i="2"/>
  <c r="CJ67" i="2" s="1"/>
  <c r="CL67" i="2" s="1"/>
  <c r="DC66" i="2"/>
  <c r="CO66" i="2" s="1"/>
  <c r="CP66" i="2" s="1"/>
  <c r="CH66" i="2"/>
  <c r="CJ66" i="2" s="1"/>
  <c r="CL66" i="2" s="1"/>
  <c r="DC65" i="2"/>
  <c r="CO65" i="2" s="1"/>
  <c r="CP65" i="2" s="1"/>
  <c r="CQ65" i="2" s="1"/>
  <c r="CH65" i="2"/>
  <c r="CJ65" i="2" s="1"/>
  <c r="CL65" i="2" s="1"/>
  <c r="DC64" i="2"/>
  <c r="CO64" i="2" s="1"/>
  <c r="CP64" i="2"/>
  <c r="CH64" i="2"/>
  <c r="CJ64" i="2" s="1"/>
  <c r="CL64" i="2" s="1"/>
  <c r="DC63" i="2"/>
  <c r="CO63" i="2"/>
  <c r="CP63" i="2" s="1"/>
  <c r="CQ63" i="2" s="1"/>
  <c r="CL63" i="2"/>
  <c r="CJ63" i="2"/>
  <c r="CH63" i="2"/>
  <c r="DC62" i="2"/>
  <c r="CO62" i="2"/>
  <c r="CP62" i="2" s="1"/>
  <c r="CQ62" i="2" s="1"/>
  <c r="CL62" i="2"/>
  <c r="CJ62" i="2"/>
  <c r="CH62" i="2"/>
  <c r="DC61" i="2"/>
  <c r="CO61" i="2"/>
  <c r="CP61" i="2" s="1"/>
  <c r="CH61" i="2"/>
  <c r="CJ61" i="2" s="1"/>
  <c r="CL61" i="2" s="1"/>
  <c r="DC60" i="2"/>
  <c r="CP60" i="2"/>
  <c r="CH60" i="2"/>
  <c r="CJ60" i="2" s="1"/>
  <c r="DC59" i="2"/>
  <c r="CO59" i="2" s="1"/>
  <c r="CP59" i="2" s="1"/>
  <c r="CH59" i="2"/>
  <c r="CJ59" i="2" s="1"/>
  <c r="CL59" i="2" s="1"/>
  <c r="DC58" i="2"/>
  <c r="CO58" i="2" s="1"/>
  <c r="CP58" i="2" s="1"/>
  <c r="CQ58" i="2"/>
  <c r="CH58" i="2"/>
  <c r="CJ58" i="2" s="1"/>
  <c r="CL58" i="2" s="1"/>
  <c r="DC57" i="2"/>
  <c r="CO57" i="2" s="1"/>
  <c r="CP57" i="2"/>
  <c r="CQ57" i="2" s="1"/>
  <c r="CL57" i="2"/>
  <c r="CJ57" i="2"/>
  <c r="CH57" i="2"/>
  <c r="DC56" i="2"/>
  <c r="CO56" i="2"/>
  <c r="CP56" i="2" s="1"/>
  <c r="CQ56" i="2" s="1"/>
  <c r="CL56" i="2"/>
  <c r="CJ56" i="2"/>
  <c r="CH56" i="2"/>
  <c r="DC55" i="2"/>
  <c r="CO55" i="2"/>
  <c r="CP55" i="2" s="1"/>
  <c r="CH55" i="2"/>
  <c r="CJ55" i="2" s="1"/>
  <c r="CL55" i="2" s="1"/>
  <c r="DC54" i="2"/>
  <c r="CO54" i="2"/>
  <c r="CP54" i="2" s="1"/>
  <c r="CJ54" i="2"/>
  <c r="CL54" i="2" s="1"/>
  <c r="CH54" i="2"/>
  <c r="DC53" i="2"/>
  <c r="CO53" i="2" s="1"/>
  <c r="CP53" i="2" s="1"/>
  <c r="CH53" i="2"/>
  <c r="CJ53" i="2" s="1"/>
  <c r="CL53" i="2" s="1"/>
  <c r="DC52" i="2"/>
  <c r="CO52" i="2" s="1"/>
  <c r="CP52" i="2" s="1"/>
  <c r="CH52" i="2"/>
  <c r="CJ52" i="2" s="1"/>
  <c r="CL52" i="2" s="1"/>
  <c r="DC51" i="2"/>
  <c r="CO51" i="2" s="1"/>
  <c r="CP51" i="2" s="1"/>
  <c r="CQ51" i="2" s="1"/>
  <c r="CH51" i="2"/>
  <c r="CJ51" i="2" s="1"/>
  <c r="CL51" i="2" s="1"/>
  <c r="DC50" i="2"/>
  <c r="CP50" i="2"/>
  <c r="CH50" i="2"/>
  <c r="CJ50" i="2" s="1"/>
  <c r="DC49" i="2"/>
  <c r="CO49" i="2"/>
  <c r="CP49" i="2" s="1"/>
  <c r="CQ49" i="2" s="1"/>
  <c r="CL49" i="2"/>
  <c r="CJ49" i="2"/>
  <c r="CH49" i="2"/>
  <c r="DC48" i="2"/>
  <c r="CO48" i="2"/>
  <c r="CP48" i="2" s="1"/>
  <c r="CQ48" i="2" s="1"/>
  <c r="CL48" i="2"/>
  <c r="CJ48" i="2"/>
  <c r="CH48" i="2"/>
  <c r="DC47" i="2"/>
  <c r="CO47" i="2"/>
  <c r="CP47" i="2" s="1"/>
  <c r="CQ47" i="2" s="1"/>
  <c r="CJ47" i="2"/>
  <c r="CL47" i="2" s="1"/>
  <c r="CH47" i="2"/>
  <c r="DC46" i="2"/>
  <c r="CO46" i="2" s="1"/>
  <c r="CP46" i="2" s="1"/>
  <c r="CH46" i="2"/>
  <c r="CJ46" i="2" s="1"/>
  <c r="CL46" i="2" s="1"/>
  <c r="DC45" i="2"/>
  <c r="CO45" i="2" s="1"/>
  <c r="CP45" i="2" s="1"/>
  <c r="CQ45" i="2" s="1"/>
  <c r="CH45" i="2"/>
  <c r="CJ45" i="2" s="1"/>
  <c r="CL45" i="2" s="1"/>
  <c r="DC44" i="2"/>
  <c r="CO44" i="2" s="1"/>
  <c r="CP44" i="2" s="1"/>
  <c r="CH44" i="2"/>
  <c r="CJ44" i="2" s="1"/>
  <c r="CL44" i="2" s="1"/>
  <c r="DC43" i="2"/>
  <c r="CP43" i="2"/>
  <c r="CH43" i="2"/>
  <c r="CJ43" i="2" s="1"/>
  <c r="CL43" i="2" s="1"/>
  <c r="DC42" i="2"/>
  <c r="CO42" i="2"/>
  <c r="CP42" i="2" s="1"/>
  <c r="CQ42" i="2" s="1"/>
  <c r="CL42" i="2"/>
  <c r="CJ42" i="2"/>
  <c r="CH42" i="2"/>
  <c r="DC41" i="2"/>
  <c r="CO41" i="2"/>
  <c r="CP41" i="2" s="1"/>
  <c r="CQ41" i="2" s="1"/>
  <c r="CL41" i="2"/>
  <c r="CJ41" i="2"/>
  <c r="CH41" i="2"/>
  <c r="DC40" i="2"/>
  <c r="CO40" i="2"/>
  <c r="CP40" i="2" s="1"/>
  <c r="CQ40" i="2" s="1"/>
  <c r="CJ40" i="2"/>
  <c r="CL40" i="2" s="1"/>
  <c r="CH40" i="2"/>
  <c r="DC39" i="2"/>
  <c r="CO39" i="2" s="1"/>
  <c r="CP39" i="2" s="1"/>
  <c r="CH39" i="2"/>
  <c r="CJ39" i="2" s="1"/>
  <c r="CL39" i="2" s="1"/>
  <c r="DC38" i="2"/>
  <c r="CO38" i="2" s="1"/>
  <c r="CP38" i="2" s="1"/>
  <c r="CQ38" i="2" s="1"/>
  <c r="CH38" i="2"/>
  <c r="CJ38" i="2" s="1"/>
  <c r="CL38" i="2" s="1"/>
  <c r="DC37" i="2"/>
  <c r="CO37" i="2" s="1"/>
  <c r="CP37" i="2" s="1"/>
  <c r="CH37" i="2"/>
  <c r="CJ37" i="2" s="1"/>
  <c r="CL37" i="2" s="1"/>
  <c r="DC36" i="2"/>
  <c r="CO36" i="2" s="1"/>
  <c r="CP36" i="2" s="1"/>
  <c r="CH36" i="2"/>
  <c r="CJ36" i="2" s="1"/>
  <c r="CL36" i="2" s="1"/>
  <c r="DC35" i="2"/>
  <c r="CP35" i="2"/>
  <c r="CO35" i="2"/>
  <c r="CH35" i="2"/>
  <c r="CJ35" i="2" s="1"/>
  <c r="CL35" i="2" s="1"/>
  <c r="DC34" i="2"/>
  <c r="CO34" i="2"/>
  <c r="CP34" i="2" s="1"/>
  <c r="CQ34" i="2" s="1"/>
  <c r="CL34" i="2"/>
  <c r="CJ34" i="2"/>
  <c r="CH34" i="2"/>
  <c r="DC33" i="2"/>
  <c r="CO33" i="2"/>
  <c r="CP33" i="2" s="1"/>
  <c r="CQ33" i="2" s="1"/>
  <c r="CL33" i="2"/>
  <c r="CJ33" i="2"/>
  <c r="CH33" i="2"/>
  <c r="DC32" i="2"/>
  <c r="CO32" i="2"/>
  <c r="CP32" i="2" s="1"/>
  <c r="CJ32" i="2"/>
  <c r="CL32" i="2" s="1"/>
  <c r="CH32" i="2"/>
  <c r="DC31" i="2"/>
  <c r="CO31" i="2" s="1"/>
  <c r="CP31" i="2" s="1"/>
  <c r="CH31" i="2"/>
  <c r="CJ31" i="2" s="1"/>
  <c r="CL31" i="2" s="1"/>
  <c r="DC30" i="2"/>
  <c r="CO30" i="2" s="1"/>
  <c r="CP30" i="2" s="1"/>
  <c r="CQ30" i="2" s="1"/>
  <c r="CH30" i="2"/>
  <c r="CJ30" i="2" s="1"/>
  <c r="CL30" i="2" s="1"/>
  <c r="DC29" i="2"/>
  <c r="CO29" i="2" s="1"/>
  <c r="CP29" i="2" s="1"/>
  <c r="CH29" i="2"/>
  <c r="CJ29" i="2" s="1"/>
  <c r="CL29" i="2" s="1"/>
  <c r="DC28" i="2"/>
  <c r="CO28" i="2" s="1"/>
  <c r="CP28" i="2" s="1"/>
  <c r="CJ28" i="2"/>
  <c r="CL28" i="2" s="1"/>
  <c r="CH28" i="2"/>
  <c r="DC27" i="2"/>
  <c r="CP27" i="2"/>
  <c r="CO27" i="2"/>
  <c r="CH27" i="2"/>
  <c r="CJ27" i="2" s="1"/>
  <c r="CL27" i="2" s="1"/>
  <c r="DC26" i="2"/>
  <c r="CO26" i="2"/>
  <c r="CP26" i="2" s="1"/>
  <c r="CQ26" i="2" s="1"/>
  <c r="CL26" i="2"/>
  <c r="CJ26" i="2"/>
  <c r="CH26" i="2"/>
  <c r="DC25" i="2"/>
  <c r="CO25" i="2" s="1"/>
  <c r="CP25" i="2" s="1"/>
  <c r="CQ25" i="2" s="1"/>
  <c r="CL25" i="2"/>
  <c r="CJ25" i="2"/>
  <c r="CH25" i="2"/>
  <c r="DC24" i="2"/>
  <c r="CO24" i="2"/>
  <c r="CP24" i="2" s="1"/>
  <c r="CJ24" i="2"/>
  <c r="CL24" i="2" s="1"/>
  <c r="CH24" i="2"/>
  <c r="DC23" i="2"/>
  <c r="CO23" i="2" s="1"/>
  <c r="CP23" i="2" s="1"/>
  <c r="CH23" i="2"/>
  <c r="CJ23" i="2" s="1"/>
  <c r="CL23" i="2" s="1"/>
  <c r="DC22" i="2"/>
  <c r="CO22" i="2"/>
  <c r="CP22" i="2" s="1"/>
  <c r="CQ22" i="2" s="1"/>
  <c r="CH22" i="2"/>
  <c r="CJ22" i="2" s="1"/>
  <c r="CL22" i="2" s="1"/>
  <c r="DC21" i="2"/>
  <c r="CO21" i="2" s="1"/>
  <c r="CP21" i="2" s="1"/>
  <c r="CH21" i="2"/>
  <c r="CJ21" i="2" s="1"/>
  <c r="CL21" i="2" s="1"/>
  <c r="DC20" i="2"/>
  <c r="CO20" i="2" s="1"/>
  <c r="CP20" i="2" s="1"/>
  <c r="CQ20" i="2" s="1"/>
  <c r="CJ20" i="2"/>
  <c r="CL20" i="2" s="1"/>
  <c r="CH20" i="2"/>
  <c r="DC19" i="2"/>
  <c r="CP19" i="2"/>
  <c r="CO19" i="2"/>
  <c r="CH19" i="2"/>
  <c r="CJ19" i="2" s="1"/>
  <c r="CL19" i="2" s="1"/>
  <c r="DC18" i="2"/>
  <c r="CO18" i="2"/>
  <c r="CP18" i="2" s="1"/>
  <c r="CQ18" i="2" s="1"/>
  <c r="CL18" i="2"/>
  <c r="CJ18" i="2"/>
  <c r="CH18" i="2"/>
  <c r="DC17" i="2"/>
  <c r="CO17" i="2" s="1"/>
  <c r="CP17" i="2" s="1"/>
  <c r="CQ17" i="2" s="1"/>
  <c r="CL17" i="2"/>
  <c r="CJ17" i="2"/>
  <c r="CH17" i="2"/>
  <c r="DC16" i="2"/>
  <c r="CO16" i="2"/>
  <c r="CP16" i="2" s="1"/>
  <c r="CJ16" i="2"/>
  <c r="CL16" i="2" s="1"/>
  <c r="CH16" i="2"/>
  <c r="DC15" i="2"/>
  <c r="CO15" i="2" s="1"/>
  <c r="CP15" i="2" s="1"/>
  <c r="CQ15" i="2" s="1"/>
  <c r="CH15" i="2"/>
  <c r="CJ15" i="2" s="1"/>
  <c r="CL15" i="2" s="1"/>
  <c r="DC14" i="2"/>
  <c r="CO14" i="2"/>
  <c r="CP14" i="2" s="1"/>
  <c r="CH14" i="2"/>
  <c r="CJ14" i="2" s="1"/>
  <c r="CG13" i="2"/>
  <c r="CF13" i="2"/>
  <c r="CE13" i="2"/>
  <c r="CD13" i="2"/>
  <c r="CC13" i="2"/>
  <c r="CB13" i="2"/>
  <c r="CA13" i="2"/>
  <c r="BY13" i="2"/>
  <c r="BX13" i="2"/>
  <c r="BW13" i="2"/>
  <c r="BV13" i="2"/>
  <c r="BU13" i="2"/>
  <c r="BT13" i="2"/>
  <c r="BS13" i="2"/>
  <c r="BQ13" i="2"/>
  <c r="BP13" i="2"/>
  <c r="BO13" i="2"/>
  <c r="BN13" i="2"/>
  <c r="BM13" i="2"/>
  <c r="BL13" i="2"/>
  <c r="BK13" i="2"/>
  <c r="BI13" i="2"/>
  <c r="BH13" i="2"/>
  <c r="BG13" i="2"/>
  <c r="BF13" i="2"/>
  <c r="BE13" i="2"/>
  <c r="BD13" i="2"/>
  <c r="BC13" i="2"/>
  <c r="BA13" i="2"/>
  <c r="AZ13" i="2"/>
  <c r="AY13" i="2"/>
  <c r="AX13" i="2"/>
  <c r="AW13" i="2"/>
  <c r="AV13" i="2"/>
  <c r="AU13" i="2"/>
  <c r="AS13" i="2"/>
  <c r="AR13" i="2"/>
  <c r="AQ13" i="2"/>
  <c r="AN13" i="2"/>
  <c r="AM13" i="2"/>
  <c r="AK13" i="2"/>
  <c r="AJ13" i="2"/>
  <c r="AI13" i="2"/>
  <c r="AH13" i="2"/>
  <c r="AG13" i="2"/>
  <c r="AF13" i="2"/>
  <c r="AE13" i="2"/>
  <c r="AC13" i="2"/>
  <c r="P93" i="1"/>
  <c r="O93" i="1"/>
  <c r="N93" i="1"/>
  <c r="M93" i="1"/>
  <c r="L93" i="1"/>
  <c r="J93" i="1"/>
  <c r="I93" i="1"/>
  <c r="H93" i="1"/>
  <c r="G93" i="1"/>
  <c r="F93" i="1"/>
  <c r="E93" i="1"/>
  <c r="CW85" i="1"/>
  <c r="CV85" i="1"/>
  <c r="CU85" i="1"/>
  <c r="CR85" i="1"/>
  <c r="CQ85" i="1"/>
  <c r="CP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CN84" i="1"/>
  <c r="CN83" i="1"/>
  <c r="CN82" i="1"/>
  <c r="CN85" i="1" s="1"/>
  <c r="CQ79" i="1"/>
  <c r="CM79" i="1"/>
  <c r="CL79" i="1"/>
  <c r="CK79" i="1"/>
  <c r="CJ79" i="1"/>
  <c r="CI79" i="1"/>
  <c r="CH79" i="1"/>
  <c r="CH13" i="1" s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J13" i="1" s="1"/>
  <c r="AI79" i="1"/>
  <c r="AI13" i="1" s="1"/>
  <c r="AH79" i="1"/>
  <c r="AG79" i="1"/>
  <c r="AF79" i="1"/>
  <c r="AE79" i="1"/>
  <c r="AD79" i="1"/>
  <c r="AC79" i="1"/>
  <c r="AB79" i="1"/>
  <c r="AA79" i="1"/>
  <c r="Z79" i="1"/>
  <c r="Y79" i="1"/>
  <c r="X79" i="1"/>
  <c r="W79" i="1"/>
  <c r="DD78" i="1"/>
  <c r="CU78" i="1" s="1"/>
  <c r="CV78" i="1" s="1"/>
  <c r="CN78" i="1"/>
  <c r="CP78" i="1" s="1"/>
  <c r="CR78" i="1" s="1"/>
  <c r="DD77" i="1"/>
  <c r="CU77" i="1" s="1"/>
  <c r="CV77" i="1" s="1"/>
  <c r="CW77" i="1" s="1"/>
  <c r="CP77" i="1"/>
  <c r="CR77" i="1" s="1"/>
  <c r="CN77" i="1"/>
  <c r="DD76" i="1"/>
  <c r="CV76" i="1"/>
  <c r="CU76" i="1"/>
  <c r="CN76" i="1"/>
  <c r="CP76" i="1" s="1"/>
  <c r="CR76" i="1" s="1"/>
  <c r="DD75" i="1"/>
  <c r="CU75" i="1"/>
  <c r="CV75" i="1" s="1"/>
  <c r="CW75" i="1" s="1"/>
  <c r="CR75" i="1"/>
  <c r="CP75" i="1"/>
  <c r="CN75" i="1"/>
  <c r="DD74" i="1"/>
  <c r="CU74" i="1" s="1"/>
  <c r="CV74" i="1" s="1"/>
  <c r="CW74" i="1" s="1"/>
  <c r="CR74" i="1"/>
  <c r="CP74" i="1"/>
  <c r="CN74" i="1"/>
  <c r="DD73" i="1"/>
  <c r="CU73" i="1"/>
  <c r="CV73" i="1" s="1"/>
  <c r="CP73" i="1"/>
  <c r="CR73" i="1" s="1"/>
  <c r="CN73" i="1"/>
  <c r="DD72" i="1"/>
  <c r="CU72" i="1" s="1"/>
  <c r="CV72" i="1" s="1"/>
  <c r="CN72" i="1"/>
  <c r="CP72" i="1" s="1"/>
  <c r="CR72" i="1" s="1"/>
  <c r="DD71" i="1"/>
  <c r="CU71" i="1"/>
  <c r="CV71" i="1" s="1"/>
  <c r="CW71" i="1" s="1"/>
  <c r="CN71" i="1"/>
  <c r="CP71" i="1" s="1"/>
  <c r="CR71" i="1" s="1"/>
  <c r="DD70" i="1"/>
  <c r="CU70" i="1" s="1"/>
  <c r="CV70" i="1" s="1"/>
  <c r="CN70" i="1"/>
  <c r="CP70" i="1" s="1"/>
  <c r="CR70" i="1" s="1"/>
  <c r="DD69" i="1"/>
  <c r="CU69" i="1" s="1"/>
  <c r="CV69" i="1" s="1"/>
  <c r="CW69" i="1"/>
  <c r="CP69" i="1"/>
  <c r="CR69" i="1" s="1"/>
  <c r="CN69" i="1"/>
  <c r="DD68" i="1"/>
  <c r="CV68" i="1"/>
  <c r="CU68" i="1"/>
  <c r="CN68" i="1"/>
  <c r="CP68" i="1" s="1"/>
  <c r="CR68" i="1" s="1"/>
  <c r="DD67" i="1"/>
  <c r="CU67" i="1"/>
  <c r="CV67" i="1" s="1"/>
  <c r="CW67" i="1" s="1"/>
  <c r="CR67" i="1"/>
  <c r="CP67" i="1"/>
  <c r="CN67" i="1"/>
  <c r="DD66" i="1"/>
  <c r="CU66" i="1" s="1"/>
  <c r="CV66" i="1" s="1"/>
  <c r="CW66" i="1" s="1"/>
  <c r="CR66" i="1"/>
  <c r="CP66" i="1"/>
  <c r="CN66" i="1"/>
  <c r="DD65" i="1"/>
  <c r="CU65" i="1"/>
  <c r="CV65" i="1" s="1"/>
  <c r="CW65" i="1" s="1"/>
  <c r="CP65" i="1"/>
  <c r="CR65" i="1" s="1"/>
  <c r="CN65" i="1"/>
  <c r="DD64" i="1"/>
  <c r="CU64" i="1" s="1"/>
  <c r="CV64" i="1"/>
  <c r="CW64" i="1" s="1"/>
  <c r="CN64" i="1"/>
  <c r="CP64" i="1" s="1"/>
  <c r="CR64" i="1" s="1"/>
  <c r="DD63" i="1"/>
  <c r="CU63" i="1"/>
  <c r="CV63" i="1" s="1"/>
  <c r="CN63" i="1"/>
  <c r="CP63" i="1" s="1"/>
  <c r="CR63" i="1" s="1"/>
  <c r="DD62" i="1"/>
  <c r="CU62" i="1" s="1"/>
  <c r="CV62" i="1" s="1"/>
  <c r="CN62" i="1"/>
  <c r="CP62" i="1" s="1"/>
  <c r="CR62" i="1" s="1"/>
  <c r="DD61" i="1"/>
  <c r="CU61" i="1" s="1"/>
  <c r="CV61" i="1" s="1"/>
  <c r="CW61" i="1" s="1"/>
  <c r="CP61" i="1"/>
  <c r="CR61" i="1" s="1"/>
  <c r="CN61" i="1"/>
  <c r="DD60" i="1"/>
  <c r="CV60" i="1"/>
  <c r="CU60" i="1"/>
  <c r="CN60" i="1"/>
  <c r="CP60" i="1" s="1"/>
  <c r="CR60" i="1" s="1"/>
  <c r="DD59" i="1"/>
  <c r="CU59" i="1"/>
  <c r="CV59" i="1" s="1"/>
  <c r="CW59" i="1" s="1"/>
  <c r="CR59" i="1"/>
  <c r="CP59" i="1"/>
  <c r="CN59" i="1"/>
  <c r="DD58" i="1"/>
  <c r="CU58" i="1" s="1"/>
  <c r="CV58" i="1" s="1"/>
  <c r="CW58" i="1" s="1"/>
  <c r="CR58" i="1"/>
  <c r="CP58" i="1"/>
  <c r="CN58" i="1"/>
  <c r="DD57" i="1"/>
  <c r="CU57" i="1"/>
  <c r="CV57" i="1" s="1"/>
  <c r="CW57" i="1" s="1"/>
  <c r="CP57" i="1"/>
  <c r="CR57" i="1" s="1"/>
  <c r="CN57" i="1"/>
  <c r="DD56" i="1"/>
  <c r="CU56" i="1" s="1"/>
  <c r="CV56" i="1"/>
  <c r="CN56" i="1"/>
  <c r="CP56" i="1" s="1"/>
  <c r="CR56" i="1" s="1"/>
  <c r="DD55" i="1"/>
  <c r="CU55" i="1"/>
  <c r="CV55" i="1" s="1"/>
  <c r="CN55" i="1"/>
  <c r="CP55" i="1" s="1"/>
  <c r="CR55" i="1" s="1"/>
  <c r="DD54" i="1"/>
  <c r="CU54" i="1" s="1"/>
  <c r="CV54" i="1" s="1"/>
  <c r="CW54" i="1" s="1"/>
  <c r="CR54" i="1"/>
  <c r="CN54" i="1"/>
  <c r="CP54" i="1" s="1"/>
  <c r="DD53" i="1"/>
  <c r="CU53" i="1" s="1"/>
  <c r="CV53" i="1" s="1"/>
  <c r="CW53" i="1"/>
  <c r="CP53" i="1"/>
  <c r="CR53" i="1" s="1"/>
  <c r="CN53" i="1"/>
  <c r="DD52" i="1"/>
  <c r="CV52" i="1"/>
  <c r="CW52" i="1" s="1"/>
  <c r="CU52" i="1"/>
  <c r="CN52" i="1"/>
  <c r="CP52" i="1" s="1"/>
  <c r="CR52" i="1" s="1"/>
  <c r="DD51" i="1"/>
  <c r="CU51" i="1"/>
  <c r="CV51" i="1" s="1"/>
  <c r="CW51" i="1" s="1"/>
  <c r="CR51" i="1"/>
  <c r="CP51" i="1"/>
  <c r="CN51" i="1"/>
  <c r="DD50" i="1"/>
  <c r="CU50" i="1" s="1"/>
  <c r="CV50" i="1" s="1"/>
  <c r="CW50" i="1" s="1"/>
  <c r="CR50" i="1"/>
  <c r="CP50" i="1"/>
  <c r="CN50" i="1"/>
  <c r="DD49" i="1"/>
  <c r="CU49" i="1"/>
  <c r="CV49" i="1" s="1"/>
  <c r="CW49" i="1" s="1"/>
  <c r="CP49" i="1"/>
  <c r="CR49" i="1" s="1"/>
  <c r="CN49" i="1"/>
  <c r="DD48" i="1"/>
  <c r="CU48" i="1" s="1"/>
  <c r="CV48" i="1" s="1"/>
  <c r="CW48" i="1" s="1"/>
  <c r="CN48" i="1"/>
  <c r="CP48" i="1" s="1"/>
  <c r="CR48" i="1" s="1"/>
  <c r="DD47" i="1"/>
  <c r="CU47" i="1"/>
  <c r="CV47" i="1" s="1"/>
  <c r="CN47" i="1"/>
  <c r="CP47" i="1" s="1"/>
  <c r="CR47" i="1" s="1"/>
  <c r="DD46" i="1"/>
  <c r="CU46" i="1" s="1"/>
  <c r="CV46" i="1" s="1"/>
  <c r="CW46" i="1" s="1"/>
  <c r="CR46" i="1"/>
  <c r="CN46" i="1"/>
  <c r="CP46" i="1" s="1"/>
  <c r="DD45" i="1"/>
  <c r="CU45" i="1" s="1"/>
  <c r="CV45" i="1" s="1"/>
  <c r="CP45" i="1"/>
  <c r="CR45" i="1" s="1"/>
  <c r="CN45" i="1"/>
  <c r="DD44" i="1"/>
  <c r="CV44" i="1"/>
  <c r="CW44" i="1" s="1"/>
  <c r="CU44" i="1"/>
  <c r="CN44" i="1"/>
  <c r="CP44" i="1" s="1"/>
  <c r="CR44" i="1" s="1"/>
  <c r="DD43" i="1"/>
  <c r="CU43" i="1"/>
  <c r="CV43" i="1" s="1"/>
  <c r="CW43" i="1" s="1"/>
  <c r="CR43" i="1"/>
  <c r="CP43" i="1"/>
  <c r="CN43" i="1"/>
  <c r="DD42" i="1"/>
  <c r="CU42" i="1" s="1"/>
  <c r="CV42" i="1" s="1"/>
  <c r="CW42" i="1" s="1"/>
  <c r="CR42" i="1"/>
  <c r="CP42" i="1"/>
  <c r="CN42" i="1"/>
  <c r="DD41" i="1"/>
  <c r="CW41" i="1"/>
  <c r="CU41" i="1"/>
  <c r="CV41" i="1" s="1"/>
  <c r="CP41" i="1"/>
  <c r="CR41" i="1" s="1"/>
  <c r="CN41" i="1"/>
  <c r="DD40" i="1"/>
  <c r="CU40" i="1" s="1"/>
  <c r="CV40" i="1" s="1"/>
  <c r="CW40" i="1" s="1"/>
  <c r="CN40" i="1"/>
  <c r="CP40" i="1" s="1"/>
  <c r="CR40" i="1" s="1"/>
  <c r="DD39" i="1"/>
  <c r="CU39" i="1"/>
  <c r="CV39" i="1" s="1"/>
  <c r="CW39" i="1" s="1"/>
  <c r="CN39" i="1"/>
  <c r="CP39" i="1" s="1"/>
  <c r="CR39" i="1" s="1"/>
  <c r="DD38" i="1"/>
  <c r="CU38" i="1" s="1"/>
  <c r="CV38" i="1" s="1"/>
  <c r="CW38" i="1"/>
  <c r="CR38" i="1"/>
  <c r="CN38" i="1"/>
  <c r="CP38" i="1" s="1"/>
  <c r="DD37" i="1"/>
  <c r="CU37" i="1" s="1"/>
  <c r="CV37" i="1"/>
  <c r="CW37" i="1" s="1"/>
  <c r="CP37" i="1"/>
  <c r="CR37" i="1" s="1"/>
  <c r="CN37" i="1"/>
  <c r="DD36" i="1"/>
  <c r="CV36" i="1"/>
  <c r="CW36" i="1" s="1"/>
  <c r="CU36" i="1"/>
  <c r="CN36" i="1"/>
  <c r="CP36" i="1" s="1"/>
  <c r="CR36" i="1" s="1"/>
  <c r="DD35" i="1"/>
  <c r="CU35" i="1"/>
  <c r="CV35" i="1" s="1"/>
  <c r="CW35" i="1" s="1"/>
  <c r="CR35" i="1"/>
  <c r="CP35" i="1"/>
  <c r="CN35" i="1"/>
  <c r="DD34" i="1"/>
  <c r="CU34" i="1" s="1"/>
  <c r="CV34" i="1" s="1"/>
  <c r="CW34" i="1" s="1"/>
  <c r="CR34" i="1"/>
  <c r="CP34" i="1"/>
  <c r="CN34" i="1"/>
  <c r="DD33" i="1"/>
  <c r="CU33" i="1"/>
  <c r="CV33" i="1" s="1"/>
  <c r="CW33" i="1" s="1"/>
  <c r="CN33" i="1"/>
  <c r="CP33" i="1" s="1"/>
  <c r="CR33" i="1" s="1"/>
  <c r="DD32" i="1"/>
  <c r="CU32" i="1" s="1"/>
  <c r="CV32" i="1" s="1"/>
  <c r="CW32" i="1" s="1"/>
  <c r="CN32" i="1"/>
  <c r="CP32" i="1" s="1"/>
  <c r="CR32" i="1" s="1"/>
  <c r="DD31" i="1"/>
  <c r="CU31" i="1" s="1"/>
  <c r="CV31" i="1" s="1"/>
  <c r="CW31" i="1" s="1"/>
  <c r="CN31" i="1"/>
  <c r="CP31" i="1" s="1"/>
  <c r="CR31" i="1" s="1"/>
  <c r="DD30" i="1"/>
  <c r="CU30" i="1" s="1"/>
  <c r="CV30" i="1" s="1"/>
  <c r="CN30" i="1"/>
  <c r="CP30" i="1" s="1"/>
  <c r="CW30" i="1" s="1"/>
  <c r="DD29" i="1"/>
  <c r="CU29" i="1" s="1"/>
  <c r="CV29" i="1" s="1"/>
  <c r="CN29" i="1"/>
  <c r="CP29" i="1" s="1"/>
  <c r="CR29" i="1" s="1"/>
  <c r="DD28" i="1"/>
  <c r="CV28" i="1"/>
  <c r="CU28" i="1"/>
  <c r="CN28" i="1"/>
  <c r="CP28" i="1" s="1"/>
  <c r="CR28" i="1" s="1"/>
  <c r="DD27" i="1"/>
  <c r="CU27" i="1"/>
  <c r="CV27" i="1" s="1"/>
  <c r="CW27" i="1" s="1"/>
  <c r="CR27" i="1"/>
  <c r="CP27" i="1"/>
  <c r="CN27" i="1"/>
  <c r="DD26" i="1"/>
  <c r="CU26" i="1" s="1"/>
  <c r="CV26" i="1" s="1"/>
  <c r="CP26" i="1"/>
  <c r="CR26" i="1" s="1"/>
  <c r="CN26" i="1"/>
  <c r="DD25" i="1"/>
  <c r="CU25" i="1"/>
  <c r="CV25" i="1" s="1"/>
  <c r="CW25" i="1" s="1"/>
  <c r="CP25" i="1"/>
  <c r="CR25" i="1" s="1"/>
  <c r="CN25" i="1"/>
  <c r="DD24" i="1"/>
  <c r="CU24" i="1" s="1"/>
  <c r="CV24" i="1"/>
  <c r="CN24" i="1"/>
  <c r="CP24" i="1" s="1"/>
  <c r="CR24" i="1" s="1"/>
  <c r="DD23" i="1"/>
  <c r="CU23" i="1"/>
  <c r="CV23" i="1" s="1"/>
  <c r="CN23" i="1"/>
  <c r="CP23" i="1" s="1"/>
  <c r="CR23" i="1" s="1"/>
  <c r="DD22" i="1"/>
  <c r="CU22" i="1" s="1"/>
  <c r="CV22" i="1" s="1"/>
  <c r="CW22" i="1" s="1"/>
  <c r="CN22" i="1"/>
  <c r="CP22" i="1" s="1"/>
  <c r="CR22" i="1" s="1"/>
  <c r="DD21" i="1"/>
  <c r="CU21" i="1"/>
  <c r="CV21" i="1" s="1"/>
  <c r="CW21" i="1" s="1"/>
  <c r="CP21" i="1"/>
  <c r="CR21" i="1" s="1"/>
  <c r="CN21" i="1"/>
  <c r="DD20" i="1"/>
  <c r="CV20" i="1"/>
  <c r="CW20" i="1" s="1"/>
  <c r="CU20" i="1"/>
  <c r="CN20" i="1"/>
  <c r="CP20" i="1" s="1"/>
  <c r="CR20" i="1" s="1"/>
  <c r="DD19" i="1"/>
  <c r="CU19" i="1"/>
  <c r="CV19" i="1" s="1"/>
  <c r="CW19" i="1" s="1"/>
  <c r="CR19" i="1"/>
  <c r="CP19" i="1"/>
  <c r="CN19" i="1"/>
  <c r="DD18" i="1"/>
  <c r="CU18" i="1" s="1"/>
  <c r="CV18" i="1" s="1"/>
  <c r="CN18" i="1"/>
  <c r="CP18" i="1" s="1"/>
  <c r="CR18" i="1" s="1"/>
  <c r="DD17" i="1"/>
  <c r="CU17" i="1"/>
  <c r="CV17" i="1" s="1"/>
  <c r="CW17" i="1" s="1"/>
  <c r="CR17" i="1"/>
  <c r="CP17" i="1"/>
  <c r="CN17" i="1"/>
  <c r="DD16" i="1"/>
  <c r="CU16" i="1" s="1"/>
  <c r="CV16" i="1"/>
  <c r="CN16" i="1"/>
  <c r="CP16" i="1" s="1"/>
  <c r="CR16" i="1" s="1"/>
  <c r="DD15" i="1"/>
  <c r="CU15" i="1" s="1"/>
  <c r="CV15" i="1" s="1"/>
  <c r="CN15" i="1"/>
  <c r="CP15" i="1" s="1"/>
  <c r="CR15" i="1" s="1"/>
  <c r="DD14" i="1"/>
  <c r="CU14" i="1" s="1"/>
  <c r="CV14" i="1"/>
  <c r="CN14" i="1"/>
  <c r="CM13" i="1"/>
  <c r="CL13" i="1"/>
  <c r="CK13" i="1"/>
  <c r="CJ13" i="1"/>
  <c r="CI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CQ64" i="2" l="1"/>
  <c r="CQ50" i="2"/>
  <c r="CL50" i="2"/>
  <c r="CQ55" i="2"/>
  <c r="CQ28" i="2"/>
  <c r="CR30" i="1"/>
  <c r="CW29" i="1"/>
  <c r="CW15" i="1"/>
  <c r="CW18" i="1"/>
  <c r="CW16" i="1"/>
  <c r="CW68" i="1"/>
  <c r="CQ21" i="2"/>
  <c r="CQ24" i="2"/>
  <c r="CQ31" i="2"/>
  <c r="CQ54" i="2"/>
  <c r="CQ66" i="2"/>
  <c r="CQ76" i="2"/>
  <c r="CN79" i="1"/>
  <c r="CN13" i="1" s="1"/>
  <c r="CP14" i="1"/>
  <c r="CW26" i="1"/>
  <c r="CW28" i="1"/>
  <c r="CW60" i="1"/>
  <c r="CW62" i="1"/>
  <c r="CQ19" i="2"/>
  <c r="CQ35" i="2"/>
  <c r="CV79" i="1"/>
  <c r="CW63" i="1"/>
  <c r="CQ32" i="2"/>
  <c r="CQ39" i="2"/>
  <c r="CQ46" i="2"/>
  <c r="CQ52" i="2"/>
  <c r="CQ61" i="2"/>
  <c r="CH77" i="2"/>
  <c r="CH13" i="2" s="1"/>
  <c r="CW55" i="1"/>
  <c r="CW72" i="1"/>
  <c r="CW76" i="1"/>
  <c r="CQ16" i="2"/>
  <c r="CQ29" i="2"/>
  <c r="CQ36" i="2"/>
  <c r="CQ43" i="2"/>
  <c r="CQ68" i="2"/>
  <c r="CQ74" i="2"/>
  <c r="CW78" i="1"/>
  <c r="CW14" i="1"/>
  <c r="CW23" i="1"/>
  <c r="CU79" i="1"/>
  <c r="CW47" i="1"/>
  <c r="CJ77" i="2"/>
  <c r="CL14" i="2"/>
  <c r="CQ23" i="2"/>
  <c r="CQ27" i="2"/>
  <c r="CQ53" i="2"/>
  <c r="CQ59" i="2"/>
  <c r="CQ14" i="2"/>
  <c r="CP77" i="2"/>
  <c r="CQ60" i="2"/>
  <c r="CL60" i="2"/>
  <c r="CW24" i="1"/>
  <c r="CW45" i="1"/>
  <c r="CW56" i="1"/>
  <c r="CW70" i="1"/>
  <c r="CW73" i="1"/>
  <c r="CQ37" i="2"/>
  <c r="CQ44" i="2"/>
  <c r="CQ69" i="2"/>
  <c r="CO77" i="2"/>
  <c r="CW79" i="1" l="1"/>
  <c r="CP79" i="1"/>
  <c r="CR14" i="1"/>
  <c r="CR79" i="1" s="1"/>
  <c r="CL77" i="2"/>
  <c r="CQ77" i="2"/>
</calcChain>
</file>

<file path=xl/sharedStrings.xml><?xml version="1.0" encoding="utf-8"?>
<sst xmlns="http://schemas.openxmlformats.org/spreadsheetml/2006/main" count="523" uniqueCount="127">
  <si>
    <t>MATERIAL COMPRADO</t>
  </si>
  <si>
    <t>FECHA DE INSTALACION</t>
  </si>
  <si>
    <t xml:space="preserve">CASETAS </t>
  </si>
  <si>
    <t>IASA</t>
  </si>
  <si>
    <t>EULEN</t>
  </si>
  <si>
    <t>CISTIC</t>
  </si>
  <si>
    <t>KARCLAU</t>
  </si>
  <si>
    <t>SIN CONTRATISTA</t>
  </si>
  <si>
    <t>Total Parejas</t>
  </si>
  <si>
    <t>Producción diaria</t>
  </si>
  <si>
    <t>Producción Semanal</t>
  </si>
  <si>
    <t>TOTAL</t>
  </si>
  <si>
    <t>TOTAL COLOCADAS</t>
  </si>
  <si>
    <t>NO ENCONTRADAS ACUMULADAS</t>
  </si>
  <si>
    <t>ATENDIDAS</t>
  </si>
  <si>
    <t>OBSERVACIONES</t>
  </si>
  <si>
    <t>FECHA INICIO</t>
  </si>
  <si>
    <t>MATERIAL RECIBIDO (UNIDADES)</t>
  </si>
  <si>
    <t>MATERIAL CASETAS</t>
  </si>
  <si>
    <t>MATERIAL DISPONIBLE</t>
  </si>
  <si>
    <t>OR</t>
  </si>
  <si>
    <t>Area trabajo</t>
  </si>
  <si>
    <t>AREA</t>
  </si>
  <si>
    <t>Contratista Confirmado Oct 2026</t>
  </si>
  <si>
    <t>NORMAL</t>
  </si>
  <si>
    <t>MINI</t>
  </si>
  <si>
    <t>SEMICIRCULAR</t>
  </si>
  <si>
    <t>DOBLE REFORMA</t>
  </si>
  <si>
    <t>CUICUILCO</t>
  </si>
  <si>
    <t>Total general</t>
  </si>
  <si>
    <t>TOTAL RECIBDO</t>
  </si>
  <si>
    <t>AAA</t>
  </si>
  <si>
    <t>CDMX Y AREA CONURBADA</t>
  </si>
  <si>
    <t>BALBUENA</t>
  </si>
  <si>
    <t>CUAUTITLAN</t>
  </si>
  <si>
    <t>ECATEPEC</t>
  </si>
  <si>
    <t>ERMITA-TLAHUAC</t>
  </si>
  <si>
    <t>LINDAVISTA</t>
  </si>
  <si>
    <t>LOMAS</t>
  </si>
  <si>
    <t>MIXCOAC</t>
  </si>
  <si>
    <t>SATELITE</t>
  </si>
  <si>
    <t>SOTELO</t>
  </si>
  <si>
    <t>TECAMAC</t>
  </si>
  <si>
    <t>TEXCOCO-ZARAGOZA</t>
  </si>
  <si>
    <t>UNIVERSIDAD</t>
  </si>
  <si>
    <t>VALLE-SAN JUAN</t>
  </si>
  <si>
    <t>MORELOS</t>
  </si>
  <si>
    <t>TOLUCA</t>
  </si>
  <si>
    <t>GUADALAJARA</t>
  </si>
  <si>
    <t>GUADALAJARA CENTRO</t>
  </si>
  <si>
    <t>GUADALAJARA ORIENTE</t>
  </si>
  <si>
    <t>GUADALAJARA PONIENTE</t>
  </si>
  <si>
    <t>MONTERREY</t>
  </si>
  <si>
    <t>MONTERREY 1</t>
  </si>
  <si>
    <t>MONTERREY 2</t>
  </si>
  <si>
    <t>MONTERREY 3</t>
  </si>
  <si>
    <t>QUERETARO</t>
  </si>
  <si>
    <t>ESTADO DE MEXICO SUR</t>
  </si>
  <si>
    <t>PUEBLA</t>
  </si>
  <si>
    <t>LEON</t>
  </si>
  <si>
    <t>CIUDAD JUAREZ</t>
  </si>
  <si>
    <t>TORREON</t>
  </si>
  <si>
    <t>HIDALGO</t>
  </si>
  <si>
    <t>NAYARIT</t>
  </si>
  <si>
    <t>CIUDAD OBREGON-LOS MOCH</t>
  </si>
  <si>
    <t>VERACRUZ</t>
  </si>
  <si>
    <t>SAN LUIS POTOSI</t>
  </si>
  <si>
    <t>YUCATAN</t>
  </si>
  <si>
    <t>MICHOACAN</t>
  </si>
  <si>
    <t>MICHOACAN-ZAMORA</t>
  </si>
  <si>
    <t>MICHOACAN-MORELIA</t>
  </si>
  <si>
    <t>AGUASCALIENTES</t>
  </si>
  <si>
    <t>CHIAPAS</t>
  </si>
  <si>
    <t>CHIHUAHUA</t>
  </si>
  <si>
    <t>TABASCO</t>
  </si>
  <si>
    <t>CULIACAN</t>
  </si>
  <si>
    <t>ACAPULCO</t>
  </si>
  <si>
    <t>HERMOSILLO</t>
  </si>
  <si>
    <t>JALAPA</t>
  </si>
  <si>
    <t>TAMPICO</t>
  </si>
  <si>
    <t>QUINTANA ROO NORTE</t>
  </si>
  <si>
    <t>QUINTANA ROO SUR</t>
  </si>
  <si>
    <t>MATAMOROS-REYNOSA</t>
  </si>
  <si>
    <t>DURANGO</t>
  </si>
  <si>
    <t>OAXACA</t>
  </si>
  <si>
    <t>IRAPUATO</t>
  </si>
  <si>
    <t>MAZATLAN</t>
  </si>
  <si>
    <t>KAR CLAU</t>
  </si>
  <si>
    <t>CELAYA</t>
  </si>
  <si>
    <t>PUERTO VALLARTA</t>
  </si>
  <si>
    <t>COATZACOALCOS</t>
  </si>
  <si>
    <t>NUEVO LAREDO</t>
  </si>
  <si>
    <t>COLIMA</t>
  </si>
  <si>
    <t>LA PAZ</t>
  </si>
  <si>
    <t>TLAXCALA</t>
  </si>
  <si>
    <t>RESTO</t>
  </si>
  <si>
    <t>CHILPANCINGO</t>
  </si>
  <si>
    <t>CIUDAD VICTORIA</t>
  </si>
  <si>
    <t>CORDOBA</t>
  </si>
  <si>
    <t>JALISCO</t>
  </si>
  <si>
    <t>NOGALES</t>
  </si>
  <si>
    <t>POZA RICA</t>
  </si>
  <si>
    <t>SABINAS</t>
  </si>
  <si>
    <t>TELNOR</t>
  </si>
  <si>
    <t>ENSENADA</t>
  </si>
  <si>
    <t>EULEN TELNOR</t>
  </si>
  <si>
    <t>MEXICALI</t>
  </si>
  <si>
    <t>SMARTWORKS</t>
  </si>
  <si>
    <t>TIJUANA</t>
  </si>
  <si>
    <t>FECHA DE ISNTALACION</t>
  </si>
  <si>
    <t>CAJAS</t>
  </si>
  <si>
    <t>MATERIAL Cajas</t>
  </si>
  <si>
    <t>GCV</t>
  </si>
  <si>
    <t>TROLISA</t>
  </si>
  <si>
    <t>AREA TRABAJO</t>
  </si>
  <si>
    <t>DESPLAZAMIENTO DOBLE</t>
  </si>
  <si>
    <t>DESPLAZAMIENTO SENCILLA</t>
  </si>
  <si>
    <t>ENVOLVENTE DOBLE</t>
  </si>
  <si>
    <t>ENVOLVENTE SENCILLA</t>
  </si>
  <si>
    <t>KRONE</t>
  </si>
  <si>
    <t>SIECOR DOBLE</t>
  </si>
  <si>
    <t>SIECOR SENCILLA 1PTA</t>
  </si>
  <si>
    <t xml:space="preserve">SIECOR SENCILLA 2 PTAS </t>
  </si>
  <si>
    <t>TRADICIONAL DOBLE</t>
  </si>
  <si>
    <t>TRADICIONAL SENCILLA</t>
  </si>
  <si>
    <t>Sin tipo</t>
  </si>
  <si>
    <t>MICHOACÁN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</si>
</sst>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[$-F800]dddd\,\ mmmm\ dd\,\ yyyy"/>
    <numFmt numFmtId="166" formatCode="0.0%"/>
    <numFmt numFmtId="167" formatCode="dd/mm/yy;@"/>
    <numFmt numFmtId="168" formatCode="dd/mmm/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Arial"/>
      <family val="2"/>
    </font>
    <font>
      <sz val="9"/>
      <color theme="8" tint="0.79998168889431442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theme="4" tint="-0.24997711111789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249977111117893"/>
        <bgColor theme="4" tint="0.39997558519241921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theme="4" tint="-0.249977111117893"/>
      </patternFill>
    </fill>
  </fills>
  <borders count="23">
    <border>
      <left/>
      <right/>
      <top/>
      <bottom/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0.79998168889431442"/>
      </bottom>
      <diagonal/>
    </border>
    <border>
      <left/>
      <right/>
      <top style="thin">
        <color theme="4" tint="-0.249977111117893"/>
      </top>
      <bottom style="thin">
        <color theme="4" tint="0.7999816888943144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double">
        <color theme="4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79998168889431442"/>
      </top>
      <bottom style="thin">
        <color theme="4" tint="-0.249977111117893"/>
      </bottom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/>
      <right/>
      <top style="thin">
        <color theme="4" tint="0.79998168889431442"/>
      </top>
      <bottom/>
      <diagonal/>
    </border>
    <border>
      <left/>
      <right/>
      <top/>
      <bottom style="thin">
        <color theme="4" tint="-0.249977111117893"/>
      </bottom>
      <diagonal/>
    </border>
    <border>
      <left/>
      <right/>
      <top/>
      <bottom style="thin">
        <color theme="4" tint="0.59999389629810485"/>
      </bottom>
      <diagonal/>
    </border>
  </borders>
  <cellStyleXfs count="4">
    <xf numFmtId="0" fontId="0" fillId="0" borderId="0"/>
    <xf numFmtId="9" fontId="1" fillId="0" borderId="0"/>
    <xf numFmtId="0" fontId="1" fillId="0" borderId="0"/>
    <xf numFmtId="43" fontId="1" fillId="0" borderId="0"/>
  </cellStyleXfs>
  <cellXfs count="75">
    <xf numFmtId="0" fontId="0" fillId="0" borderId="0" xfId="0"/>
    <xf numFmtId="0" fontId="4" fillId="2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64" fontId="5" fillId="0" borderId="0" xfId="1" applyNumberFormat="1" applyFont="1" applyAlignment="1">
      <alignment horizontal="center"/>
    </xf>
    <xf numFmtId="0" fontId="2" fillId="4" borderId="1" xfId="0" applyFont="1" applyFill="1" applyBorder="1"/>
    <xf numFmtId="164" fontId="6" fillId="3" borderId="5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3" fontId="6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2" xfId="0" applyNumberFormat="1" applyBorder="1"/>
    <xf numFmtId="3" fontId="0" fillId="0" borderId="0" xfId="0" applyNumberFormat="1"/>
    <xf numFmtId="164" fontId="5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6" xfId="0" applyFont="1" applyBorder="1"/>
    <xf numFmtId="3" fontId="3" fillId="0" borderId="6" xfId="0" applyNumberFormat="1" applyFont="1" applyBorder="1"/>
    <xf numFmtId="3" fontId="3" fillId="0" borderId="6" xfId="0" applyNumberFormat="1" applyFont="1" applyBorder="1" applyAlignment="1">
      <alignment horizontal="center"/>
    </xf>
    <xf numFmtId="4" fontId="0" fillId="0" borderId="0" xfId="1" applyNumberFormat="1" applyFont="1"/>
    <xf numFmtId="3" fontId="7" fillId="0" borderId="0" xfId="0" applyNumberFormat="1" applyFont="1"/>
    <xf numFmtId="3" fontId="8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16" fontId="9" fillId="6" borderId="7" xfId="0" applyNumberFormat="1" applyFont="1" applyFill="1" applyBorder="1" applyAlignment="1">
      <alignment horizontal="center" vertical="center" wrapText="1"/>
    </xf>
    <xf numFmtId="3" fontId="7" fillId="0" borderId="12" xfId="0" applyNumberFormat="1" applyFont="1" applyBorder="1"/>
    <xf numFmtId="165" fontId="9" fillId="6" borderId="7" xfId="0" applyNumberFormat="1" applyFont="1" applyFill="1" applyBorder="1" applyAlignment="1">
      <alignment horizontal="center" vertical="center" wrapText="1"/>
    </xf>
    <xf numFmtId="165" fontId="9" fillId="5" borderId="7" xfId="0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0" fontId="3" fillId="0" borderId="0" xfId="0" applyFont="1"/>
    <xf numFmtId="3" fontId="3" fillId="0" borderId="0" xfId="0" applyNumberFormat="1" applyFont="1" applyAlignment="1">
      <alignment horizontal="center"/>
    </xf>
    <xf numFmtId="0" fontId="0" fillId="0" borderId="2" xfId="0" applyBorder="1"/>
    <xf numFmtId="9" fontId="3" fillId="0" borderId="0" xfId="1" applyFont="1" applyAlignment="1">
      <alignment horizontal="center"/>
    </xf>
    <xf numFmtId="3" fontId="12" fillId="0" borderId="0" xfId="0" applyNumberFormat="1" applyFont="1"/>
    <xf numFmtId="164" fontId="13" fillId="3" borderId="5" xfId="0" applyNumberFormat="1" applyFont="1" applyFill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16" fontId="7" fillId="5" borderId="9" xfId="0" applyNumberFormat="1" applyFont="1" applyFill="1" applyBorder="1" applyAlignment="1">
      <alignment vertical="center"/>
    </xf>
    <xf numFmtId="16" fontId="7" fillId="5" borderId="10" xfId="0" applyNumberFormat="1" applyFont="1" applyFill="1" applyBorder="1" applyAlignment="1">
      <alignment vertical="center"/>
    </xf>
    <xf numFmtId="16" fontId="7" fillId="5" borderId="11" xfId="0" applyNumberFormat="1" applyFont="1" applyFill="1" applyBorder="1" applyAlignment="1">
      <alignment vertical="center"/>
    </xf>
    <xf numFmtId="9" fontId="7" fillId="0" borderId="0" xfId="1" applyFont="1"/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11" fillId="7" borderId="15" xfId="0" applyFont="1" applyFill="1" applyBorder="1"/>
    <xf numFmtId="0" fontId="11" fillId="8" borderId="18" xfId="0" applyFont="1" applyFill="1" applyBorder="1"/>
    <xf numFmtId="0" fontId="11" fillId="7" borderId="16" xfId="0" applyFont="1" applyFill="1" applyBorder="1"/>
    <xf numFmtId="0" fontId="11" fillId="7" borderId="17" xfId="0" applyFont="1" applyFill="1" applyBorder="1"/>
    <xf numFmtId="0" fontId="11" fillId="7" borderId="2" xfId="0" applyFont="1" applyFill="1" applyBorder="1"/>
    <xf numFmtId="0" fontId="11" fillId="8" borderId="2" xfId="0" applyFont="1" applyFill="1" applyBorder="1"/>
    <xf numFmtId="0" fontId="0" fillId="10" borderId="0" xfId="0" applyFill="1"/>
    <xf numFmtId="0" fontId="4" fillId="9" borderId="0" xfId="0" applyFont="1" applyFill="1"/>
    <xf numFmtId="0" fontId="4" fillId="10" borderId="0" xfId="0" applyFont="1" applyFill="1"/>
    <xf numFmtId="0" fontId="0" fillId="10" borderId="0" xfId="0" applyFill="1" applyAlignment="1">
      <alignment horizontal="center"/>
    </xf>
    <xf numFmtId="0" fontId="0" fillId="8" borderId="18" xfId="0" applyFill="1" applyBorder="1"/>
    <xf numFmtId="0" fontId="4" fillId="4" borderId="19" xfId="0" applyFont="1" applyFill="1" applyBorder="1" applyAlignment="1">
      <alignment horizontal="center" vertical="center" wrapText="1"/>
    </xf>
    <xf numFmtId="0" fontId="11" fillId="7" borderId="20" xfId="0" applyFont="1" applyFill="1" applyBorder="1"/>
    <xf numFmtId="0" fontId="11" fillId="7" borderId="3" xfId="0" applyFont="1" applyFill="1" applyBorder="1"/>
    <xf numFmtId="0" fontId="11" fillId="7" borderId="0" xfId="0" applyFont="1" applyFill="1"/>
    <xf numFmtId="0" fontId="2" fillId="4" borderId="21" xfId="0" applyFont="1" applyFill="1" applyBorder="1"/>
    <xf numFmtId="0" fontId="4" fillId="11" borderId="4" xfId="0" applyFont="1" applyFill="1" applyBorder="1" applyAlignment="1">
      <alignment horizontal="center" vertical="center" wrapText="1"/>
    </xf>
    <xf numFmtId="1" fontId="0" fillId="0" borderId="0" xfId="0" applyNumberFormat="1"/>
    <xf numFmtId="164" fontId="0" fillId="0" borderId="0" xfId="3" applyNumberFormat="1" applyFont="1"/>
    <xf numFmtId="0" fontId="15" fillId="11" borderId="4" xfId="0" applyFont="1" applyFill="1" applyBorder="1" applyAlignment="1">
      <alignment horizontal="center" vertical="center" wrapText="1"/>
    </xf>
    <xf numFmtId="0" fontId="15" fillId="4" borderId="19" xfId="0" applyFont="1" applyFill="1" applyBorder="1" applyAlignment="1">
      <alignment horizontal="center" vertical="center" wrapText="1"/>
    </xf>
    <xf numFmtId="0" fontId="15" fillId="4" borderId="2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165" fontId="10" fillId="6" borderId="7" xfId="0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14" fillId="2" borderId="14" xfId="0" applyFont="1" applyFill="1" applyBorder="1" applyAlignment="1">
      <alignment horizontal="center" vertical="center" wrapText="1"/>
    </xf>
    <xf numFmtId="0" fontId="0" fillId="0" borderId="14" xfId="0" applyBorder="1"/>
  </cellXfs>
  <cellStyles count="4">
    <cellStyle name="Millares" xfId="3" builtinId="3"/>
    <cellStyle name="Normal" xfId="0" builtinId="0"/>
    <cellStyle name="Normal 2" xfId="2" xr:uid="{00000000-0005-0000-0000-000002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DD93"/>
  <sheetViews>
    <sheetView topLeftCell="A11" zoomScale="70" zoomScaleNormal="70" workbookViewId="0">
      <pane xSplit="3" ySplit="3" topLeftCell="U14" activePane="bottomRight" state="frozen"/>
      <selection activeCell="A11" sqref="A11"/>
      <selection pane="topRight" activeCell="D11" sqref="D11"/>
      <selection pane="bottomLeft" activeCell="A14" sqref="A14"/>
      <selection pane="bottomRight" activeCell="W13" sqref="W13"/>
    </sheetView>
  </sheetViews>
  <sheetFormatPr baseColWidth="10" defaultRowHeight="15" outlineLevelCol="1" x14ac:dyDescent="0.25"/>
  <cols>
    <col min="1" max="1" width="6" customWidth="1"/>
    <col min="2" max="3" width="32" bestFit="1" customWidth="1"/>
    <col min="4" max="4" width="29.5703125" bestFit="1" customWidth="1"/>
    <col min="5" max="5" width="13.5703125" customWidth="1"/>
    <col min="6" max="6" width="13.42578125" customWidth="1"/>
    <col min="7" max="7" width="18.7109375" customWidth="1"/>
    <col min="8" max="8" width="16.42578125" customWidth="1"/>
    <col min="9" max="9" width="13.42578125" customWidth="1"/>
    <col min="10" max="10" width="15.42578125" customWidth="1"/>
    <col min="11" max="11" width="2.7109375" customWidth="1"/>
    <col min="12" max="12" width="7.5703125" hidden="1" customWidth="1"/>
    <col min="13" max="15" width="7.140625" hidden="1" customWidth="1"/>
    <col min="16" max="16" width="9" hidden="1" customWidth="1"/>
    <col min="17" max="17" width="1.85546875" hidden="1" customWidth="1"/>
    <col min="18" max="18" width="13.5703125" style="3" customWidth="1"/>
    <col min="19" max="19" width="1.5703125" style="3" customWidth="1"/>
    <col min="20" max="21" width="12.85546875" customWidth="1"/>
    <col min="22" max="22" width="3.5703125" customWidth="1"/>
    <col min="23" max="26" width="13.7109375" customWidth="1" outlineLevel="1"/>
    <col min="27" max="27" width="13.5703125" customWidth="1" outlineLevel="1"/>
    <col min="28" max="35" width="13.7109375" customWidth="1" outlineLevel="1"/>
    <col min="36" max="36" width="13.5703125" customWidth="1" outlineLevel="1"/>
    <col min="37" max="37" width="13.42578125" customWidth="1" outlineLevel="1"/>
    <col min="38" max="38" width="13.5703125" customWidth="1" outlineLevel="1"/>
    <col min="39" max="39" width="13.7109375" customWidth="1" outlineLevel="1"/>
    <col min="40" max="40" width="13.5703125" customWidth="1" outlineLevel="1"/>
    <col min="41" max="42" width="13.7109375" customWidth="1" outlineLevel="1"/>
    <col min="43" max="91" width="13.5703125" customWidth="1" outlineLevel="1"/>
    <col min="92" max="92" width="14" customWidth="1"/>
    <col min="93" max="93" width="2.42578125" customWidth="1"/>
    <col min="94" max="95" width="13.85546875" customWidth="1"/>
    <col min="96" max="96" width="14" customWidth="1"/>
    <col min="97" max="97" width="15.7109375" customWidth="1"/>
    <col min="98" max="100" width="11.42578125" customWidth="1"/>
    <col min="101" max="101" width="11.85546875" customWidth="1"/>
    <col min="102" max="103" width="11.42578125" customWidth="1"/>
  </cols>
  <sheetData>
    <row r="10" spans="1:108" x14ac:dyDescent="0.25">
      <c r="A10" s="31"/>
      <c r="E10" s="68" t="s">
        <v>0</v>
      </c>
      <c r="F10" s="69"/>
      <c r="G10" s="69"/>
      <c r="H10" s="69"/>
      <c r="I10" s="1"/>
      <c r="J10" s="14"/>
      <c r="R10" s="2"/>
      <c r="S10" s="2"/>
      <c r="T10" s="2">
        <v>15</v>
      </c>
      <c r="U10" s="2"/>
    </row>
    <row r="11" spans="1:108" ht="45" customHeight="1" x14ac:dyDescent="0.25">
      <c r="E11" s="4"/>
      <c r="F11" s="4"/>
      <c r="G11" s="4"/>
      <c r="H11" s="4"/>
      <c r="I11" s="5"/>
      <c r="J11" s="5"/>
      <c r="R11" s="6"/>
      <c r="S11" s="6"/>
      <c r="T11" s="6">
        <v>18</v>
      </c>
      <c r="U11" s="6"/>
      <c r="W11" s="70" t="s">
        <v>1</v>
      </c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2"/>
      <c r="CP11" s="29"/>
      <c r="CQ11" s="29"/>
      <c r="CR11" s="29"/>
      <c r="CS11" s="29"/>
      <c r="CT11" s="29"/>
      <c r="CU11" s="29"/>
      <c r="CV11" s="29"/>
      <c r="CW11" s="29"/>
    </row>
    <row r="12" spans="1:108" ht="45" customHeight="1" x14ac:dyDescent="0.25">
      <c r="A12" s="7"/>
      <c r="B12" s="7"/>
      <c r="C12" s="7"/>
      <c r="D12" s="61"/>
      <c r="E12" s="73" t="s">
        <v>2</v>
      </c>
      <c r="F12" s="74"/>
      <c r="G12" s="74"/>
      <c r="H12" s="74"/>
      <c r="I12" s="74"/>
      <c r="J12" s="74"/>
      <c r="L12" s="36" t="s">
        <v>3</v>
      </c>
      <c r="M12" s="36" t="s">
        <v>4</v>
      </c>
      <c r="N12" s="36" t="s">
        <v>5</v>
      </c>
      <c r="O12" s="36" t="s">
        <v>6</v>
      </c>
      <c r="P12" s="36" t="s">
        <v>7</v>
      </c>
      <c r="R12" s="8" t="s">
        <v>8</v>
      </c>
      <c r="S12" s="9"/>
      <c r="T12" s="8" t="s">
        <v>9</v>
      </c>
      <c r="U12" s="8" t="s">
        <v>10</v>
      </c>
      <c r="W12" s="26">
        <v>46307</v>
      </c>
      <c r="X12" s="26">
        <v>46308</v>
      </c>
      <c r="Y12" s="26">
        <v>46309</v>
      </c>
      <c r="Z12" s="26">
        <v>46310</v>
      </c>
      <c r="AA12" s="26">
        <v>46311</v>
      </c>
      <c r="AB12" s="26">
        <v>46312</v>
      </c>
      <c r="AC12" s="26">
        <v>46313</v>
      </c>
      <c r="AD12" s="26">
        <v>46314</v>
      </c>
      <c r="AE12" s="26">
        <v>46315</v>
      </c>
      <c r="AF12" s="26">
        <v>46316</v>
      </c>
      <c r="AG12" s="26">
        <v>46317</v>
      </c>
      <c r="AH12" s="26">
        <v>46318</v>
      </c>
      <c r="AI12" s="26">
        <v>46319</v>
      </c>
      <c r="AJ12" s="26">
        <v>46320</v>
      </c>
      <c r="AK12" s="26">
        <v>46321</v>
      </c>
      <c r="AL12" s="26">
        <v>46322</v>
      </c>
      <c r="AM12" s="26">
        <v>46323</v>
      </c>
      <c r="AN12" s="26">
        <v>46324</v>
      </c>
      <c r="AO12" s="26">
        <v>46325</v>
      </c>
      <c r="AP12" s="26">
        <v>46326</v>
      </c>
      <c r="AQ12" s="26">
        <v>46327</v>
      </c>
      <c r="AR12" s="26">
        <v>46328</v>
      </c>
      <c r="AS12" s="26">
        <v>46329</v>
      </c>
      <c r="AT12" s="26">
        <v>46330</v>
      </c>
      <c r="AU12" s="26">
        <v>46331</v>
      </c>
      <c r="AV12" s="26">
        <v>46332</v>
      </c>
      <c r="AW12" s="26">
        <v>46333</v>
      </c>
      <c r="AX12" s="26">
        <v>46334</v>
      </c>
      <c r="AY12" s="26">
        <v>46335</v>
      </c>
      <c r="AZ12" s="26">
        <v>46336</v>
      </c>
      <c r="BA12" s="26">
        <v>46337</v>
      </c>
      <c r="BB12" s="26">
        <v>46338</v>
      </c>
      <c r="BC12" s="26">
        <v>46339</v>
      </c>
      <c r="BD12" s="26">
        <v>46340</v>
      </c>
      <c r="BE12" s="26">
        <v>46341</v>
      </c>
      <c r="BF12" s="26">
        <v>46342</v>
      </c>
      <c r="BG12" s="26">
        <v>46343</v>
      </c>
      <c r="BH12" s="26">
        <v>46344</v>
      </c>
      <c r="BI12" s="26">
        <v>46345</v>
      </c>
      <c r="BJ12" s="26">
        <v>46346</v>
      </c>
      <c r="BK12" s="26">
        <v>46347</v>
      </c>
      <c r="BL12" s="26">
        <v>46348</v>
      </c>
      <c r="BM12" s="26">
        <v>46349</v>
      </c>
      <c r="BN12" s="26">
        <v>46350</v>
      </c>
      <c r="BO12" s="26">
        <v>46351</v>
      </c>
      <c r="BP12" s="26">
        <v>46352</v>
      </c>
      <c r="BQ12" s="26">
        <v>46353</v>
      </c>
      <c r="BR12" s="26">
        <v>46354</v>
      </c>
      <c r="BS12" s="26">
        <v>46355</v>
      </c>
      <c r="BT12" s="26">
        <v>46356</v>
      </c>
      <c r="BU12" s="26">
        <v>46357</v>
      </c>
      <c r="BV12" s="26">
        <v>46358</v>
      </c>
      <c r="BW12" s="26">
        <v>46359</v>
      </c>
      <c r="BX12" s="26">
        <v>46360</v>
      </c>
      <c r="BY12" s="26">
        <v>46361</v>
      </c>
      <c r="BZ12" s="26">
        <v>46362</v>
      </c>
      <c r="CA12" s="26">
        <v>46363</v>
      </c>
      <c r="CB12" s="26">
        <v>46364</v>
      </c>
      <c r="CC12" s="26">
        <v>46365</v>
      </c>
      <c r="CD12" s="26">
        <v>46366</v>
      </c>
      <c r="CE12" s="26">
        <v>46367</v>
      </c>
      <c r="CF12" s="26">
        <v>46368</v>
      </c>
      <c r="CG12" s="26">
        <v>46369</v>
      </c>
      <c r="CH12" s="26">
        <v>46370</v>
      </c>
      <c r="CI12" s="26">
        <v>46371</v>
      </c>
      <c r="CJ12" s="26">
        <v>46372</v>
      </c>
      <c r="CK12" s="26">
        <v>46373</v>
      </c>
      <c r="CL12" s="26">
        <v>46374</v>
      </c>
      <c r="CM12" s="26">
        <v>46375</v>
      </c>
      <c r="CN12" s="28" t="s">
        <v>11</v>
      </c>
      <c r="CP12" s="29" t="s">
        <v>12</v>
      </c>
      <c r="CQ12" s="29" t="s">
        <v>13</v>
      </c>
      <c r="CR12" s="29" t="s">
        <v>14</v>
      </c>
      <c r="CS12" s="29" t="s">
        <v>15</v>
      </c>
      <c r="CT12" s="29" t="s">
        <v>16</v>
      </c>
      <c r="CU12" s="29" t="s">
        <v>17</v>
      </c>
      <c r="CV12" s="29" t="s">
        <v>18</v>
      </c>
      <c r="CW12" s="29" t="s">
        <v>19</v>
      </c>
    </row>
    <row r="13" spans="1:108" s="12" customFormat="1" ht="51.75" customHeight="1" x14ac:dyDescent="0.25">
      <c r="A13" s="10" t="s">
        <v>20</v>
      </c>
      <c r="B13" s="45" t="s">
        <v>21</v>
      </c>
      <c r="C13" s="45" t="s">
        <v>22</v>
      </c>
      <c r="D13" s="10" t="s">
        <v>23</v>
      </c>
      <c r="E13" s="62" t="s">
        <v>24</v>
      </c>
      <c r="F13" s="62" t="s">
        <v>25</v>
      </c>
      <c r="G13" s="62" t="s">
        <v>26</v>
      </c>
      <c r="H13" s="62" t="s">
        <v>27</v>
      </c>
      <c r="I13" s="62" t="s">
        <v>28</v>
      </c>
      <c r="J13" s="62" t="s">
        <v>29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R13" s="11">
        <v>181</v>
      </c>
      <c r="S13" s="2"/>
      <c r="T13" s="11">
        <v>3258</v>
      </c>
      <c r="U13" s="11">
        <v>19548</v>
      </c>
      <c r="W13" s="23">
        <f t="shared" ref="W13:BB13" si="0">+W79</f>
        <v>0</v>
      </c>
      <c r="X13" s="23">
        <f t="shared" si="0"/>
        <v>0</v>
      </c>
      <c r="Y13" s="23">
        <f t="shared" si="0"/>
        <v>0</v>
      </c>
      <c r="Z13" s="23">
        <f t="shared" si="0"/>
        <v>0</v>
      </c>
      <c r="AA13" s="23">
        <f t="shared" si="0"/>
        <v>0</v>
      </c>
      <c r="AB13" s="23">
        <f t="shared" si="0"/>
        <v>24</v>
      </c>
      <c r="AC13" s="23">
        <f t="shared" si="0"/>
        <v>0</v>
      </c>
      <c r="AD13" s="23">
        <f t="shared" si="0"/>
        <v>7</v>
      </c>
      <c r="AE13" s="23">
        <f t="shared" si="0"/>
        <v>16</v>
      </c>
      <c r="AF13" s="23">
        <f t="shared" si="0"/>
        <v>8</v>
      </c>
      <c r="AG13" s="23">
        <f t="shared" si="0"/>
        <v>54</v>
      </c>
      <c r="AH13" s="23">
        <f t="shared" si="0"/>
        <v>55</v>
      </c>
      <c r="AI13" s="23">
        <f t="shared" si="0"/>
        <v>59</v>
      </c>
      <c r="AJ13" s="23">
        <f t="shared" si="0"/>
        <v>40</v>
      </c>
      <c r="AK13" s="23">
        <f t="shared" si="0"/>
        <v>0</v>
      </c>
      <c r="AL13" s="23">
        <f t="shared" si="0"/>
        <v>0</v>
      </c>
      <c r="AM13" s="23">
        <f t="shared" si="0"/>
        <v>0</v>
      </c>
      <c r="AN13" s="23">
        <f t="shared" si="0"/>
        <v>0</v>
      </c>
      <c r="AO13" s="23">
        <f t="shared" si="0"/>
        <v>0</v>
      </c>
      <c r="AP13" s="23">
        <f t="shared" si="0"/>
        <v>0</v>
      </c>
      <c r="AQ13" s="23">
        <f t="shared" si="0"/>
        <v>0</v>
      </c>
      <c r="AR13" s="23">
        <f t="shared" si="0"/>
        <v>0</v>
      </c>
      <c r="AS13" s="23">
        <f t="shared" si="0"/>
        <v>0</v>
      </c>
      <c r="AT13" s="23">
        <f t="shared" si="0"/>
        <v>0</v>
      </c>
      <c r="AU13" s="23">
        <f t="shared" si="0"/>
        <v>0</v>
      </c>
      <c r="AV13" s="23">
        <f t="shared" si="0"/>
        <v>0</v>
      </c>
      <c r="AW13" s="23">
        <f t="shared" si="0"/>
        <v>0</v>
      </c>
      <c r="AX13" s="23">
        <f t="shared" si="0"/>
        <v>0</v>
      </c>
      <c r="AY13" s="23">
        <f t="shared" si="0"/>
        <v>0</v>
      </c>
      <c r="AZ13" s="23">
        <f t="shared" si="0"/>
        <v>0</v>
      </c>
      <c r="BA13" s="23">
        <f t="shared" si="0"/>
        <v>0</v>
      </c>
      <c r="BB13" s="23">
        <f t="shared" si="0"/>
        <v>0</v>
      </c>
      <c r="BC13" s="23">
        <f t="shared" ref="BC13:CH13" si="1">+BC79</f>
        <v>0</v>
      </c>
      <c r="BD13" s="23">
        <f t="shared" si="1"/>
        <v>0</v>
      </c>
      <c r="BE13" s="23">
        <f t="shared" si="1"/>
        <v>0</v>
      </c>
      <c r="BF13" s="23">
        <f t="shared" si="1"/>
        <v>0</v>
      </c>
      <c r="BG13" s="23">
        <f t="shared" si="1"/>
        <v>0</v>
      </c>
      <c r="BH13" s="23">
        <f t="shared" si="1"/>
        <v>0</v>
      </c>
      <c r="BI13" s="23">
        <f t="shared" si="1"/>
        <v>0</v>
      </c>
      <c r="BJ13" s="23">
        <f t="shared" si="1"/>
        <v>0</v>
      </c>
      <c r="BK13" s="23">
        <f t="shared" si="1"/>
        <v>0</v>
      </c>
      <c r="BL13" s="23">
        <f t="shared" si="1"/>
        <v>0</v>
      </c>
      <c r="BM13" s="23">
        <f t="shared" si="1"/>
        <v>0</v>
      </c>
      <c r="BN13" s="23">
        <f t="shared" si="1"/>
        <v>0</v>
      </c>
      <c r="BO13" s="23">
        <f t="shared" si="1"/>
        <v>0</v>
      </c>
      <c r="BP13" s="23">
        <f t="shared" si="1"/>
        <v>0</v>
      </c>
      <c r="BQ13" s="23">
        <f t="shared" si="1"/>
        <v>0</v>
      </c>
      <c r="BR13" s="23">
        <f t="shared" si="1"/>
        <v>0</v>
      </c>
      <c r="BS13" s="23">
        <f t="shared" si="1"/>
        <v>0</v>
      </c>
      <c r="BT13" s="23">
        <f t="shared" si="1"/>
        <v>0</v>
      </c>
      <c r="BU13" s="23">
        <f t="shared" si="1"/>
        <v>0</v>
      </c>
      <c r="BV13" s="23">
        <f t="shared" si="1"/>
        <v>0</v>
      </c>
      <c r="BW13" s="23">
        <f t="shared" si="1"/>
        <v>0</v>
      </c>
      <c r="BX13" s="23">
        <f t="shared" si="1"/>
        <v>0</v>
      </c>
      <c r="BY13" s="23">
        <f t="shared" si="1"/>
        <v>0</v>
      </c>
      <c r="BZ13" s="23">
        <f t="shared" si="1"/>
        <v>0</v>
      </c>
      <c r="CA13" s="23">
        <f t="shared" si="1"/>
        <v>0</v>
      </c>
      <c r="CB13" s="23">
        <f t="shared" si="1"/>
        <v>0</v>
      </c>
      <c r="CC13" s="23">
        <f t="shared" si="1"/>
        <v>0</v>
      </c>
      <c r="CD13" s="23">
        <f t="shared" si="1"/>
        <v>0</v>
      </c>
      <c r="CE13" s="23">
        <f t="shared" si="1"/>
        <v>0</v>
      </c>
      <c r="CF13" s="23">
        <f t="shared" si="1"/>
        <v>0</v>
      </c>
      <c r="CG13" s="23">
        <f t="shared" si="1"/>
        <v>0</v>
      </c>
      <c r="CH13" s="23">
        <f t="shared" si="1"/>
        <v>0</v>
      </c>
      <c r="CI13" s="23">
        <f t="shared" ref="CI13:CN13" si="2">+CI79</f>
        <v>0</v>
      </c>
      <c r="CJ13" s="23">
        <f t="shared" si="2"/>
        <v>0</v>
      </c>
      <c r="CK13" s="23">
        <f t="shared" si="2"/>
        <v>0</v>
      </c>
      <c r="CL13" s="23">
        <f t="shared" si="2"/>
        <v>0</v>
      </c>
      <c r="CM13" s="23">
        <f t="shared" si="2"/>
        <v>0</v>
      </c>
      <c r="CN13" s="37">
        <f t="shared" si="2"/>
        <v>263</v>
      </c>
      <c r="CP13" s="39"/>
      <c r="CQ13" s="40"/>
      <c r="CR13" s="40"/>
      <c r="CS13" s="41"/>
      <c r="CT13" s="29"/>
      <c r="CU13" s="29"/>
      <c r="CV13" s="29"/>
      <c r="CW13" s="29"/>
      <c r="CY13" s="65" t="s">
        <v>24</v>
      </c>
      <c r="CZ13" s="65" t="s">
        <v>25</v>
      </c>
      <c r="DA13" s="65" t="s">
        <v>26</v>
      </c>
      <c r="DB13" s="65" t="s">
        <v>27</v>
      </c>
      <c r="DC13" s="65" t="s">
        <v>28</v>
      </c>
      <c r="DD13" s="65" t="s">
        <v>30</v>
      </c>
    </row>
    <row r="14" spans="1:108" ht="15" customHeight="1" x14ac:dyDescent="0.25">
      <c r="A14" s="33" t="s">
        <v>31</v>
      </c>
      <c r="B14" s="46" t="s">
        <v>32</v>
      </c>
      <c r="C14" s="47" t="s">
        <v>33</v>
      </c>
      <c r="D14" s="33" t="s">
        <v>4</v>
      </c>
      <c r="E14" s="13">
        <v>322</v>
      </c>
      <c r="F14" s="13">
        <v>40</v>
      </c>
      <c r="G14" s="13"/>
      <c r="H14" s="13"/>
      <c r="I14" s="13"/>
      <c r="J14" s="13">
        <v>362</v>
      </c>
      <c r="L14" s="3"/>
      <c r="M14" s="3"/>
      <c r="N14" s="3"/>
      <c r="O14" s="3"/>
      <c r="P14" s="3"/>
      <c r="R14" s="3">
        <v>1</v>
      </c>
      <c r="S14" s="15"/>
      <c r="T14" s="16">
        <v>18</v>
      </c>
      <c r="U14" s="16">
        <v>108</v>
      </c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37">
        <f t="shared" ref="CN14:CN45" si="3">+SUM(W14:CM14)</f>
        <v>0</v>
      </c>
      <c r="CP14" s="27">
        <f t="shared" ref="CP14:CP45" si="4">CN14</f>
        <v>0</v>
      </c>
      <c r="CQ14" s="22">
        <v>0</v>
      </c>
      <c r="CR14" s="22">
        <f t="shared" ref="CR14:CR45" si="5">CP14+CQ14</f>
        <v>0</v>
      </c>
      <c r="CS14" s="42"/>
      <c r="CT14" s="44"/>
      <c r="CU14" s="14">
        <f t="shared" ref="CU14:CU45" si="6">DD14</f>
        <v>0</v>
      </c>
      <c r="CV14" s="14">
        <f t="shared" ref="CV14:CV45" si="7">CU14/2</f>
        <v>0</v>
      </c>
      <c r="CW14" s="14">
        <f t="shared" ref="CW14:CW45" si="8">CV14-CP14</f>
        <v>0</v>
      </c>
      <c r="CX14" s="43"/>
      <c r="CY14" s="17"/>
      <c r="DD14" s="14">
        <f t="shared" ref="DD14:DD45" si="9">SUM(CY14:DC14)</f>
        <v>0</v>
      </c>
    </row>
    <row r="15" spans="1:108" x14ac:dyDescent="0.25">
      <c r="A15" s="33" t="s">
        <v>31</v>
      </c>
      <c r="B15" s="48"/>
      <c r="C15" s="47" t="s">
        <v>34</v>
      </c>
      <c r="D15" s="33" t="s">
        <v>4</v>
      </c>
      <c r="E15" s="13">
        <v>756</v>
      </c>
      <c r="F15" s="13">
        <v>143</v>
      </c>
      <c r="G15" s="13"/>
      <c r="H15" s="13"/>
      <c r="I15" s="13"/>
      <c r="J15">
        <v>899</v>
      </c>
      <c r="L15" s="3"/>
      <c r="M15" s="3"/>
      <c r="N15" s="3"/>
      <c r="O15" s="3"/>
      <c r="P15" s="3"/>
      <c r="R15" s="3">
        <v>3</v>
      </c>
      <c r="S15" s="15"/>
      <c r="T15" s="16">
        <v>54</v>
      </c>
      <c r="U15" s="16">
        <v>324</v>
      </c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37">
        <f t="shared" si="3"/>
        <v>0</v>
      </c>
      <c r="CP15" s="27">
        <f t="shared" si="4"/>
        <v>0</v>
      </c>
      <c r="CQ15" s="22">
        <v>0</v>
      </c>
      <c r="CR15" s="22">
        <f t="shared" si="5"/>
        <v>0</v>
      </c>
      <c r="CS15" s="42"/>
      <c r="CT15" s="44"/>
      <c r="CU15" s="14">
        <f t="shared" si="6"/>
        <v>0</v>
      </c>
      <c r="CV15" s="14">
        <f t="shared" si="7"/>
        <v>0</v>
      </c>
      <c r="CW15" s="14">
        <f t="shared" si="8"/>
        <v>0</v>
      </c>
      <c r="CX15" s="43"/>
      <c r="CY15" s="17"/>
      <c r="DD15" s="14">
        <f t="shared" si="9"/>
        <v>0</v>
      </c>
    </row>
    <row r="16" spans="1:108" x14ac:dyDescent="0.25">
      <c r="A16" s="33" t="s">
        <v>31</v>
      </c>
      <c r="B16" s="48"/>
      <c r="C16" s="47" t="s">
        <v>35</v>
      </c>
      <c r="D16" s="33" t="s">
        <v>4</v>
      </c>
      <c r="E16" s="13">
        <v>572</v>
      </c>
      <c r="F16" s="13">
        <v>204</v>
      </c>
      <c r="G16" s="13">
        <v>9</v>
      </c>
      <c r="H16" s="13"/>
      <c r="I16" s="13"/>
      <c r="J16">
        <v>785</v>
      </c>
      <c r="L16" s="3"/>
      <c r="M16" s="3"/>
      <c r="N16" s="3"/>
      <c r="O16" s="3"/>
      <c r="P16" s="3"/>
      <c r="R16" s="3">
        <v>2</v>
      </c>
      <c r="S16" s="15"/>
      <c r="T16" s="16">
        <v>36</v>
      </c>
      <c r="U16" s="16">
        <v>216</v>
      </c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37">
        <f t="shared" si="3"/>
        <v>0</v>
      </c>
      <c r="CP16" s="27">
        <f t="shared" si="4"/>
        <v>0</v>
      </c>
      <c r="CQ16" s="22">
        <v>0</v>
      </c>
      <c r="CR16" s="22">
        <f t="shared" si="5"/>
        <v>0</v>
      </c>
      <c r="CS16" s="42"/>
      <c r="CT16" s="44"/>
      <c r="CU16" s="14">
        <f t="shared" si="6"/>
        <v>0</v>
      </c>
      <c r="CV16" s="14">
        <f t="shared" si="7"/>
        <v>0</v>
      </c>
      <c r="CW16" s="14">
        <f t="shared" si="8"/>
        <v>0</v>
      </c>
      <c r="CX16" s="43"/>
      <c r="CY16" s="17"/>
      <c r="DD16" s="14">
        <f t="shared" si="9"/>
        <v>0</v>
      </c>
    </row>
    <row r="17" spans="1:108" ht="15" customHeight="1" x14ac:dyDescent="0.25">
      <c r="A17" s="33" t="s">
        <v>31</v>
      </c>
      <c r="B17" s="48"/>
      <c r="C17" s="47" t="s">
        <v>36</v>
      </c>
      <c r="D17" s="33" t="s">
        <v>4</v>
      </c>
      <c r="E17" s="13">
        <v>192</v>
      </c>
      <c r="F17" s="13">
        <v>57</v>
      </c>
      <c r="G17" s="13"/>
      <c r="H17" s="13"/>
      <c r="I17" s="13"/>
      <c r="J17" s="13">
        <v>249</v>
      </c>
      <c r="L17" s="3"/>
      <c r="M17" s="3"/>
      <c r="N17" s="3"/>
      <c r="O17" s="3"/>
      <c r="P17" s="3"/>
      <c r="R17" s="3">
        <v>1</v>
      </c>
      <c r="S17" s="15"/>
      <c r="T17" s="16">
        <v>18</v>
      </c>
      <c r="U17" s="16">
        <v>108</v>
      </c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37">
        <f t="shared" si="3"/>
        <v>0</v>
      </c>
      <c r="CP17" s="27">
        <f t="shared" si="4"/>
        <v>0</v>
      </c>
      <c r="CQ17" s="22">
        <v>0</v>
      </c>
      <c r="CR17" s="22">
        <f t="shared" si="5"/>
        <v>0</v>
      </c>
      <c r="CS17" s="42"/>
      <c r="CT17" s="44"/>
      <c r="CU17" s="14">
        <f t="shared" si="6"/>
        <v>0</v>
      </c>
      <c r="CV17" s="14">
        <f t="shared" si="7"/>
        <v>0</v>
      </c>
      <c r="CW17" s="14">
        <f t="shared" si="8"/>
        <v>0</v>
      </c>
      <c r="CX17" s="43"/>
      <c r="CY17" s="17"/>
      <c r="DD17" s="14">
        <f t="shared" si="9"/>
        <v>0</v>
      </c>
    </row>
    <row r="18" spans="1:108" x14ac:dyDescent="0.25">
      <c r="A18" s="33" t="s">
        <v>31</v>
      </c>
      <c r="B18" s="48"/>
      <c r="C18" s="47" t="s">
        <v>37</v>
      </c>
      <c r="D18" s="33" t="s">
        <v>4</v>
      </c>
      <c r="E18" s="13">
        <v>636</v>
      </c>
      <c r="F18" s="13">
        <v>251</v>
      </c>
      <c r="G18" s="13"/>
      <c r="H18" s="13">
        <v>51</v>
      </c>
      <c r="I18" s="13"/>
      <c r="J18" s="13">
        <v>938</v>
      </c>
      <c r="L18" s="3"/>
      <c r="M18" s="3"/>
      <c r="N18" s="3"/>
      <c r="O18" s="3"/>
      <c r="P18" s="3"/>
      <c r="R18" s="3">
        <v>3</v>
      </c>
      <c r="S18" s="15"/>
      <c r="T18" s="16">
        <v>54</v>
      </c>
      <c r="U18" s="16">
        <v>324</v>
      </c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37">
        <f t="shared" si="3"/>
        <v>0</v>
      </c>
      <c r="CP18" s="27">
        <f t="shared" si="4"/>
        <v>0</v>
      </c>
      <c r="CQ18" s="22">
        <v>0</v>
      </c>
      <c r="CR18" s="22">
        <f t="shared" si="5"/>
        <v>0</v>
      </c>
      <c r="CS18" s="42"/>
      <c r="CT18" s="44"/>
      <c r="CU18" s="14">
        <f t="shared" si="6"/>
        <v>0</v>
      </c>
      <c r="CV18" s="14">
        <f t="shared" si="7"/>
        <v>0</v>
      </c>
      <c r="CW18" s="14">
        <f t="shared" si="8"/>
        <v>0</v>
      </c>
      <c r="CX18" s="43"/>
      <c r="CY18" s="17"/>
      <c r="DD18" s="14">
        <f t="shared" si="9"/>
        <v>0</v>
      </c>
    </row>
    <row r="19" spans="1:108" ht="15" customHeight="1" x14ac:dyDescent="0.25">
      <c r="A19" s="33" t="s">
        <v>31</v>
      </c>
      <c r="B19" s="48"/>
      <c r="C19" s="47" t="s">
        <v>38</v>
      </c>
      <c r="D19" s="33" t="s">
        <v>4</v>
      </c>
      <c r="E19" s="13">
        <v>1392</v>
      </c>
      <c r="F19" s="13">
        <v>202</v>
      </c>
      <c r="G19" s="13"/>
      <c r="H19" s="13">
        <v>83</v>
      </c>
      <c r="I19" s="13"/>
      <c r="J19" s="13">
        <v>1677</v>
      </c>
      <c r="L19" s="3"/>
      <c r="M19" s="3"/>
      <c r="N19" s="3"/>
      <c r="O19" s="3"/>
      <c r="P19" s="3"/>
      <c r="R19" s="3">
        <v>4</v>
      </c>
      <c r="S19" s="15"/>
      <c r="T19" s="16">
        <v>72</v>
      </c>
      <c r="U19" s="16">
        <v>432</v>
      </c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37">
        <f t="shared" si="3"/>
        <v>0</v>
      </c>
      <c r="CP19" s="27">
        <f t="shared" si="4"/>
        <v>0</v>
      </c>
      <c r="CQ19" s="22">
        <v>0</v>
      </c>
      <c r="CR19" s="22">
        <f t="shared" si="5"/>
        <v>0</v>
      </c>
      <c r="CS19" s="42"/>
      <c r="CT19" s="44"/>
      <c r="CU19" s="14">
        <f t="shared" si="6"/>
        <v>0</v>
      </c>
      <c r="CV19" s="14">
        <f t="shared" si="7"/>
        <v>0</v>
      </c>
      <c r="CW19" s="14">
        <f t="shared" si="8"/>
        <v>0</v>
      </c>
      <c r="CX19" s="43"/>
      <c r="CY19" s="17"/>
      <c r="DD19" s="14">
        <f t="shared" si="9"/>
        <v>0</v>
      </c>
    </row>
    <row r="20" spans="1:108" x14ac:dyDescent="0.25">
      <c r="A20" s="33" t="s">
        <v>31</v>
      </c>
      <c r="B20" s="48"/>
      <c r="C20" s="47" t="s">
        <v>39</v>
      </c>
      <c r="D20" s="33" t="s">
        <v>4</v>
      </c>
      <c r="E20" s="13">
        <v>308</v>
      </c>
      <c r="F20" s="13">
        <v>22</v>
      </c>
      <c r="G20" s="13"/>
      <c r="H20" s="13">
        <v>2</v>
      </c>
      <c r="I20" s="13"/>
      <c r="J20" s="13">
        <v>332</v>
      </c>
      <c r="L20" s="3"/>
      <c r="M20" s="3"/>
      <c r="N20" s="3"/>
      <c r="O20" s="3"/>
      <c r="P20" s="3"/>
      <c r="R20" s="3">
        <v>1</v>
      </c>
      <c r="S20" s="15"/>
      <c r="T20" s="16">
        <v>18</v>
      </c>
      <c r="U20" s="16">
        <v>108</v>
      </c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37">
        <f t="shared" si="3"/>
        <v>0</v>
      </c>
      <c r="CP20" s="27">
        <f t="shared" si="4"/>
        <v>0</v>
      </c>
      <c r="CQ20" s="22">
        <v>0</v>
      </c>
      <c r="CR20" s="22">
        <f t="shared" si="5"/>
        <v>0</v>
      </c>
      <c r="CS20" s="42"/>
      <c r="CT20" s="44"/>
      <c r="CU20" s="14">
        <f t="shared" si="6"/>
        <v>0</v>
      </c>
      <c r="CV20" s="14">
        <f t="shared" si="7"/>
        <v>0</v>
      </c>
      <c r="CW20" s="14">
        <f t="shared" si="8"/>
        <v>0</v>
      </c>
      <c r="CX20" s="43"/>
      <c r="CY20" s="17"/>
      <c r="DD20" s="14">
        <f t="shared" si="9"/>
        <v>0</v>
      </c>
    </row>
    <row r="21" spans="1:108" x14ac:dyDescent="0.25">
      <c r="A21" s="33" t="s">
        <v>31</v>
      </c>
      <c r="B21" s="48"/>
      <c r="C21" s="47" t="s">
        <v>40</v>
      </c>
      <c r="D21" s="33" t="s">
        <v>4</v>
      </c>
      <c r="E21" s="13">
        <v>2132</v>
      </c>
      <c r="F21" s="13">
        <v>223</v>
      </c>
      <c r="G21" s="13">
        <v>30</v>
      </c>
      <c r="H21" s="13"/>
      <c r="I21" s="13"/>
      <c r="J21" s="13">
        <v>2385</v>
      </c>
      <c r="L21" s="3"/>
      <c r="M21" s="3"/>
      <c r="N21" s="3"/>
      <c r="O21" s="3"/>
      <c r="P21" s="3"/>
      <c r="R21" s="3">
        <v>6</v>
      </c>
      <c r="S21" s="15"/>
      <c r="T21" s="16">
        <v>108</v>
      </c>
      <c r="U21" s="16">
        <v>648</v>
      </c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37">
        <f t="shared" si="3"/>
        <v>0</v>
      </c>
      <c r="CP21" s="27">
        <f t="shared" si="4"/>
        <v>0</v>
      </c>
      <c r="CQ21" s="22">
        <v>0</v>
      </c>
      <c r="CR21" s="22">
        <f t="shared" si="5"/>
        <v>0</v>
      </c>
      <c r="CS21" s="42"/>
      <c r="CT21" s="44"/>
      <c r="CU21" s="14">
        <f t="shared" si="6"/>
        <v>0</v>
      </c>
      <c r="CV21" s="14">
        <f t="shared" si="7"/>
        <v>0</v>
      </c>
      <c r="CW21" s="14">
        <f t="shared" si="8"/>
        <v>0</v>
      </c>
      <c r="CX21" s="43"/>
      <c r="CY21" s="17"/>
      <c r="DD21" s="14">
        <f t="shared" si="9"/>
        <v>0</v>
      </c>
    </row>
    <row r="22" spans="1:108" x14ac:dyDescent="0.25">
      <c r="A22" s="33" t="s">
        <v>31</v>
      </c>
      <c r="B22" s="48"/>
      <c r="C22" s="47" t="s">
        <v>41</v>
      </c>
      <c r="D22" s="33" t="s">
        <v>4</v>
      </c>
      <c r="E22" s="13">
        <v>437</v>
      </c>
      <c r="F22" s="13">
        <v>56</v>
      </c>
      <c r="G22" s="13"/>
      <c r="H22" s="13"/>
      <c r="I22" s="13"/>
      <c r="J22" s="13">
        <v>493</v>
      </c>
      <c r="L22" s="3"/>
      <c r="M22" s="3"/>
      <c r="N22" s="3"/>
      <c r="O22" s="3"/>
      <c r="P22" s="3"/>
      <c r="R22" s="3">
        <v>2</v>
      </c>
      <c r="S22" s="15"/>
      <c r="T22" s="16">
        <v>36</v>
      </c>
      <c r="U22" s="16">
        <v>216</v>
      </c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37">
        <f t="shared" si="3"/>
        <v>0</v>
      </c>
      <c r="CP22" s="27">
        <f t="shared" si="4"/>
        <v>0</v>
      </c>
      <c r="CQ22" s="22">
        <v>0</v>
      </c>
      <c r="CR22" s="22">
        <f t="shared" si="5"/>
        <v>0</v>
      </c>
      <c r="CS22" s="42"/>
      <c r="CT22" s="44"/>
      <c r="CU22" s="14">
        <f t="shared" si="6"/>
        <v>0</v>
      </c>
      <c r="CV22" s="14">
        <f t="shared" si="7"/>
        <v>0</v>
      </c>
      <c r="CW22" s="14">
        <f t="shared" si="8"/>
        <v>0</v>
      </c>
      <c r="CX22" s="43"/>
      <c r="CY22" s="17"/>
      <c r="DD22" s="14">
        <f t="shared" si="9"/>
        <v>0</v>
      </c>
    </row>
    <row r="23" spans="1:108" x14ac:dyDescent="0.25">
      <c r="A23" s="33" t="s">
        <v>31</v>
      </c>
      <c r="B23" s="48"/>
      <c r="C23" s="47" t="s">
        <v>42</v>
      </c>
      <c r="D23" s="33" t="s">
        <v>4</v>
      </c>
      <c r="E23" s="13">
        <v>79</v>
      </c>
      <c r="F23" s="13">
        <v>8</v>
      </c>
      <c r="G23" s="13"/>
      <c r="H23" s="13"/>
      <c r="I23" s="13"/>
      <c r="J23" s="13">
        <v>87</v>
      </c>
      <c r="L23" s="3"/>
      <c r="M23" s="3"/>
      <c r="N23" s="3"/>
      <c r="O23" s="3"/>
      <c r="P23" s="3"/>
      <c r="R23" s="3">
        <v>1</v>
      </c>
      <c r="S23" s="15"/>
      <c r="T23" s="16">
        <v>18</v>
      </c>
      <c r="U23" s="16">
        <v>108</v>
      </c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37">
        <f t="shared" si="3"/>
        <v>0</v>
      </c>
      <c r="CP23" s="27">
        <f t="shared" si="4"/>
        <v>0</v>
      </c>
      <c r="CQ23" s="22">
        <v>0</v>
      </c>
      <c r="CR23" s="22">
        <f t="shared" si="5"/>
        <v>0</v>
      </c>
      <c r="CS23" s="42"/>
      <c r="CT23" s="44"/>
      <c r="CU23" s="14">
        <f t="shared" si="6"/>
        <v>0</v>
      </c>
      <c r="CV23" s="14">
        <f t="shared" si="7"/>
        <v>0</v>
      </c>
      <c r="CW23" s="14">
        <f t="shared" si="8"/>
        <v>0</v>
      </c>
      <c r="CX23" s="43"/>
      <c r="CY23" s="17"/>
      <c r="DD23" s="14">
        <f t="shared" si="9"/>
        <v>0</v>
      </c>
    </row>
    <row r="24" spans="1:108" x14ac:dyDescent="0.25">
      <c r="A24" s="33" t="s">
        <v>31</v>
      </c>
      <c r="B24" s="48"/>
      <c r="C24" s="47" t="s">
        <v>43</v>
      </c>
      <c r="D24" s="33" t="s">
        <v>4</v>
      </c>
      <c r="E24" s="13">
        <v>374</v>
      </c>
      <c r="F24" s="13">
        <v>110</v>
      </c>
      <c r="G24" s="13"/>
      <c r="H24" s="13"/>
      <c r="I24" s="13"/>
      <c r="J24" s="13">
        <v>484</v>
      </c>
      <c r="L24" s="3"/>
      <c r="M24" s="3"/>
      <c r="N24" s="3"/>
      <c r="O24" s="3"/>
      <c r="P24" s="3"/>
      <c r="R24" s="3">
        <v>2</v>
      </c>
      <c r="S24" s="15"/>
      <c r="T24" s="16">
        <v>36</v>
      </c>
      <c r="U24" s="16">
        <v>216</v>
      </c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37">
        <f t="shared" si="3"/>
        <v>0</v>
      </c>
      <c r="CP24" s="27">
        <f t="shared" si="4"/>
        <v>0</v>
      </c>
      <c r="CQ24" s="22">
        <v>0</v>
      </c>
      <c r="CR24" s="22">
        <f t="shared" si="5"/>
        <v>0</v>
      </c>
      <c r="CS24" s="42"/>
      <c r="CT24" s="44"/>
      <c r="CU24" s="14">
        <f t="shared" si="6"/>
        <v>0</v>
      </c>
      <c r="CV24" s="14">
        <f t="shared" si="7"/>
        <v>0</v>
      </c>
      <c r="CW24" s="14">
        <f t="shared" si="8"/>
        <v>0</v>
      </c>
      <c r="CX24" s="43"/>
      <c r="CY24" s="17"/>
      <c r="DD24" s="14">
        <f t="shared" si="9"/>
        <v>0</v>
      </c>
    </row>
    <row r="25" spans="1:108" x14ac:dyDescent="0.25">
      <c r="A25" s="33" t="s">
        <v>31</v>
      </c>
      <c r="B25" s="48"/>
      <c r="C25" s="47" t="s">
        <v>44</v>
      </c>
      <c r="D25" s="33" t="s">
        <v>4</v>
      </c>
      <c r="E25" s="13">
        <v>418</v>
      </c>
      <c r="F25" s="13">
        <v>71</v>
      </c>
      <c r="G25" s="13"/>
      <c r="H25" s="13"/>
      <c r="I25" s="13">
        <v>3</v>
      </c>
      <c r="J25" s="13">
        <v>492</v>
      </c>
      <c r="L25" s="3"/>
      <c r="M25" s="3"/>
      <c r="N25" s="3"/>
      <c r="O25" s="3"/>
      <c r="P25" s="3"/>
      <c r="R25" s="3">
        <v>2</v>
      </c>
      <c r="S25" s="15"/>
      <c r="T25" s="16">
        <v>36</v>
      </c>
      <c r="U25" s="16">
        <v>216</v>
      </c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37">
        <f t="shared" si="3"/>
        <v>0</v>
      </c>
      <c r="CP25" s="27">
        <f t="shared" si="4"/>
        <v>0</v>
      </c>
      <c r="CQ25" s="22">
        <v>0</v>
      </c>
      <c r="CR25" s="22">
        <f t="shared" si="5"/>
        <v>0</v>
      </c>
      <c r="CS25" s="42"/>
      <c r="CT25" s="44"/>
      <c r="CU25" s="14">
        <f t="shared" si="6"/>
        <v>0</v>
      </c>
      <c r="CV25" s="14">
        <f t="shared" si="7"/>
        <v>0</v>
      </c>
      <c r="CW25" s="14">
        <f t="shared" si="8"/>
        <v>0</v>
      </c>
      <c r="CX25" s="43"/>
      <c r="CY25" s="17"/>
      <c r="DD25" s="14">
        <f t="shared" si="9"/>
        <v>0</v>
      </c>
    </row>
    <row r="26" spans="1:108" ht="15" customHeight="1" x14ac:dyDescent="0.25">
      <c r="A26" s="33" t="s">
        <v>31</v>
      </c>
      <c r="B26" s="49"/>
      <c r="C26" s="47" t="s">
        <v>45</v>
      </c>
      <c r="D26" s="33" t="s">
        <v>4</v>
      </c>
      <c r="E26" s="13">
        <v>363</v>
      </c>
      <c r="F26" s="13">
        <v>32</v>
      </c>
      <c r="G26" s="13"/>
      <c r="H26" s="13">
        <v>1</v>
      </c>
      <c r="I26" s="13"/>
      <c r="J26" s="13">
        <v>396</v>
      </c>
      <c r="L26" s="3"/>
      <c r="M26" s="3"/>
      <c r="N26" s="3"/>
      <c r="O26" s="3"/>
      <c r="P26" s="3"/>
      <c r="R26" s="3">
        <v>1</v>
      </c>
      <c r="S26" s="15"/>
      <c r="T26" s="16">
        <v>18</v>
      </c>
      <c r="U26" s="16">
        <v>108</v>
      </c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37">
        <f t="shared" si="3"/>
        <v>0</v>
      </c>
      <c r="CP26" s="27">
        <f t="shared" si="4"/>
        <v>0</v>
      </c>
      <c r="CQ26" s="22">
        <v>0</v>
      </c>
      <c r="CR26" s="22">
        <f t="shared" si="5"/>
        <v>0</v>
      </c>
      <c r="CS26" s="42"/>
      <c r="CT26" s="44"/>
      <c r="CU26" s="14">
        <f t="shared" si="6"/>
        <v>0</v>
      </c>
      <c r="CV26" s="14">
        <f t="shared" si="7"/>
        <v>0</v>
      </c>
      <c r="CW26" s="14">
        <f t="shared" si="8"/>
        <v>0</v>
      </c>
      <c r="CX26" s="43"/>
      <c r="CY26" s="17"/>
      <c r="DD26" s="14">
        <f t="shared" si="9"/>
        <v>0</v>
      </c>
    </row>
    <row r="27" spans="1:108" x14ac:dyDescent="0.25">
      <c r="A27" s="33" t="s">
        <v>31</v>
      </c>
      <c r="B27" s="50" t="s">
        <v>46</v>
      </c>
      <c r="C27" s="47" t="s">
        <v>46</v>
      </c>
      <c r="D27" s="33" t="s">
        <v>3</v>
      </c>
      <c r="E27" s="13">
        <v>2353</v>
      </c>
      <c r="F27" s="13">
        <v>312</v>
      </c>
      <c r="G27" s="13"/>
      <c r="H27" s="13"/>
      <c r="I27" s="13"/>
      <c r="J27" s="13">
        <v>2665</v>
      </c>
      <c r="L27" s="3"/>
      <c r="M27" s="3"/>
      <c r="N27" s="3"/>
      <c r="O27" s="3"/>
      <c r="P27" s="3"/>
      <c r="R27" s="3">
        <v>7</v>
      </c>
      <c r="S27" s="15"/>
      <c r="T27" s="16">
        <v>126</v>
      </c>
      <c r="U27" s="16">
        <v>756</v>
      </c>
      <c r="W27" s="24"/>
      <c r="X27" s="24"/>
      <c r="Y27" s="24"/>
      <c r="Z27" s="24"/>
      <c r="AA27" s="24"/>
      <c r="AB27" s="24">
        <v>24</v>
      </c>
      <c r="AC27" s="24"/>
      <c r="AD27" s="24">
        <v>7</v>
      </c>
      <c r="AE27" s="24">
        <v>16</v>
      </c>
      <c r="AF27" s="24">
        <v>8</v>
      </c>
      <c r="AG27" s="24">
        <v>8</v>
      </c>
      <c r="AH27" s="24">
        <v>13</v>
      </c>
      <c r="AI27" s="24">
        <v>30</v>
      </c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37">
        <f t="shared" si="3"/>
        <v>106</v>
      </c>
      <c r="CP27" s="27">
        <f t="shared" si="4"/>
        <v>106</v>
      </c>
      <c r="CQ27" s="22">
        <v>0</v>
      </c>
      <c r="CR27" s="22">
        <f t="shared" si="5"/>
        <v>106</v>
      </c>
      <c r="CS27" s="42"/>
      <c r="CT27" s="44"/>
      <c r="CU27" s="14">
        <f t="shared" si="6"/>
        <v>741</v>
      </c>
      <c r="CV27" s="14">
        <f t="shared" si="7"/>
        <v>370.5</v>
      </c>
      <c r="CW27" s="14">
        <f t="shared" si="8"/>
        <v>264.5</v>
      </c>
      <c r="CX27" s="43"/>
      <c r="CY27" s="17">
        <v>649</v>
      </c>
      <c r="CZ27">
        <v>92</v>
      </c>
      <c r="DD27" s="14">
        <f t="shared" si="9"/>
        <v>741</v>
      </c>
    </row>
    <row r="28" spans="1:108" x14ac:dyDescent="0.25">
      <c r="A28" s="33" t="s">
        <v>31</v>
      </c>
      <c r="B28" s="50" t="s">
        <v>47</v>
      </c>
      <c r="C28" s="47" t="s">
        <v>47</v>
      </c>
      <c r="D28" s="33" t="s">
        <v>3</v>
      </c>
      <c r="E28" s="13">
        <v>1107</v>
      </c>
      <c r="F28" s="13">
        <v>270</v>
      </c>
      <c r="G28" s="13">
        <v>1</v>
      </c>
      <c r="H28" s="13"/>
      <c r="I28" s="13"/>
      <c r="J28" s="13">
        <v>1378</v>
      </c>
      <c r="L28" s="3"/>
      <c r="M28" s="3"/>
      <c r="N28" s="3"/>
      <c r="O28" s="3"/>
      <c r="P28" s="3"/>
      <c r="R28" s="3">
        <v>4</v>
      </c>
      <c r="S28" s="15"/>
      <c r="T28" s="16">
        <v>72</v>
      </c>
      <c r="U28" s="16">
        <v>432</v>
      </c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>
        <v>43</v>
      </c>
      <c r="AH28" s="24">
        <v>27</v>
      </c>
      <c r="AI28" s="24">
        <v>28</v>
      </c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37">
        <f t="shared" si="3"/>
        <v>98</v>
      </c>
      <c r="CP28" s="27">
        <f t="shared" si="4"/>
        <v>98</v>
      </c>
      <c r="CQ28" s="22">
        <v>0</v>
      </c>
      <c r="CR28" s="22">
        <f t="shared" si="5"/>
        <v>98</v>
      </c>
      <c r="CS28" s="42"/>
      <c r="CT28" s="44"/>
      <c r="CU28" s="14">
        <f t="shared" si="6"/>
        <v>2754</v>
      </c>
      <c r="CV28" s="14">
        <f t="shared" si="7"/>
        <v>1377</v>
      </c>
      <c r="CW28" s="14">
        <f t="shared" si="8"/>
        <v>1279</v>
      </c>
      <c r="CX28" s="43"/>
      <c r="CY28" s="17">
        <v>2214</v>
      </c>
      <c r="CZ28">
        <v>540</v>
      </c>
      <c r="DD28" s="14">
        <f t="shared" si="9"/>
        <v>2754</v>
      </c>
    </row>
    <row r="29" spans="1:108" ht="15" customHeight="1" x14ac:dyDescent="0.25">
      <c r="A29" s="33">
        <v>1</v>
      </c>
      <c r="B29" s="58" t="s">
        <v>48</v>
      </c>
      <c r="C29" s="47" t="s">
        <v>49</v>
      </c>
      <c r="D29" s="33" t="s">
        <v>3</v>
      </c>
      <c r="E29" s="13">
        <v>686</v>
      </c>
      <c r="F29" s="13">
        <v>36</v>
      </c>
      <c r="G29" s="13">
        <v>13</v>
      </c>
      <c r="H29" s="13"/>
      <c r="I29" s="13"/>
      <c r="J29" s="13">
        <v>735</v>
      </c>
      <c r="L29" s="3"/>
      <c r="M29" s="3"/>
      <c r="N29" s="3"/>
      <c r="O29" s="3"/>
      <c r="P29" s="3"/>
      <c r="R29" s="3">
        <v>2</v>
      </c>
      <c r="T29" s="16">
        <v>36</v>
      </c>
      <c r="U29" s="16">
        <v>216</v>
      </c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>
        <v>3</v>
      </c>
      <c r="AH29" s="24">
        <v>15</v>
      </c>
      <c r="AI29" s="24"/>
      <c r="AJ29" s="24">
        <v>5</v>
      </c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37">
        <f t="shared" si="3"/>
        <v>23</v>
      </c>
      <c r="CP29" s="27">
        <f t="shared" si="4"/>
        <v>23</v>
      </c>
      <c r="CQ29" s="22">
        <v>0</v>
      </c>
      <c r="CR29" s="22">
        <f t="shared" si="5"/>
        <v>23</v>
      </c>
      <c r="CS29" s="42"/>
      <c r="CT29" s="44"/>
      <c r="CU29" s="14">
        <f t="shared" si="6"/>
        <v>812</v>
      </c>
      <c r="CV29" s="14">
        <f t="shared" si="7"/>
        <v>406</v>
      </c>
      <c r="CW29" s="14">
        <f t="shared" si="8"/>
        <v>383</v>
      </c>
      <c r="CX29" s="43"/>
      <c r="CY29" s="17">
        <v>740</v>
      </c>
      <c r="CZ29">
        <v>72</v>
      </c>
      <c r="DD29" s="14">
        <f t="shared" si="9"/>
        <v>812</v>
      </c>
    </row>
    <row r="30" spans="1:108" ht="15" customHeight="1" x14ac:dyDescent="0.25">
      <c r="A30" s="33">
        <v>1</v>
      </c>
      <c r="B30" s="60"/>
      <c r="C30" s="47" t="s">
        <v>50</v>
      </c>
      <c r="D30" s="33" t="s">
        <v>3</v>
      </c>
      <c r="E30" s="13">
        <v>74</v>
      </c>
      <c r="F30" s="13">
        <v>2</v>
      </c>
      <c r="G30" s="13">
        <v>23</v>
      </c>
      <c r="H30" s="13"/>
      <c r="I30" s="13"/>
      <c r="J30" s="13">
        <v>99</v>
      </c>
      <c r="L30" s="3"/>
      <c r="M30" s="3"/>
      <c r="N30" s="3"/>
      <c r="O30" s="3"/>
      <c r="P30" s="3"/>
      <c r="R30" s="3">
        <v>1</v>
      </c>
      <c r="S30" s="2"/>
      <c r="T30" s="16">
        <v>18</v>
      </c>
      <c r="U30" s="16">
        <v>108</v>
      </c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>
        <v>35</v>
      </c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37">
        <f t="shared" si="3"/>
        <v>35</v>
      </c>
      <c r="CP30" s="27">
        <f t="shared" si="4"/>
        <v>35</v>
      </c>
      <c r="CQ30" s="22">
        <v>0</v>
      </c>
      <c r="CR30" s="22">
        <f t="shared" si="5"/>
        <v>35</v>
      </c>
      <c r="CS30" s="42"/>
      <c r="CT30" s="44"/>
      <c r="CU30" s="14">
        <f t="shared" si="6"/>
        <v>4</v>
      </c>
      <c r="CV30" s="14">
        <f t="shared" si="7"/>
        <v>2</v>
      </c>
      <c r="CW30" s="14">
        <f t="shared" si="8"/>
        <v>-33</v>
      </c>
      <c r="CX30" s="43"/>
      <c r="CY30" s="17"/>
      <c r="CZ30">
        <v>4</v>
      </c>
      <c r="DD30" s="14">
        <f t="shared" si="9"/>
        <v>4</v>
      </c>
    </row>
    <row r="31" spans="1:108" ht="15" customHeight="1" x14ac:dyDescent="0.25">
      <c r="A31" s="33">
        <v>1</v>
      </c>
      <c r="B31" s="59"/>
      <c r="C31" s="47" t="s">
        <v>51</v>
      </c>
      <c r="D31" s="33" t="s">
        <v>4</v>
      </c>
      <c r="E31" s="13">
        <v>321</v>
      </c>
      <c r="F31" s="13">
        <v>35</v>
      </c>
      <c r="G31" s="13">
        <v>2</v>
      </c>
      <c r="H31" s="13"/>
      <c r="I31" s="13"/>
      <c r="J31" s="13">
        <v>358</v>
      </c>
      <c r="L31" s="3"/>
      <c r="M31" s="3"/>
      <c r="N31" s="3"/>
      <c r="O31" s="3"/>
      <c r="P31" s="3"/>
      <c r="R31" s="3">
        <v>1</v>
      </c>
      <c r="S31" s="15"/>
      <c r="T31" s="16">
        <v>18</v>
      </c>
      <c r="U31" s="16">
        <v>108</v>
      </c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37">
        <f t="shared" si="3"/>
        <v>0</v>
      </c>
      <c r="CP31" s="27">
        <f t="shared" si="4"/>
        <v>0</v>
      </c>
      <c r="CQ31" s="22">
        <v>0</v>
      </c>
      <c r="CR31" s="22">
        <f t="shared" si="5"/>
        <v>0</v>
      </c>
      <c r="CS31" s="42"/>
      <c r="CT31" s="44"/>
      <c r="CU31" s="14">
        <f t="shared" si="6"/>
        <v>0</v>
      </c>
      <c r="CV31" s="14">
        <f t="shared" si="7"/>
        <v>0</v>
      </c>
      <c r="CW31" s="14">
        <f t="shared" si="8"/>
        <v>0</v>
      </c>
      <c r="CX31" s="43"/>
      <c r="CY31" s="17"/>
      <c r="DD31" s="14">
        <f t="shared" si="9"/>
        <v>0</v>
      </c>
    </row>
    <row r="32" spans="1:108" x14ac:dyDescent="0.25">
      <c r="A32" s="33">
        <v>2</v>
      </c>
      <c r="B32" s="58" t="s">
        <v>52</v>
      </c>
      <c r="C32" s="47" t="s">
        <v>53</v>
      </c>
      <c r="D32" s="33" t="s">
        <v>3</v>
      </c>
      <c r="E32" s="13">
        <v>2</v>
      </c>
      <c r="F32" s="13"/>
      <c r="G32" s="13"/>
      <c r="H32" s="13"/>
      <c r="I32" s="13"/>
      <c r="J32" s="13">
        <v>2</v>
      </c>
      <c r="L32" s="3"/>
      <c r="M32" s="3"/>
      <c r="N32" s="3"/>
      <c r="O32" s="3"/>
      <c r="P32" s="3"/>
      <c r="R32" s="3">
        <v>1</v>
      </c>
      <c r="T32" s="16">
        <v>18</v>
      </c>
      <c r="U32" s="16">
        <v>108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37">
        <f t="shared" si="3"/>
        <v>0</v>
      </c>
      <c r="CP32" s="27">
        <f t="shared" si="4"/>
        <v>0</v>
      </c>
      <c r="CQ32" s="22">
        <v>0</v>
      </c>
      <c r="CR32" s="22">
        <f t="shared" si="5"/>
        <v>0</v>
      </c>
      <c r="CS32" s="42"/>
      <c r="CT32" s="44"/>
      <c r="CU32" s="14">
        <f t="shared" si="6"/>
        <v>188</v>
      </c>
      <c r="CV32" s="14">
        <f t="shared" si="7"/>
        <v>94</v>
      </c>
      <c r="CW32" s="14">
        <f t="shared" si="8"/>
        <v>94</v>
      </c>
      <c r="CX32" s="43"/>
      <c r="CY32" s="17">
        <v>188</v>
      </c>
      <c r="DD32" s="14">
        <f t="shared" si="9"/>
        <v>188</v>
      </c>
    </row>
    <row r="33" spans="1:108" x14ac:dyDescent="0.25">
      <c r="A33" s="33">
        <v>2</v>
      </c>
      <c r="B33" s="60"/>
      <c r="C33" s="47" t="s">
        <v>54</v>
      </c>
      <c r="D33" s="33" t="s">
        <v>3</v>
      </c>
      <c r="E33" s="13">
        <v>862</v>
      </c>
      <c r="F33" s="13">
        <v>19</v>
      </c>
      <c r="G33" s="13"/>
      <c r="H33" s="13"/>
      <c r="I33" s="13"/>
      <c r="J33" s="13">
        <v>881</v>
      </c>
      <c r="L33" s="3"/>
      <c r="M33" s="3"/>
      <c r="N33" s="3"/>
      <c r="O33" s="3"/>
      <c r="P33" s="3"/>
      <c r="R33" s="3">
        <v>3</v>
      </c>
      <c r="S33" s="15"/>
      <c r="T33" s="16">
        <v>54</v>
      </c>
      <c r="U33" s="16">
        <v>324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37">
        <f t="shared" si="3"/>
        <v>0</v>
      </c>
      <c r="CP33" s="27">
        <f t="shared" si="4"/>
        <v>0</v>
      </c>
      <c r="CQ33" s="22">
        <v>0</v>
      </c>
      <c r="CR33" s="22">
        <f t="shared" si="5"/>
        <v>0</v>
      </c>
      <c r="CS33" s="42"/>
      <c r="CT33" s="44"/>
      <c r="CU33" s="14">
        <f t="shared" si="6"/>
        <v>0</v>
      </c>
      <c r="CV33" s="14">
        <f t="shared" si="7"/>
        <v>0</v>
      </c>
      <c r="CW33" s="14">
        <f t="shared" si="8"/>
        <v>0</v>
      </c>
      <c r="CX33" s="43"/>
      <c r="CY33" s="17"/>
      <c r="DD33" s="14">
        <f t="shared" si="9"/>
        <v>0</v>
      </c>
    </row>
    <row r="34" spans="1:108" x14ac:dyDescent="0.25">
      <c r="A34" s="33">
        <v>2</v>
      </c>
      <c r="B34" s="59"/>
      <c r="C34" s="47" t="s">
        <v>55</v>
      </c>
      <c r="D34" s="33" t="s">
        <v>3</v>
      </c>
      <c r="E34" s="13">
        <v>661</v>
      </c>
      <c r="F34" s="13">
        <v>216</v>
      </c>
      <c r="G34" s="13">
        <v>2</v>
      </c>
      <c r="H34" s="13"/>
      <c r="I34" s="13"/>
      <c r="J34" s="13">
        <v>879</v>
      </c>
      <c r="L34" s="3"/>
      <c r="M34" s="3"/>
      <c r="N34" s="3"/>
      <c r="O34" s="3"/>
      <c r="P34" s="3"/>
      <c r="R34" s="3">
        <v>3</v>
      </c>
      <c r="T34" s="16">
        <v>54</v>
      </c>
      <c r="U34" s="16">
        <v>324</v>
      </c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37">
        <f t="shared" si="3"/>
        <v>0</v>
      </c>
      <c r="CP34" s="27">
        <f t="shared" si="4"/>
        <v>0</v>
      </c>
      <c r="CQ34" s="22">
        <v>0</v>
      </c>
      <c r="CR34" s="22">
        <f t="shared" si="5"/>
        <v>0</v>
      </c>
      <c r="CS34" s="42"/>
      <c r="CT34" s="44"/>
      <c r="CU34" s="14">
        <f t="shared" si="6"/>
        <v>0</v>
      </c>
      <c r="CV34" s="14">
        <f t="shared" si="7"/>
        <v>0</v>
      </c>
      <c r="CW34" s="14">
        <f t="shared" si="8"/>
        <v>0</v>
      </c>
      <c r="CX34" s="43"/>
      <c r="CY34" s="17"/>
      <c r="DD34" s="14">
        <f t="shared" si="9"/>
        <v>0</v>
      </c>
    </row>
    <row r="35" spans="1:108" x14ac:dyDescent="0.25">
      <c r="A35" s="33">
        <v>4</v>
      </c>
      <c r="B35" s="50" t="s">
        <v>56</v>
      </c>
      <c r="C35" s="47" t="s">
        <v>56</v>
      </c>
      <c r="D35" s="33" t="s">
        <v>3</v>
      </c>
      <c r="E35" s="13">
        <v>123</v>
      </c>
      <c r="F35" s="13">
        <v>29</v>
      </c>
      <c r="G35" s="13"/>
      <c r="H35" s="13"/>
      <c r="I35" s="13"/>
      <c r="J35" s="13">
        <v>152</v>
      </c>
      <c r="L35" s="3"/>
      <c r="M35" s="3"/>
      <c r="N35" s="3"/>
      <c r="O35" s="3"/>
      <c r="P35" s="3"/>
      <c r="R35" s="3">
        <v>1</v>
      </c>
      <c r="S35" s="15"/>
      <c r="T35" s="16">
        <v>18</v>
      </c>
      <c r="U35" s="16">
        <v>108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37">
        <f t="shared" si="3"/>
        <v>0</v>
      </c>
      <c r="CP35" s="27">
        <f t="shared" si="4"/>
        <v>0</v>
      </c>
      <c r="CQ35" s="22">
        <v>0</v>
      </c>
      <c r="CR35" s="22">
        <f t="shared" si="5"/>
        <v>0</v>
      </c>
      <c r="CS35" s="42"/>
      <c r="CT35" s="44"/>
      <c r="CU35" s="14">
        <f t="shared" si="6"/>
        <v>0</v>
      </c>
      <c r="CV35" s="14">
        <f t="shared" si="7"/>
        <v>0</v>
      </c>
      <c r="CW35" s="14">
        <f t="shared" si="8"/>
        <v>0</v>
      </c>
      <c r="CX35" s="43"/>
      <c r="CY35" s="17"/>
      <c r="DD35" s="14">
        <f t="shared" si="9"/>
        <v>0</v>
      </c>
    </row>
    <row r="36" spans="1:108" x14ac:dyDescent="0.25">
      <c r="A36" s="33">
        <v>5</v>
      </c>
      <c r="B36" s="50" t="s">
        <v>57</v>
      </c>
      <c r="C36" s="47" t="s">
        <v>57</v>
      </c>
      <c r="D36" s="33" t="s">
        <v>3</v>
      </c>
      <c r="E36" s="13">
        <v>144</v>
      </c>
      <c r="F36" s="13">
        <v>16</v>
      </c>
      <c r="G36" s="13"/>
      <c r="H36" s="13"/>
      <c r="I36" s="13"/>
      <c r="J36" s="13">
        <v>160</v>
      </c>
      <c r="L36" s="3"/>
      <c r="M36" s="3"/>
      <c r="N36" s="3"/>
      <c r="O36" s="3"/>
      <c r="P36" s="3"/>
      <c r="R36" s="3">
        <v>1</v>
      </c>
      <c r="S36" s="15"/>
      <c r="T36" s="16">
        <v>18</v>
      </c>
      <c r="U36" s="16">
        <v>108</v>
      </c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37">
        <f t="shared" si="3"/>
        <v>0</v>
      </c>
      <c r="CP36" s="27">
        <f t="shared" si="4"/>
        <v>0</v>
      </c>
      <c r="CQ36" s="22">
        <v>0</v>
      </c>
      <c r="CR36" s="22">
        <f t="shared" si="5"/>
        <v>0</v>
      </c>
      <c r="CS36" s="42"/>
      <c r="CT36" s="44"/>
      <c r="CU36" s="14">
        <f t="shared" si="6"/>
        <v>0</v>
      </c>
      <c r="CV36" s="14">
        <f t="shared" si="7"/>
        <v>0</v>
      </c>
      <c r="CW36" s="14">
        <f t="shared" si="8"/>
        <v>0</v>
      </c>
      <c r="CX36" s="43"/>
      <c r="CY36" s="17"/>
      <c r="DD36" s="14">
        <f t="shared" si="9"/>
        <v>0</v>
      </c>
    </row>
    <row r="37" spans="1:108" ht="15.75" customHeight="1" x14ac:dyDescent="0.25">
      <c r="A37" s="33">
        <v>6</v>
      </c>
      <c r="B37" s="50" t="s">
        <v>58</v>
      </c>
      <c r="C37" s="47" t="s">
        <v>58</v>
      </c>
      <c r="D37" s="33" t="s">
        <v>3</v>
      </c>
      <c r="E37" s="13">
        <v>2632</v>
      </c>
      <c r="F37" s="13">
        <v>14</v>
      </c>
      <c r="G37" s="13"/>
      <c r="H37" s="13"/>
      <c r="I37" s="13"/>
      <c r="J37" s="13">
        <v>2646</v>
      </c>
      <c r="L37" s="3"/>
      <c r="M37" s="3"/>
      <c r="N37" s="3"/>
      <c r="O37" s="3"/>
      <c r="P37" s="3"/>
      <c r="R37" s="3">
        <v>7</v>
      </c>
      <c r="S37" s="15"/>
      <c r="T37" s="16">
        <v>126</v>
      </c>
      <c r="U37" s="16">
        <v>756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37">
        <f t="shared" si="3"/>
        <v>0</v>
      </c>
      <c r="CP37" s="27">
        <f t="shared" si="4"/>
        <v>0</v>
      </c>
      <c r="CQ37" s="22">
        <v>0</v>
      </c>
      <c r="CR37" s="22">
        <f t="shared" si="5"/>
        <v>0</v>
      </c>
      <c r="CS37" s="42"/>
      <c r="CT37" s="44"/>
      <c r="CU37" s="14">
        <f t="shared" si="6"/>
        <v>0</v>
      </c>
      <c r="CV37" s="14">
        <f t="shared" si="7"/>
        <v>0</v>
      </c>
      <c r="CW37" s="14">
        <f t="shared" si="8"/>
        <v>0</v>
      </c>
      <c r="CX37" s="43"/>
      <c r="CY37" s="17"/>
      <c r="DD37" s="14">
        <f t="shared" si="9"/>
        <v>0</v>
      </c>
    </row>
    <row r="38" spans="1:108" x14ac:dyDescent="0.25">
      <c r="A38" s="33">
        <v>8</v>
      </c>
      <c r="B38" s="50" t="s">
        <v>59</v>
      </c>
      <c r="C38" s="47" t="s">
        <v>59</v>
      </c>
      <c r="D38" s="33" t="s">
        <v>3</v>
      </c>
      <c r="E38" s="13">
        <v>978</v>
      </c>
      <c r="F38" s="13">
        <v>322</v>
      </c>
      <c r="G38" s="13"/>
      <c r="H38" s="13"/>
      <c r="I38" s="13"/>
      <c r="J38" s="13">
        <v>1300</v>
      </c>
      <c r="L38" s="3"/>
      <c r="M38" s="3"/>
      <c r="N38" s="3"/>
      <c r="O38" s="3"/>
      <c r="P38" s="3"/>
      <c r="R38" s="3">
        <v>4</v>
      </c>
      <c r="S38" s="15"/>
      <c r="T38" s="16">
        <v>72</v>
      </c>
      <c r="U38" s="16">
        <v>432</v>
      </c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37">
        <f t="shared" si="3"/>
        <v>0</v>
      </c>
      <c r="CP38" s="27">
        <f t="shared" si="4"/>
        <v>0</v>
      </c>
      <c r="CQ38" s="22">
        <v>0</v>
      </c>
      <c r="CR38" s="22">
        <f t="shared" si="5"/>
        <v>0</v>
      </c>
      <c r="CS38" s="42"/>
      <c r="CT38" s="44"/>
      <c r="CU38" s="14">
        <f t="shared" si="6"/>
        <v>0</v>
      </c>
      <c r="CV38" s="14">
        <f t="shared" si="7"/>
        <v>0</v>
      </c>
      <c r="CW38" s="14">
        <f t="shared" si="8"/>
        <v>0</v>
      </c>
      <c r="CX38" s="43"/>
      <c r="CY38" s="17"/>
      <c r="DD38" s="14">
        <f t="shared" si="9"/>
        <v>0</v>
      </c>
    </row>
    <row r="39" spans="1:108" ht="15" customHeight="1" x14ac:dyDescent="0.25">
      <c r="A39" s="33">
        <v>9</v>
      </c>
      <c r="B39" s="50" t="s">
        <v>60</v>
      </c>
      <c r="C39" s="47" t="s">
        <v>60</v>
      </c>
      <c r="D39" s="33" t="s">
        <v>3</v>
      </c>
      <c r="E39" s="13">
        <v>276</v>
      </c>
      <c r="F39" s="13">
        <v>19</v>
      </c>
      <c r="G39" s="13"/>
      <c r="H39" s="13"/>
      <c r="I39" s="13"/>
      <c r="J39" s="13">
        <v>295</v>
      </c>
      <c r="L39" s="3"/>
      <c r="M39" s="3"/>
      <c r="N39" s="3"/>
      <c r="O39" s="3"/>
      <c r="P39" s="3"/>
      <c r="R39" s="3">
        <v>1</v>
      </c>
      <c r="S39" s="15"/>
      <c r="T39" s="16">
        <v>18</v>
      </c>
      <c r="U39" s="16">
        <v>108</v>
      </c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37">
        <f t="shared" si="3"/>
        <v>0</v>
      </c>
      <c r="CP39" s="27">
        <f t="shared" si="4"/>
        <v>0</v>
      </c>
      <c r="CQ39" s="22">
        <v>0</v>
      </c>
      <c r="CR39" s="22">
        <f t="shared" si="5"/>
        <v>0</v>
      </c>
      <c r="CS39" s="42"/>
      <c r="CT39" s="44"/>
      <c r="CU39" s="14">
        <f t="shared" si="6"/>
        <v>0</v>
      </c>
      <c r="CV39" s="14">
        <f t="shared" si="7"/>
        <v>0</v>
      </c>
      <c r="CW39" s="14">
        <f t="shared" si="8"/>
        <v>0</v>
      </c>
      <c r="CX39" s="43"/>
      <c r="CY39" s="17"/>
      <c r="DD39" s="14">
        <f t="shared" si="9"/>
        <v>0</v>
      </c>
    </row>
    <row r="40" spans="1:108" x14ac:dyDescent="0.25">
      <c r="A40" s="33">
        <v>10</v>
      </c>
      <c r="B40" s="50" t="s">
        <v>61</v>
      </c>
      <c r="C40" s="47" t="s">
        <v>61</v>
      </c>
      <c r="D40" s="33" t="s">
        <v>3</v>
      </c>
      <c r="E40" s="13">
        <v>107</v>
      </c>
      <c r="F40" s="13">
        <v>15</v>
      </c>
      <c r="G40" s="13"/>
      <c r="H40" s="13"/>
      <c r="I40" s="13"/>
      <c r="J40" s="13">
        <v>122</v>
      </c>
      <c r="L40" s="3"/>
      <c r="M40" s="3"/>
      <c r="N40" s="3"/>
      <c r="O40" s="3"/>
      <c r="P40" s="3"/>
      <c r="R40" s="3">
        <v>1</v>
      </c>
      <c r="T40" s="16">
        <v>18</v>
      </c>
      <c r="U40" s="16">
        <v>108</v>
      </c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37">
        <f t="shared" si="3"/>
        <v>0</v>
      </c>
      <c r="CP40" s="27">
        <f t="shared" si="4"/>
        <v>0</v>
      </c>
      <c r="CQ40" s="22">
        <v>0</v>
      </c>
      <c r="CR40" s="22">
        <f t="shared" si="5"/>
        <v>0</v>
      </c>
      <c r="CS40" s="42"/>
      <c r="CT40" s="44"/>
      <c r="CU40" s="14">
        <f t="shared" si="6"/>
        <v>0</v>
      </c>
      <c r="CV40" s="14">
        <f t="shared" si="7"/>
        <v>0</v>
      </c>
      <c r="CW40" s="14">
        <f t="shared" si="8"/>
        <v>0</v>
      </c>
      <c r="CX40" s="43"/>
      <c r="CY40" s="17"/>
      <c r="DD40" s="14">
        <f t="shared" si="9"/>
        <v>0</v>
      </c>
    </row>
    <row r="41" spans="1:108" x14ac:dyDescent="0.25">
      <c r="A41" s="33">
        <v>12</v>
      </c>
      <c r="B41" s="50" t="s">
        <v>62</v>
      </c>
      <c r="C41" s="47" t="s">
        <v>62</v>
      </c>
      <c r="D41" s="33" t="s">
        <v>4</v>
      </c>
      <c r="E41" s="13">
        <v>1267</v>
      </c>
      <c r="F41" s="13">
        <v>176</v>
      </c>
      <c r="G41" s="13"/>
      <c r="H41" s="13"/>
      <c r="I41" s="13"/>
      <c r="J41" s="13">
        <v>1443</v>
      </c>
      <c r="L41" s="3"/>
      <c r="M41" s="3"/>
      <c r="N41" s="3"/>
      <c r="O41" s="3"/>
      <c r="P41" s="3"/>
      <c r="R41" s="3">
        <v>4</v>
      </c>
      <c r="S41" s="15"/>
      <c r="T41" s="16">
        <v>72</v>
      </c>
      <c r="U41" s="16">
        <v>432</v>
      </c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37">
        <f t="shared" si="3"/>
        <v>0</v>
      </c>
      <c r="CP41" s="27">
        <f t="shared" si="4"/>
        <v>0</v>
      </c>
      <c r="CQ41" s="22">
        <v>0</v>
      </c>
      <c r="CR41" s="22">
        <f t="shared" si="5"/>
        <v>0</v>
      </c>
      <c r="CS41" s="42"/>
      <c r="CT41" s="44"/>
      <c r="CU41" s="14">
        <f t="shared" si="6"/>
        <v>0</v>
      </c>
      <c r="CV41" s="14">
        <f t="shared" si="7"/>
        <v>0</v>
      </c>
      <c r="CW41" s="14">
        <f t="shared" si="8"/>
        <v>0</v>
      </c>
      <c r="CX41" s="43"/>
      <c r="CY41" s="17"/>
      <c r="DD41" s="14">
        <f t="shared" si="9"/>
        <v>0</v>
      </c>
    </row>
    <row r="42" spans="1:108" ht="15" customHeight="1" x14ac:dyDescent="0.25">
      <c r="A42" s="33">
        <v>13</v>
      </c>
      <c r="B42" s="50" t="s">
        <v>63</v>
      </c>
      <c r="C42" s="47" t="s">
        <v>63</v>
      </c>
      <c r="D42" s="33" t="s">
        <v>3</v>
      </c>
      <c r="E42" s="13">
        <v>1218</v>
      </c>
      <c r="F42" s="13">
        <v>17</v>
      </c>
      <c r="G42" s="13"/>
      <c r="H42" s="13"/>
      <c r="I42" s="13"/>
      <c r="J42" s="13">
        <v>1235</v>
      </c>
      <c r="L42" s="3"/>
      <c r="M42" s="3"/>
      <c r="N42" s="3"/>
      <c r="O42" s="3"/>
      <c r="P42" s="3"/>
      <c r="R42" s="3">
        <v>3</v>
      </c>
      <c r="S42" s="15"/>
      <c r="T42" s="16">
        <v>54</v>
      </c>
      <c r="U42" s="16">
        <v>324</v>
      </c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37">
        <f t="shared" si="3"/>
        <v>0</v>
      </c>
      <c r="CP42" s="27">
        <f t="shared" si="4"/>
        <v>0</v>
      </c>
      <c r="CQ42" s="22">
        <v>0</v>
      </c>
      <c r="CR42" s="22">
        <f t="shared" si="5"/>
        <v>0</v>
      </c>
      <c r="CS42" s="42"/>
      <c r="CT42" s="44"/>
      <c r="CU42" s="14">
        <f t="shared" si="6"/>
        <v>0</v>
      </c>
      <c r="CV42" s="14">
        <f t="shared" si="7"/>
        <v>0</v>
      </c>
      <c r="CW42" s="14">
        <f t="shared" si="8"/>
        <v>0</v>
      </c>
      <c r="CX42" s="43"/>
      <c r="CY42" s="17"/>
      <c r="DD42" s="14">
        <f t="shared" si="9"/>
        <v>0</v>
      </c>
    </row>
    <row r="43" spans="1:108" x14ac:dyDescent="0.25">
      <c r="A43" s="33">
        <v>14</v>
      </c>
      <c r="B43" s="50" t="s">
        <v>64</v>
      </c>
      <c r="C43" s="47" t="s">
        <v>64</v>
      </c>
      <c r="D43" s="33" t="s">
        <v>3</v>
      </c>
      <c r="E43" s="13">
        <v>1734</v>
      </c>
      <c r="F43" s="13">
        <v>312</v>
      </c>
      <c r="G43" s="13"/>
      <c r="H43" s="13"/>
      <c r="I43" s="13"/>
      <c r="J43" s="13">
        <v>2046</v>
      </c>
      <c r="L43" s="3"/>
      <c r="M43" s="3"/>
      <c r="N43" s="3"/>
      <c r="O43" s="3"/>
      <c r="P43" s="3"/>
      <c r="R43" s="3">
        <v>5</v>
      </c>
      <c r="S43" s="15"/>
      <c r="T43" s="16">
        <v>90</v>
      </c>
      <c r="U43" s="16">
        <v>540</v>
      </c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37">
        <f t="shared" si="3"/>
        <v>0</v>
      </c>
      <c r="CP43" s="27">
        <f t="shared" si="4"/>
        <v>0</v>
      </c>
      <c r="CQ43" s="22">
        <v>0</v>
      </c>
      <c r="CR43" s="22">
        <f t="shared" si="5"/>
        <v>0</v>
      </c>
      <c r="CS43" s="42"/>
      <c r="CT43" s="44"/>
      <c r="CU43" s="14">
        <f t="shared" si="6"/>
        <v>0</v>
      </c>
      <c r="CV43" s="14">
        <f t="shared" si="7"/>
        <v>0</v>
      </c>
      <c r="CW43" s="14">
        <f t="shared" si="8"/>
        <v>0</v>
      </c>
      <c r="CX43" s="43"/>
      <c r="CY43" s="17"/>
      <c r="DD43" s="14">
        <f t="shared" si="9"/>
        <v>0</v>
      </c>
    </row>
    <row r="44" spans="1:108" x14ac:dyDescent="0.25">
      <c r="A44" s="33">
        <v>15</v>
      </c>
      <c r="B44" s="50" t="s">
        <v>65</v>
      </c>
      <c r="C44" s="47" t="s">
        <v>65</v>
      </c>
      <c r="D44" s="33" t="s">
        <v>3</v>
      </c>
      <c r="E44" s="13">
        <v>1716</v>
      </c>
      <c r="F44" s="13">
        <v>401</v>
      </c>
      <c r="G44" s="13"/>
      <c r="H44" s="13"/>
      <c r="I44" s="13"/>
      <c r="J44" s="13">
        <v>2117</v>
      </c>
      <c r="L44" s="3"/>
      <c r="M44" s="3"/>
      <c r="N44" s="3"/>
      <c r="O44" s="3"/>
      <c r="P44" s="3"/>
      <c r="R44" s="3">
        <v>5</v>
      </c>
      <c r="S44" s="15"/>
      <c r="T44" s="16">
        <v>90</v>
      </c>
      <c r="U44" s="16">
        <v>540</v>
      </c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37">
        <f t="shared" si="3"/>
        <v>0</v>
      </c>
      <c r="CP44" s="27">
        <f t="shared" si="4"/>
        <v>0</v>
      </c>
      <c r="CQ44" s="22">
        <v>0</v>
      </c>
      <c r="CR44" s="22">
        <f t="shared" si="5"/>
        <v>0</v>
      </c>
      <c r="CS44" s="42"/>
      <c r="CT44" s="44"/>
      <c r="CU44" s="14">
        <f t="shared" si="6"/>
        <v>0</v>
      </c>
      <c r="CV44" s="14">
        <f t="shared" si="7"/>
        <v>0</v>
      </c>
      <c r="CW44" s="14">
        <f t="shared" si="8"/>
        <v>0</v>
      </c>
      <c r="CX44" s="43"/>
      <c r="CY44" s="17"/>
      <c r="DD44" s="14">
        <f t="shared" si="9"/>
        <v>0</v>
      </c>
    </row>
    <row r="45" spans="1:108" x14ac:dyDescent="0.25">
      <c r="A45" s="33">
        <v>18</v>
      </c>
      <c r="B45" s="50" t="s">
        <v>66</v>
      </c>
      <c r="C45" s="47" t="s">
        <v>66</v>
      </c>
      <c r="D45" s="33" t="s">
        <v>4</v>
      </c>
      <c r="E45" s="13">
        <v>222</v>
      </c>
      <c r="F45" s="13">
        <v>48</v>
      </c>
      <c r="G45" s="13"/>
      <c r="H45" s="13"/>
      <c r="I45" s="13"/>
      <c r="J45" s="13">
        <v>270</v>
      </c>
      <c r="L45" s="3"/>
      <c r="M45" s="3"/>
      <c r="N45" s="3"/>
      <c r="O45" s="3"/>
      <c r="P45" s="3"/>
      <c r="R45" s="3">
        <v>1</v>
      </c>
      <c r="S45" s="15"/>
      <c r="T45" s="16">
        <v>18</v>
      </c>
      <c r="U45" s="16">
        <v>108</v>
      </c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37">
        <f t="shared" si="3"/>
        <v>0</v>
      </c>
      <c r="CP45" s="27">
        <f t="shared" si="4"/>
        <v>0</v>
      </c>
      <c r="CQ45" s="22">
        <v>0</v>
      </c>
      <c r="CR45" s="22">
        <f t="shared" si="5"/>
        <v>0</v>
      </c>
      <c r="CS45" s="42"/>
      <c r="CT45" s="44"/>
      <c r="CU45" s="14">
        <f t="shared" si="6"/>
        <v>0</v>
      </c>
      <c r="CV45" s="14">
        <f t="shared" si="7"/>
        <v>0</v>
      </c>
      <c r="CW45" s="14">
        <f t="shared" si="8"/>
        <v>0</v>
      </c>
      <c r="CX45" s="43"/>
      <c r="CY45" s="17"/>
      <c r="DD45" s="14">
        <f t="shared" si="9"/>
        <v>0</v>
      </c>
    </row>
    <row r="46" spans="1:108" x14ac:dyDescent="0.25">
      <c r="A46" s="33">
        <v>19</v>
      </c>
      <c r="B46" s="50" t="s">
        <v>67</v>
      </c>
      <c r="C46" s="47" t="s">
        <v>67</v>
      </c>
      <c r="D46" s="33" t="s">
        <v>3</v>
      </c>
      <c r="E46" s="13">
        <v>938</v>
      </c>
      <c r="F46" s="13">
        <v>576</v>
      </c>
      <c r="G46" s="13">
        <v>10</v>
      </c>
      <c r="H46" s="13"/>
      <c r="I46" s="13"/>
      <c r="J46" s="13">
        <v>1524</v>
      </c>
      <c r="L46" s="3"/>
      <c r="M46" s="3"/>
      <c r="N46" s="3"/>
      <c r="O46" s="3"/>
      <c r="P46" s="3"/>
      <c r="R46" s="3">
        <v>4</v>
      </c>
      <c r="S46" s="15"/>
      <c r="T46" s="16">
        <v>72</v>
      </c>
      <c r="U46" s="16">
        <v>432</v>
      </c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37">
        <f t="shared" ref="CN46:CN77" si="10">+SUM(W46:CM46)</f>
        <v>0</v>
      </c>
      <c r="CP46" s="27">
        <f t="shared" ref="CP46:CP78" si="11">CN46</f>
        <v>0</v>
      </c>
      <c r="CQ46" s="22">
        <v>0</v>
      </c>
      <c r="CR46" s="22">
        <f t="shared" ref="CR46:CR77" si="12">CP46+CQ46</f>
        <v>0</v>
      </c>
      <c r="CS46" s="42"/>
      <c r="CT46" s="44"/>
      <c r="CU46" s="14">
        <f t="shared" ref="CU46:CU78" si="13">DD46</f>
        <v>0</v>
      </c>
      <c r="CV46" s="14">
        <f t="shared" ref="CV46:CV77" si="14">CU46/2</f>
        <v>0</v>
      </c>
      <c r="CW46" s="14">
        <f t="shared" ref="CW46:CW77" si="15">CV46-CP46</f>
        <v>0</v>
      </c>
      <c r="CX46" s="43"/>
      <c r="CY46" s="17"/>
      <c r="DD46" s="14">
        <f t="shared" ref="DD46:DD77" si="16">SUM(CY46:DC46)</f>
        <v>0</v>
      </c>
    </row>
    <row r="47" spans="1:108" x14ac:dyDescent="0.25">
      <c r="A47" s="33">
        <v>20</v>
      </c>
      <c r="B47" s="58" t="s">
        <v>68</v>
      </c>
      <c r="C47" s="47" t="s">
        <v>69</v>
      </c>
      <c r="D47" s="33" t="s">
        <v>4</v>
      </c>
      <c r="E47" s="13">
        <v>749</v>
      </c>
      <c r="F47" s="13">
        <v>175</v>
      </c>
      <c r="G47" s="13"/>
      <c r="H47" s="13"/>
      <c r="I47" s="13"/>
      <c r="J47" s="13">
        <v>924</v>
      </c>
      <c r="L47" s="3"/>
      <c r="M47" s="3"/>
      <c r="N47" s="3"/>
      <c r="O47" s="3"/>
      <c r="P47" s="3"/>
      <c r="R47" s="3">
        <v>3</v>
      </c>
      <c r="S47" s="15"/>
      <c r="T47" s="16">
        <v>54</v>
      </c>
      <c r="U47" s="16">
        <v>324</v>
      </c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37">
        <f t="shared" si="10"/>
        <v>0</v>
      </c>
      <c r="CP47" s="27">
        <f t="shared" si="11"/>
        <v>0</v>
      </c>
      <c r="CQ47" s="22">
        <v>0</v>
      </c>
      <c r="CR47" s="22">
        <f t="shared" si="12"/>
        <v>0</v>
      </c>
      <c r="CS47" s="42"/>
      <c r="CT47" s="44"/>
      <c r="CU47" s="14">
        <f t="shared" si="13"/>
        <v>0</v>
      </c>
      <c r="CV47" s="14">
        <f t="shared" si="14"/>
        <v>0</v>
      </c>
      <c r="CW47" s="14">
        <f t="shared" si="15"/>
        <v>0</v>
      </c>
      <c r="CX47" s="43"/>
      <c r="CY47" s="17"/>
      <c r="DD47" s="14">
        <f t="shared" si="16"/>
        <v>0</v>
      </c>
    </row>
    <row r="48" spans="1:108" x14ac:dyDescent="0.25">
      <c r="A48" s="33">
        <v>20</v>
      </c>
      <c r="B48" s="59"/>
      <c r="C48" s="47" t="s">
        <v>70</v>
      </c>
      <c r="D48" s="33" t="s">
        <v>3</v>
      </c>
      <c r="E48" s="13">
        <v>2252</v>
      </c>
      <c r="F48" s="13">
        <v>210</v>
      </c>
      <c r="G48" s="13"/>
      <c r="H48" s="13"/>
      <c r="I48" s="13"/>
      <c r="J48" s="13">
        <v>2462</v>
      </c>
      <c r="L48" s="3"/>
      <c r="M48" s="3"/>
      <c r="N48" s="3"/>
      <c r="O48" s="3"/>
      <c r="P48" s="3"/>
      <c r="R48" s="3">
        <v>6</v>
      </c>
      <c r="S48" s="15"/>
      <c r="T48" s="16">
        <v>108</v>
      </c>
      <c r="U48" s="16">
        <v>648</v>
      </c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37">
        <f t="shared" si="10"/>
        <v>0</v>
      </c>
      <c r="CP48" s="27">
        <f t="shared" si="11"/>
        <v>0</v>
      </c>
      <c r="CQ48" s="22">
        <v>0</v>
      </c>
      <c r="CR48" s="22">
        <f t="shared" si="12"/>
        <v>0</v>
      </c>
      <c r="CS48" s="42"/>
      <c r="CT48" s="44"/>
      <c r="CU48" s="14">
        <f t="shared" si="13"/>
        <v>0</v>
      </c>
      <c r="CV48" s="14">
        <f t="shared" si="14"/>
        <v>0</v>
      </c>
      <c r="CW48" s="14">
        <f t="shared" si="15"/>
        <v>0</v>
      </c>
      <c r="CX48" s="43"/>
      <c r="CY48" s="17"/>
      <c r="DD48" s="14">
        <f t="shared" si="16"/>
        <v>0</v>
      </c>
    </row>
    <row r="49" spans="1:108" x14ac:dyDescent="0.25">
      <c r="A49" s="33">
        <v>21</v>
      </c>
      <c r="B49" s="50" t="s">
        <v>71</v>
      </c>
      <c r="C49" s="47" t="s">
        <v>71</v>
      </c>
      <c r="D49" s="33" t="s">
        <v>3</v>
      </c>
      <c r="E49" s="13">
        <v>587</v>
      </c>
      <c r="F49" s="13">
        <v>12</v>
      </c>
      <c r="G49" s="13"/>
      <c r="H49" s="13"/>
      <c r="I49" s="13"/>
      <c r="J49" s="13">
        <v>599</v>
      </c>
      <c r="L49" s="3"/>
      <c r="M49" s="3"/>
      <c r="N49" s="3"/>
      <c r="O49" s="3"/>
      <c r="P49" s="3"/>
      <c r="R49" s="3">
        <v>2</v>
      </c>
      <c r="S49" s="15"/>
      <c r="T49" s="16">
        <v>36</v>
      </c>
      <c r="U49" s="16">
        <v>216</v>
      </c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37">
        <f t="shared" si="10"/>
        <v>0</v>
      </c>
      <c r="CP49" s="27">
        <f t="shared" si="11"/>
        <v>0</v>
      </c>
      <c r="CQ49" s="22">
        <v>0</v>
      </c>
      <c r="CR49" s="22">
        <f t="shared" si="12"/>
        <v>0</v>
      </c>
      <c r="CS49" s="42"/>
      <c r="CT49" s="44"/>
      <c r="CU49" s="14">
        <f t="shared" si="13"/>
        <v>0</v>
      </c>
      <c r="CV49" s="14">
        <f t="shared" si="14"/>
        <v>0</v>
      </c>
      <c r="CW49" s="14">
        <f t="shared" si="15"/>
        <v>0</v>
      </c>
      <c r="CX49" s="43"/>
      <c r="CY49" s="17"/>
      <c r="DD49" s="14">
        <f t="shared" si="16"/>
        <v>0</v>
      </c>
    </row>
    <row r="50" spans="1:108" x14ac:dyDescent="0.25">
      <c r="A50" s="33">
        <v>22</v>
      </c>
      <c r="B50" s="50" t="s">
        <v>72</v>
      </c>
      <c r="C50" s="47" t="s">
        <v>72</v>
      </c>
      <c r="D50" s="33" t="s">
        <v>3</v>
      </c>
      <c r="E50" s="13">
        <v>1932</v>
      </c>
      <c r="F50" s="13">
        <v>604</v>
      </c>
      <c r="G50" s="13"/>
      <c r="H50" s="13"/>
      <c r="I50" s="13"/>
      <c r="J50" s="13">
        <v>2536</v>
      </c>
      <c r="L50" s="3"/>
      <c r="M50" s="3"/>
      <c r="N50" s="3"/>
      <c r="O50" s="3"/>
      <c r="P50" s="3"/>
      <c r="R50" s="3">
        <v>6</v>
      </c>
      <c r="T50" s="16">
        <v>108</v>
      </c>
      <c r="U50" s="16">
        <v>648</v>
      </c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37">
        <f t="shared" si="10"/>
        <v>0</v>
      </c>
      <c r="CP50" s="27">
        <f t="shared" si="11"/>
        <v>0</v>
      </c>
      <c r="CQ50" s="22">
        <v>0</v>
      </c>
      <c r="CR50" s="22">
        <f t="shared" si="12"/>
        <v>0</v>
      </c>
      <c r="CS50" s="42"/>
      <c r="CT50" s="44"/>
      <c r="CU50" s="14">
        <f t="shared" si="13"/>
        <v>0</v>
      </c>
      <c r="CV50" s="14">
        <f t="shared" si="14"/>
        <v>0</v>
      </c>
      <c r="CW50" s="14">
        <f t="shared" si="15"/>
        <v>0</v>
      </c>
      <c r="CX50" s="43"/>
      <c r="CY50" s="17"/>
      <c r="DD50" s="14">
        <f t="shared" si="16"/>
        <v>0</v>
      </c>
    </row>
    <row r="51" spans="1:108" x14ac:dyDescent="0.25">
      <c r="A51" s="33">
        <v>23</v>
      </c>
      <c r="B51" s="50" t="s">
        <v>73</v>
      </c>
      <c r="C51" s="47" t="s">
        <v>73</v>
      </c>
      <c r="D51" s="33" t="s">
        <v>3</v>
      </c>
      <c r="E51" s="13">
        <v>2498</v>
      </c>
      <c r="F51" s="13">
        <v>1340</v>
      </c>
      <c r="G51" s="13"/>
      <c r="H51" s="13"/>
      <c r="I51" s="13"/>
      <c r="J51" s="13">
        <v>3838</v>
      </c>
      <c r="L51" s="3"/>
      <c r="M51" s="3"/>
      <c r="N51" s="3"/>
      <c r="O51" s="3"/>
      <c r="P51" s="3"/>
      <c r="R51" s="3">
        <v>9</v>
      </c>
      <c r="S51" s="15"/>
      <c r="T51" s="16">
        <v>162</v>
      </c>
      <c r="U51" s="16">
        <v>972</v>
      </c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>
        <v>1</v>
      </c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37">
        <f t="shared" si="10"/>
        <v>1</v>
      </c>
      <c r="CP51" s="27">
        <f t="shared" si="11"/>
        <v>1</v>
      </c>
      <c r="CQ51" s="22">
        <v>0</v>
      </c>
      <c r="CR51" s="22">
        <f t="shared" si="12"/>
        <v>1</v>
      </c>
      <c r="CS51" s="42"/>
      <c r="CT51" s="44"/>
      <c r="CU51" s="14">
        <f t="shared" si="13"/>
        <v>0</v>
      </c>
      <c r="CV51" s="14">
        <f t="shared" si="14"/>
        <v>0</v>
      </c>
      <c r="CW51" s="14">
        <f t="shared" si="15"/>
        <v>-1</v>
      </c>
      <c r="CX51" s="43"/>
      <c r="CY51" s="17"/>
      <c r="DD51" s="14">
        <f t="shared" si="16"/>
        <v>0</v>
      </c>
    </row>
    <row r="52" spans="1:108" x14ac:dyDescent="0.25">
      <c r="A52" s="33">
        <v>24</v>
      </c>
      <c r="B52" s="50" t="s">
        <v>74</v>
      </c>
      <c r="C52" s="47" t="s">
        <v>74</v>
      </c>
      <c r="D52" s="33" t="s">
        <v>3</v>
      </c>
      <c r="E52" s="13">
        <v>566</v>
      </c>
      <c r="F52" s="13">
        <v>148</v>
      </c>
      <c r="G52" s="13"/>
      <c r="H52" s="13"/>
      <c r="I52" s="13"/>
      <c r="J52" s="13">
        <v>714</v>
      </c>
      <c r="L52" s="3"/>
      <c r="M52" s="3"/>
      <c r="N52" s="3"/>
      <c r="O52" s="3"/>
      <c r="P52" s="3"/>
      <c r="R52" s="3">
        <v>2</v>
      </c>
      <c r="S52" s="15"/>
      <c r="T52" s="16">
        <v>36</v>
      </c>
      <c r="U52" s="16">
        <v>216</v>
      </c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37">
        <f t="shared" si="10"/>
        <v>0</v>
      </c>
      <c r="CP52" s="27">
        <f t="shared" si="11"/>
        <v>0</v>
      </c>
      <c r="CQ52" s="22">
        <v>0</v>
      </c>
      <c r="CR52" s="22">
        <f t="shared" si="12"/>
        <v>0</v>
      </c>
      <c r="CS52" s="42"/>
      <c r="CT52" s="44"/>
      <c r="CU52" s="14">
        <f t="shared" si="13"/>
        <v>0</v>
      </c>
      <c r="CV52" s="14">
        <f t="shared" si="14"/>
        <v>0</v>
      </c>
      <c r="CW52" s="14">
        <f t="shared" si="15"/>
        <v>0</v>
      </c>
      <c r="CX52" s="43"/>
      <c r="CY52" s="17"/>
      <c r="DD52" s="14">
        <f t="shared" si="16"/>
        <v>0</v>
      </c>
    </row>
    <row r="53" spans="1:108" x14ac:dyDescent="0.25">
      <c r="A53" s="33">
        <v>26</v>
      </c>
      <c r="B53" s="50" t="s">
        <v>75</v>
      </c>
      <c r="C53" s="47" t="s">
        <v>75</v>
      </c>
      <c r="D53" s="33" t="s">
        <v>3</v>
      </c>
      <c r="E53" s="13">
        <v>852</v>
      </c>
      <c r="F53" s="13">
        <v>427</v>
      </c>
      <c r="G53" s="13"/>
      <c r="H53" s="13"/>
      <c r="I53" s="13"/>
      <c r="J53" s="13">
        <v>1279</v>
      </c>
      <c r="L53" s="3"/>
      <c r="M53" s="3"/>
      <c r="N53" s="3"/>
      <c r="O53" s="3"/>
      <c r="P53" s="3"/>
      <c r="R53" s="3">
        <v>3</v>
      </c>
      <c r="S53" s="15"/>
      <c r="T53" s="16">
        <v>54</v>
      </c>
      <c r="U53" s="16">
        <v>324</v>
      </c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37">
        <f t="shared" si="10"/>
        <v>0</v>
      </c>
      <c r="CP53" s="27">
        <f t="shared" si="11"/>
        <v>0</v>
      </c>
      <c r="CQ53" s="22">
        <v>0</v>
      </c>
      <c r="CR53" s="22">
        <f t="shared" si="12"/>
        <v>0</v>
      </c>
      <c r="CS53" s="42"/>
      <c r="CT53" s="44"/>
      <c r="CU53" s="14">
        <f t="shared" si="13"/>
        <v>0</v>
      </c>
      <c r="CV53" s="14">
        <f t="shared" si="14"/>
        <v>0</v>
      </c>
      <c r="CW53" s="14">
        <f t="shared" si="15"/>
        <v>0</v>
      </c>
      <c r="CX53" s="43"/>
      <c r="CY53" s="17"/>
      <c r="DD53" s="14">
        <f t="shared" si="16"/>
        <v>0</v>
      </c>
    </row>
    <row r="54" spans="1:108" x14ac:dyDescent="0.25">
      <c r="A54" s="33">
        <v>27</v>
      </c>
      <c r="B54" s="50" t="s">
        <v>76</v>
      </c>
      <c r="C54" s="47" t="s">
        <v>76</v>
      </c>
      <c r="D54" s="33" t="s">
        <v>3</v>
      </c>
      <c r="E54" s="13">
        <v>96</v>
      </c>
      <c r="F54" s="13">
        <v>21</v>
      </c>
      <c r="G54" s="13"/>
      <c r="H54" s="13"/>
      <c r="I54" s="13"/>
      <c r="J54" s="13">
        <v>117</v>
      </c>
      <c r="L54" s="3"/>
      <c r="M54" s="3"/>
      <c r="N54" s="3"/>
      <c r="O54" s="3"/>
      <c r="P54" s="3"/>
      <c r="R54" s="3">
        <v>1</v>
      </c>
      <c r="S54" s="15"/>
      <c r="T54" s="16">
        <v>18</v>
      </c>
      <c r="U54" s="16">
        <v>108</v>
      </c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37">
        <f t="shared" si="10"/>
        <v>0</v>
      </c>
      <c r="CP54" s="27">
        <f t="shared" si="11"/>
        <v>0</v>
      </c>
      <c r="CQ54" s="22">
        <v>0</v>
      </c>
      <c r="CR54" s="22">
        <f t="shared" si="12"/>
        <v>0</v>
      </c>
      <c r="CS54" s="42"/>
      <c r="CT54" s="44"/>
      <c r="CU54" s="14">
        <f t="shared" si="13"/>
        <v>0</v>
      </c>
      <c r="CV54" s="14">
        <f t="shared" si="14"/>
        <v>0</v>
      </c>
      <c r="CW54" s="14">
        <f t="shared" si="15"/>
        <v>0</v>
      </c>
      <c r="CX54" s="43"/>
      <c r="CY54" s="17"/>
      <c r="DD54" s="14">
        <f t="shared" si="16"/>
        <v>0</v>
      </c>
    </row>
    <row r="55" spans="1:108" x14ac:dyDescent="0.25">
      <c r="A55" s="33">
        <v>28</v>
      </c>
      <c r="B55" s="50" t="s">
        <v>77</v>
      </c>
      <c r="C55" s="47" t="s">
        <v>77</v>
      </c>
      <c r="D55" s="33" t="s">
        <v>3</v>
      </c>
      <c r="E55" s="13">
        <v>496</v>
      </c>
      <c r="F55" s="13">
        <v>134</v>
      </c>
      <c r="G55" s="13"/>
      <c r="H55" s="13"/>
      <c r="I55" s="13"/>
      <c r="J55" s="13">
        <v>630</v>
      </c>
      <c r="L55" s="3"/>
      <c r="M55" s="3"/>
      <c r="N55" s="3"/>
      <c r="O55" s="3"/>
      <c r="P55" s="3"/>
      <c r="R55" s="3">
        <v>2</v>
      </c>
      <c r="S55" s="15"/>
      <c r="T55" s="16">
        <v>36</v>
      </c>
      <c r="U55" s="16">
        <v>216</v>
      </c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37">
        <f t="shared" si="10"/>
        <v>0</v>
      </c>
      <c r="CP55" s="27">
        <f t="shared" si="11"/>
        <v>0</v>
      </c>
      <c r="CQ55" s="22">
        <v>0</v>
      </c>
      <c r="CR55" s="22">
        <f t="shared" si="12"/>
        <v>0</v>
      </c>
      <c r="CS55" s="42"/>
      <c r="CT55" s="44"/>
      <c r="CU55" s="14">
        <f t="shared" si="13"/>
        <v>0</v>
      </c>
      <c r="CV55" s="14">
        <f t="shared" si="14"/>
        <v>0</v>
      </c>
      <c r="CW55" s="14">
        <f t="shared" si="15"/>
        <v>0</v>
      </c>
      <c r="CX55" s="43"/>
      <c r="CY55" s="17"/>
      <c r="DD55" s="14">
        <f t="shared" si="16"/>
        <v>0</v>
      </c>
    </row>
    <row r="56" spans="1:108" x14ac:dyDescent="0.25">
      <c r="A56" s="33">
        <v>29</v>
      </c>
      <c r="B56" s="50" t="s">
        <v>78</v>
      </c>
      <c r="C56" s="47" t="s">
        <v>78</v>
      </c>
      <c r="D56" s="33" t="s">
        <v>3</v>
      </c>
      <c r="E56" s="13">
        <v>1435</v>
      </c>
      <c r="F56" s="13">
        <v>488</v>
      </c>
      <c r="G56" s="13"/>
      <c r="H56" s="13"/>
      <c r="I56" s="13"/>
      <c r="J56" s="13">
        <v>1923</v>
      </c>
      <c r="L56" s="3"/>
      <c r="M56" s="3"/>
      <c r="N56" s="3"/>
      <c r="O56" s="3"/>
      <c r="P56" s="3"/>
      <c r="R56" s="3">
        <v>5</v>
      </c>
      <c r="S56" s="15"/>
      <c r="T56" s="16">
        <v>90</v>
      </c>
      <c r="U56" s="16">
        <v>540</v>
      </c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37">
        <f t="shared" si="10"/>
        <v>0</v>
      </c>
      <c r="CP56" s="27">
        <f t="shared" si="11"/>
        <v>0</v>
      </c>
      <c r="CQ56" s="22">
        <v>0</v>
      </c>
      <c r="CR56" s="22">
        <f t="shared" si="12"/>
        <v>0</v>
      </c>
      <c r="CS56" s="42"/>
      <c r="CT56" s="44"/>
      <c r="CU56" s="14">
        <f t="shared" si="13"/>
        <v>0</v>
      </c>
      <c r="CV56" s="14">
        <f t="shared" si="14"/>
        <v>0</v>
      </c>
      <c r="CW56" s="14">
        <f t="shared" si="15"/>
        <v>0</v>
      </c>
      <c r="CX56" s="43"/>
      <c r="CY56" s="17"/>
      <c r="DD56" s="14">
        <f t="shared" si="16"/>
        <v>0</v>
      </c>
    </row>
    <row r="57" spans="1:108" x14ac:dyDescent="0.25">
      <c r="A57" s="33">
        <v>30</v>
      </c>
      <c r="B57" s="46" t="s">
        <v>79</v>
      </c>
      <c r="C57" s="51" t="s">
        <v>79</v>
      </c>
      <c r="D57" s="33" t="s">
        <v>4</v>
      </c>
      <c r="E57" s="13">
        <v>320</v>
      </c>
      <c r="F57" s="13">
        <v>11</v>
      </c>
      <c r="G57" s="13"/>
      <c r="H57" s="13"/>
      <c r="I57" s="13"/>
      <c r="J57" s="13">
        <v>331</v>
      </c>
      <c r="L57" s="3"/>
      <c r="M57" s="3"/>
      <c r="N57" s="3"/>
      <c r="O57" s="3"/>
      <c r="P57" s="3"/>
      <c r="R57" s="3">
        <v>1</v>
      </c>
      <c r="S57" s="15"/>
      <c r="T57" s="16">
        <v>18</v>
      </c>
      <c r="U57" s="16">
        <v>108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37">
        <f t="shared" si="10"/>
        <v>0</v>
      </c>
      <c r="CP57" s="27">
        <f t="shared" si="11"/>
        <v>0</v>
      </c>
      <c r="CQ57" s="22">
        <v>0</v>
      </c>
      <c r="CR57" s="22">
        <f t="shared" si="12"/>
        <v>0</v>
      </c>
      <c r="CS57" s="42"/>
      <c r="CT57" s="44"/>
      <c r="CU57" s="14">
        <f t="shared" si="13"/>
        <v>0</v>
      </c>
      <c r="CV57" s="14">
        <f t="shared" si="14"/>
        <v>0</v>
      </c>
      <c r="CW57" s="14">
        <f t="shared" si="15"/>
        <v>0</v>
      </c>
      <c r="CX57" s="43"/>
      <c r="CY57" s="17"/>
      <c r="DD57" s="14">
        <f t="shared" si="16"/>
        <v>0</v>
      </c>
    </row>
    <row r="58" spans="1:108" x14ac:dyDescent="0.25">
      <c r="A58" s="33">
        <v>31</v>
      </c>
      <c r="B58" s="49" t="s">
        <v>80</v>
      </c>
      <c r="C58" s="51" t="s">
        <v>80</v>
      </c>
      <c r="D58" s="33" t="s">
        <v>3</v>
      </c>
      <c r="E58" s="13">
        <v>1021</v>
      </c>
      <c r="F58" s="13">
        <v>590</v>
      </c>
      <c r="G58" s="13">
        <v>1</v>
      </c>
      <c r="H58" s="13"/>
      <c r="I58" s="13"/>
      <c r="J58" s="13">
        <v>1612</v>
      </c>
      <c r="L58" s="3"/>
      <c r="M58" s="3"/>
      <c r="N58" s="3"/>
      <c r="O58" s="3"/>
      <c r="P58" s="3"/>
      <c r="R58" s="3">
        <v>4</v>
      </c>
      <c r="S58" s="15"/>
      <c r="T58" s="16">
        <v>72</v>
      </c>
      <c r="U58" s="16">
        <v>432</v>
      </c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37">
        <f t="shared" si="10"/>
        <v>0</v>
      </c>
      <c r="CP58" s="27">
        <f t="shared" si="11"/>
        <v>0</v>
      </c>
      <c r="CQ58" s="22">
        <v>0</v>
      </c>
      <c r="CR58" s="22">
        <f t="shared" si="12"/>
        <v>0</v>
      </c>
      <c r="CS58" s="42"/>
      <c r="CT58" s="44"/>
      <c r="CU58" s="14">
        <f t="shared" si="13"/>
        <v>0</v>
      </c>
      <c r="CV58" s="14">
        <f t="shared" si="14"/>
        <v>0</v>
      </c>
      <c r="CW58" s="14">
        <f t="shared" si="15"/>
        <v>0</v>
      </c>
      <c r="CX58" s="43"/>
      <c r="CY58" s="17"/>
      <c r="DD58" s="14">
        <f t="shared" si="16"/>
        <v>0</v>
      </c>
    </row>
    <row r="59" spans="1:108" x14ac:dyDescent="0.25">
      <c r="A59" s="33">
        <v>31</v>
      </c>
      <c r="B59" s="50" t="s">
        <v>81</v>
      </c>
      <c r="C59" s="47" t="s">
        <v>81</v>
      </c>
      <c r="D59" s="33" t="s">
        <v>3</v>
      </c>
      <c r="E59" s="13">
        <v>474</v>
      </c>
      <c r="F59" s="13">
        <v>323</v>
      </c>
      <c r="G59" s="13">
        <v>9</v>
      </c>
      <c r="H59" s="13"/>
      <c r="I59" s="13"/>
      <c r="J59" s="13">
        <v>806</v>
      </c>
      <c r="L59" s="3"/>
      <c r="M59" s="3"/>
      <c r="N59" s="3"/>
      <c r="O59" s="3"/>
      <c r="P59" s="3"/>
      <c r="R59" s="3">
        <v>2</v>
      </c>
      <c r="S59" s="15"/>
      <c r="T59" s="16">
        <v>36</v>
      </c>
      <c r="U59" s="16">
        <v>216</v>
      </c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37">
        <f t="shared" si="10"/>
        <v>0</v>
      </c>
      <c r="CP59" s="27">
        <f t="shared" si="11"/>
        <v>0</v>
      </c>
      <c r="CQ59" s="22">
        <v>0</v>
      </c>
      <c r="CR59" s="22">
        <f t="shared" si="12"/>
        <v>0</v>
      </c>
      <c r="CS59" s="42"/>
      <c r="CT59" s="44"/>
      <c r="CU59" s="14">
        <f t="shared" si="13"/>
        <v>0</v>
      </c>
      <c r="CV59" s="14">
        <f t="shared" si="14"/>
        <v>0</v>
      </c>
      <c r="CW59" s="14">
        <f t="shared" si="15"/>
        <v>0</v>
      </c>
      <c r="CX59" s="43"/>
      <c r="CY59" s="17"/>
      <c r="DD59" s="14">
        <f t="shared" si="16"/>
        <v>0</v>
      </c>
    </row>
    <row r="60" spans="1:108" x14ac:dyDescent="0.25">
      <c r="A60" s="33">
        <v>32</v>
      </c>
      <c r="B60" s="50" t="s">
        <v>82</v>
      </c>
      <c r="C60" s="47" t="s">
        <v>82</v>
      </c>
      <c r="D60" s="33" t="s">
        <v>4</v>
      </c>
      <c r="E60" s="13">
        <v>338</v>
      </c>
      <c r="F60" s="13">
        <v>54</v>
      </c>
      <c r="G60" s="13"/>
      <c r="H60" s="13">
        <v>1</v>
      </c>
      <c r="I60" s="13"/>
      <c r="J60" s="13">
        <v>393</v>
      </c>
      <c r="L60" s="3"/>
      <c r="M60" s="3"/>
      <c r="N60" s="3"/>
      <c r="O60" s="3"/>
      <c r="P60" s="3"/>
      <c r="R60" s="3">
        <v>1</v>
      </c>
      <c r="S60" s="15"/>
      <c r="T60" s="16">
        <v>18</v>
      </c>
      <c r="U60" s="16">
        <v>108</v>
      </c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37">
        <f t="shared" si="10"/>
        <v>0</v>
      </c>
      <c r="CP60" s="27">
        <f t="shared" si="11"/>
        <v>0</v>
      </c>
      <c r="CQ60" s="22">
        <v>0</v>
      </c>
      <c r="CR60" s="22">
        <f t="shared" si="12"/>
        <v>0</v>
      </c>
      <c r="CS60" s="42"/>
      <c r="CT60" s="44"/>
      <c r="CU60" s="14">
        <f t="shared" si="13"/>
        <v>0</v>
      </c>
      <c r="CV60" s="14">
        <f t="shared" si="14"/>
        <v>0</v>
      </c>
      <c r="CW60" s="14">
        <f t="shared" si="15"/>
        <v>0</v>
      </c>
      <c r="CX60" s="43"/>
      <c r="CY60" s="17"/>
      <c r="DD60" s="14">
        <f t="shared" si="16"/>
        <v>0</v>
      </c>
    </row>
    <row r="61" spans="1:108" x14ac:dyDescent="0.25">
      <c r="A61" s="33">
        <v>33</v>
      </c>
      <c r="B61" s="50" t="s">
        <v>83</v>
      </c>
      <c r="C61" s="47" t="s">
        <v>83</v>
      </c>
      <c r="D61" s="33" t="s">
        <v>3</v>
      </c>
      <c r="E61" s="13">
        <v>361</v>
      </c>
      <c r="F61" s="13">
        <v>141</v>
      </c>
      <c r="G61" s="13"/>
      <c r="H61" s="13"/>
      <c r="I61" s="13"/>
      <c r="J61" s="13">
        <v>502</v>
      </c>
      <c r="L61" s="3"/>
      <c r="M61" s="3"/>
      <c r="N61" s="3"/>
      <c r="O61" s="3"/>
      <c r="P61" s="3"/>
      <c r="R61" s="3">
        <v>2</v>
      </c>
      <c r="S61" s="15"/>
      <c r="T61" s="16">
        <v>36</v>
      </c>
      <c r="U61" s="16">
        <v>216</v>
      </c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37">
        <f t="shared" si="10"/>
        <v>0</v>
      </c>
      <c r="CP61" s="27">
        <f t="shared" si="11"/>
        <v>0</v>
      </c>
      <c r="CQ61" s="22">
        <v>0</v>
      </c>
      <c r="CR61" s="22">
        <f t="shared" si="12"/>
        <v>0</v>
      </c>
      <c r="CS61" s="42"/>
      <c r="CT61" s="44"/>
      <c r="CU61" s="14">
        <f t="shared" si="13"/>
        <v>0</v>
      </c>
      <c r="CV61" s="14">
        <f t="shared" si="14"/>
        <v>0</v>
      </c>
      <c r="CW61" s="14">
        <f t="shared" si="15"/>
        <v>0</v>
      </c>
      <c r="CX61" s="43"/>
      <c r="CY61" s="17"/>
      <c r="DD61" s="14">
        <f t="shared" si="16"/>
        <v>0</v>
      </c>
    </row>
    <row r="62" spans="1:108" x14ac:dyDescent="0.25">
      <c r="A62" s="33">
        <v>34</v>
      </c>
      <c r="B62" s="50" t="s">
        <v>84</v>
      </c>
      <c r="C62" s="47" t="s">
        <v>84</v>
      </c>
      <c r="D62" s="33" t="s">
        <v>3</v>
      </c>
      <c r="E62" s="13">
        <v>724</v>
      </c>
      <c r="F62" s="13">
        <v>1265</v>
      </c>
      <c r="G62" s="13">
        <v>37</v>
      </c>
      <c r="H62" s="13"/>
      <c r="I62" s="13"/>
      <c r="J62" s="13">
        <v>2026</v>
      </c>
      <c r="L62" s="3"/>
      <c r="M62" s="3"/>
      <c r="N62" s="3"/>
      <c r="O62" s="3"/>
      <c r="P62" s="3"/>
      <c r="R62" s="3">
        <v>5</v>
      </c>
      <c r="S62" s="15"/>
      <c r="T62" s="16">
        <v>90</v>
      </c>
      <c r="U62" s="16">
        <v>540</v>
      </c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37">
        <f t="shared" si="10"/>
        <v>0</v>
      </c>
      <c r="CP62" s="27">
        <f t="shared" si="11"/>
        <v>0</v>
      </c>
      <c r="CQ62" s="22">
        <v>0</v>
      </c>
      <c r="CR62" s="22">
        <f t="shared" si="12"/>
        <v>0</v>
      </c>
      <c r="CS62" s="42"/>
      <c r="CT62" s="44"/>
      <c r="CU62" s="14">
        <f t="shared" si="13"/>
        <v>0</v>
      </c>
      <c r="CV62" s="14">
        <f t="shared" si="14"/>
        <v>0</v>
      </c>
      <c r="CW62" s="14">
        <f t="shared" si="15"/>
        <v>0</v>
      </c>
      <c r="CX62" s="43"/>
      <c r="CY62" s="17"/>
      <c r="DD62" s="14">
        <f t="shared" si="16"/>
        <v>0</v>
      </c>
    </row>
    <row r="63" spans="1:108" x14ac:dyDescent="0.25">
      <c r="A63" s="33">
        <v>35</v>
      </c>
      <c r="B63" s="50" t="s">
        <v>85</v>
      </c>
      <c r="C63" s="47" t="s">
        <v>85</v>
      </c>
      <c r="D63" s="33" t="s">
        <v>3</v>
      </c>
      <c r="E63" s="13">
        <v>565</v>
      </c>
      <c r="F63" s="13">
        <v>74</v>
      </c>
      <c r="G63" s="13"/>
      <c r="H63" s="13"/>
      <c r="I63" s="13"/>
      <c r="J63" s="13">
        <v>639</v>
      </c>
      <c r="L63" s="3"/>
      <c r="M63" s="3"/>
      <c r="N63" s="3"/>
      <c r="O63" s="3"/>
      <c r="P63" s="3"/>
      <c r="R63" s="3">
        <v>2</v>
      </c>
      <c r="S63" s="15"/>
      <c r="T63" s="16">
        <v>36</v>
      </c>
      <c r="U63" s="16">
        <v>216</v>
      </c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37">
        <f t="shared" si="10"/>
        <v>0</v>
      </c>
      <c r="CP63" s="27">
        <f t="shared" si="11"/>
        <v>0</v>
      </c>
      <c r="CQ63" s="22">
        <v>0</v>
      </c>
      <c r="CR63" s="22">
        <f t="shared" si="12"/>
        <v>0</v>
      </c>
      <c r="CS63" s="42"/>
      <c r="CT63" s="44"/>
      <c r="CU63" s="14">
        <f t="shared" si="13"/>
        <v>0</v>
      </c>
      <c r="CV63" s="14">
        <f t="shared" si="14"/>
        <v>0</v>
      </c>
      <c r="CW63" s="14">
        <f t="shared" si="15"/>
        <v>0</v>
      </c>
      <c r="CX63" s="43"/>
      <c r="CY63" s="17"/>
      <c r="DD63" s="14">
        <f t="shared" si="16"/>
        <v>0</v>
      </c>
    </row>
    <row r="64" spans="1:108" x14ac:dyDescent="0.25">
      <c r="A64" s="33">
        <v>36</v>
      </c>
      <c r="B64" s="50" t="s">
        <v>86</v>
      </c>
      <c r="C64" s="47" t="s">
        <v>86</v>
      </c>
      <c r="D64" s="33" t="s">
        <v>87</v>
      </c>
      <c r="E64" s="13">
        <v>583</v>
      </c>
      <c r="F64" s="13">
        <v>269</v>
      </c>
      <c r="G64" s="13">
        <v>1</v>
      </c>
      <c r="H64" s="13"/>
      <c r="I64" s="13"/>
      <c r="J64" s="13">
        <v>853</v>
      </c>
      <c r="L64" s="3"/>
      <c r="M64" s="3"/>
      <c r="N64" s="3"/>
      <c r="O64" s="3"/>
      <c r="P64" s="3"/>
      <c r="R64" s="3">
        <v>2</v>
      </c>
      <c r="S64" s="15"/>
      <c r="T64" s="16">
        <v>36</v>
      </c>
      <c r="U64" s="16">
        <v>216</v>
      </c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37">
        <f t="shared" si="10"/>
        <v>0</v>
      </c>
      <c r="CP64" s="27">
        <f t="shared" si="11"/>
        <v>0</v>
      </c>
      <c r="CQ64" s="22">
        <v>0</v>
      </c>
      <c r="CR64" s="22">
        <f t="shared" si="12"/>
        <v>0</v>
      </c>
      <c r="CS64" s="42"/>
      <c r="CT64" s="44"/>
      <c r="CU64" s="14">
        <f t="shared" si="13"/>
        <v>0</v>
      </c>
      <c r="CV64" s="14">
        <f t="shared" si="14"/>
        <v>0</v>
      </c>
      <c r="CW64" s="14">
        <f t="shared" si="15"/>
        <v>0</v>
      </c>
      <c r="CX64" s="43"/>
      <c r="CY64" s="17"/>
      <c r="DD64" s="14">
        <f t="shared" si="16"/>
        <v>0</v>
      </c>
    </row>
    <row r="65" spans="1:108" x14ac:dyDescent="0.25">
      <c r="A65" s="33">
        <v>37</v>
      </c>
      <c r="B65" s="50" t="s">
        <v>88</v>
      </c>
      <c r="C65" s="47" t="s">
        <v>88</v>
      </c>
      <c r="D65" s="33" t="s">
        <v>3</v>
      </c>
      <c r="E65" s="13">
        <v>907</v>
      </c>
      <c r="F65" s="13">
        <v>138</v>
      </c>
      <c r="G65" s="13"/>
      <c r="H65" s="13"/>
      <c r="I65" s="13"/>
      <c r="J65" s="13">
        <v>1045</v>
      </c>
      <c r="L65" s="3"/>
      <c r="M65" s="3"/>
      <c r="N65" s="3"/>
      <c r="O65" s="3"/>
      <c r="P65" s="3"/>
      <c r="R65" s="3">
        <v>3</v>
      </c>
      <c r="T65" s="16">
        <v>54</v>
      </c>
      <c r="U65" s="16">
        <v>324</v>
      </c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37">
        <f t="shared" si="10"/>
        <v>0</v>
      </c>
      <c r="CP65" s="27">
        <f t="shared" si="11"/>
        <v>0</v>
      </c>
      <c r="CQ65" s="22">
        <v>0</v>
      </c>
      <c r="CR65" s="22">
        <f t="shared" si="12"/>
        <v>0</v>
      </c>
      <c r="CS65" s="42"/>
      <c r="CT65" s="44"/>
      <c r="CU65" s="14">
        <f t="shared" si="13"/>
        <v>0</v>
      </c>
      <c r="CV65" s="14">
        <f t="shared" si="14"/>
        <v>0</v>
      </c>
      <c r="CW65" s="14">
        <f t="shared" si="15"/>
        <v>0</v>
      </c>
      <c r="CX65" s="43"/>
      <c r="CY65" s="17"/>
      <c r="DD65" s="14">
        <f t="shared" si="16"/>
        <v>0</v>
      </c>
    </row>
    <row r="66" spans="1:108" x14ac:dyDescent="0.25">
      <c r="A66" s="33">
        <v>38</v>
      </c>
      <c r="B66" s="50" t="s">
        <v>89</v>
      </c>
      <c r="C66" s="47" t="s">
        <v>89</v>
      </c>
      <c r="D66" s="33" t="s">
        <v>4</v>
      </c>
      <c r="E66" s="13">
        <v>857</v>
      </c>
      <c r="F66" s="13">
        <v>147</v>
      </c>
      <c r="G66" s="13">
        <v>2</v>
      </c>
      <c r="H66" s="13"/>
      <c r="I66" s="13"/>
      <c r="J66" s="13">
        <v>1006</v>
      </c>
      <c r="L66" s="3"/>
      <c r="M66" s="3"/>
      <c r="N66" s="3"/>
      <c r="O66" s="3"/>
      <c r="P66" s="3"/>
      <c r="R66" s="3">
        <v>3</v>
      </c>
      <c r="S66" s="15"/>
      <c r="T66" s="16">
        <v>54</v>
      </c>
      <c r="U66" s="16">
        <v>324</v>
      </c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37">
        <f t="shared" si="10"/>
        <v>0</v>
      </c>
      <c r="CP66" s="27">
        <f t="shared" si="11"/>
        <v>0</v>
      </c>
      <c r="CQ66" s="22">
        <v>0</v>
      </c>
      <c r="CR66" s="22">
        <f t="shared" si="12"/>
        <v>0</v>
      </c>
      <c r="CS66" s="42"/>
      <c r="CT66" s="44"/>
      <c r="CU66" s="14">
        <f t="shared" si="13"/>
        <v>0</v>
      </c>
      <c r="CV66" s="14">
        <f t="shared" si="14"/>
        <v>0</v>
      </c>
      <c r="CW66" s="14">
        <f t="shared" si="15"/>
        <v>0</v>
      </c>
      <c r="CX66" s="43"/>
      <c r="CY66" s="17"/>
      <c r="DD66" s="14">
        <f t="shared" si="16"/>
        <v>0</v>
      </c>
    </row>
    <row r="67" spans="1:108" x14ac:dyDescent="0.25">
      <c r="A67" s="33">
        <v>39</v>
      </c>
      <c r="B67" s="50" t="s">
        <v>90</v>
      </c>
      <c r="C67" s="47" t="s">
        <v>90</v>
      </c>
      <c r="D67" s="33" t="s">
        <v>4</v>
      </c>
      <c r="E67" s="13">
        <v>719</v>
      </c>
      <c r="F67" s="13">
        <v>53</v>
      </c>
      <c r="G67" s="13"/>
      <c r="H67" s="13"/>
      <c r="I67" s="13"/>
      <c r="J67" s="13">
        <v>772</v>
      </c>
      <c r="L67" s="3"/>
      <c r="M67" s="3"/>
      <c r="N67" s="3"/>
      <c r="O67" s="3"/>
      <c r="P67" s="3"/>
      <c r="R67" s="3">
        <v>2</v>
      </c>
      <c r="S67" s="15"/>
      <c r="T67" s="16">
        <v>36</v>
      </c>
      <c r="U67" s="16">
        <v>216</v>
      </c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37">
        <f t="shared" si="10"/>
        <v>0</v>
      </c>
      <c r="CP67" s="27">
        <f t="shared" si="11"/>
        <v>0</v>
      </c>
      <c r="CQ67" s="22">
        <v>0</v>
      </c>
      <c r="CR67" s="22">
        <f t="shared" si="12"/>
        <v>0</v>
      </c>
      <c r="CS67" s="42"/>
      <c r="CT67" s="44"/>
      <c r="CU67" s="14">
        <f t="shared" si="13"/>
        <v>0</v>
      </c>
      <c r="CV67" s="14">
        <f t="shared" si="14"/>
        <v>0</v>
      </c>
      <c r="CW67" s="14">
        <f t="shared" si="15"/>
        <v>0</v>
      </c>
      <c r="CX67" s="43"/>
      <c r="CY67" s="17"/>
      <c r="DD67" s="14">
        <f t="shared" si="16"/>
        <v>0</v>
      </c>
    </row>
    <row r="68" spans="1:108" x14ac:dyDescent="0.25">
      <c r="A68" s="33">
        <v>44</v>
      </c>
      <c r="B68" s="50" t="s">
        <v>91</v>
      </c>
      <c r="C68" s="47" t="s">
        <v>91</v>
      </c>
      <c r="D68" s="33" t="s">
        <v>4</v>
      </c>
      <c r="E68" s="13">
        <v>53</v>
      </c>
      <c r="F68" s="13"/>
      <c r="G68" s="13"/>
      <c r="H68" s="13"/>
      <c r="I68" s="13"/>
      <c r="J68" s="13">
        <v>53</v>
      </c>
      <c r="L68" s="3"/>
      <c r="M68" s="3"/>
      <c r="N68" s="3"/>
      <c r="O68" s="3"/>
      <c r="P68" s="3"/>
      <c r="R68" s="3">
        <v>1</v>
      </c>
      <c r="S68" s="15"/>
      <c r="T68" s="16">
        <v>18</v>
      </c>
      <c r="U68" s="16">
        <v>108</v>
      </c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37">
        <f t="shared" si="10"/>
        <v>0</v>
      </c>
      <c r="CP68" s="27">
        <f t="shared" si="11"/>
        <v>0</v>
      </c>
      <c r="CQ68" s="22">
        <v>0</v>
      </c>
      <c r="CR68" s="22">
        <f t="shared" si="12"/>
        <v>0</v>
      </c>
      <c r="CS68" s="42"/>
      <c r="CT68" s="44"/>
      <c r="CU68" s="14">
        <f t="shared" si="13"/>
        <v>0</v>
      </c>
      <c r="CV68" s="14">
        <f t="shared" si="14"/>
        <v>0</v>
      </c>
      <c r="CW68" s="14">
        <f t="shared" si="15"/>
        <v>0</v>
      </c>
      <c r="CX68" s="43"/>
      <c r="CY68" s="17"/>
      <c r="DD68" s="14">
        <f t="shared" si="16"/>
        <v>0</v>
      </c>
    </row>
    <row r="69" spans="1:108" x14ac:dyDescent="0.25">
      <c r="A69" s="33">
        <v>45</v>
      </c>
      <c r="B69" s="50" t="s">
        <v>92</v>
      </c>
      <c r="C69" s="47" t="s">
        <v>92</v>
      </c>
      <c r="D69" s="33" t="s">
        <v>4</v>
      </c>
      <c r="E69" s="13">
        <v>419</v>
      </c>
      <c r="F69" s="13">
        <v>20</v>
      </c>
      <c r="G69" s="13">
        <v>3</v>
      </c>
      <c r="H69" s="13"/>
      <c r="I69" s="13"/>
      <c r="J69" s="13">
        <v>442</v>
      </c>
      <c r="L69" s="3"/>
      <c r="M69" s="3"/>
      <c r="N69" s="3"/>
      <c r="O69" s="3"/>
      <c r="P69" s="3"/>
      <c r="R69" s="3">
        <v>2</v>
      </c>
      <c r="S69" s="15"/>
      <c r="T69" s="16">
        <v>36</v>
      </c>
      <c r="U69" s="16">
        <v>216</v>
      </c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37">
        <f t="shared" si="10"/>
        <v>0</v>
      </c>
      <c r="CP69" s="27">
        <f t="shared" si="11"/>
        <v>0</v>
      </c>
      <c r="CQ69" s="22">
        <v>0</v>
      </c>
      <c r="CR69" s="22">
        <f t="shared" si="12"/>
        <v>0</v>
      </c>
      <c r="CS69" s="42"/>
      <c r="CT69" s="44"/>
      <c r="CU69" s="14">
        <f t="shared" si="13"/>
        <v>0</v>
      </c>
      <c r="CV69" s="14">
        <f t="shared" si="14"/>
        <v>0</v>
      </c>
      <c r="CW69" s="14">
        <f t="shared" si="15"/>
        <v>0</v>
      </c>
      <c r="CX69" s="43"/>
      <c r="CY69" s="17"/>
      <c r="DD69" s="14">
        <f t="shared" si="16"/>
        <v>0</v>
      </c>
    </row>
    <row r="70" spans="1:108" ht="15" customHeight="1" x14ac:dyDescent="0.25">
      <c r="A70" s="33">
        <v>47</v>
      </c>
      <c r="B70" s="50" t="s">
        <v>93</v>
      </c>
      <c r="C70" s="47" t="s">
        <v>93</v>
      </c>
      <c r="D70" s="33" t="s">
        <v>3</v>
      </c>
      <c r="E70" s="13">
        <v>441</v>
      </c>
      <c r="F70" s="13">
        <v>392</v>
      </c>
      <c r="G70" s="13"/>
      <c r="H70" s="13"/>
      <c r="I70" s="13"/>
      <c r="J70" s="13">
        <v>833</v>
      </c>
      <c r="L70" s="3"/>
      <c r="M70" s="3"/>
      <c r="N70" s="3"/>
      <c r="O70" s="3"/>
      <c r="P70" s="3"/>
      <c r="R70" s="3">
        <v>2</v>
      </c>
      <c r="S70" s="15"/>
      <c r="T70" s="16">
        <v>36</v>
      </c>
      <c r="U70" s="16">
        <v>216</v>
      </c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37">
        <f t="shared" si="10"/>
        <v>0</v>
      </c>
      <c r="CP70" s="27">
        <f t="shared" si="11"/>
        <v>0</v>
      </c>
      <c r="CQ70" s="22">
        <v>0</v>
      </c>
      <c r="CR70" s="22">
        <f t="shared" si="12"/>
        <v>0</v>
      </c>
      <c r="CS70" s="42"/>
      <c r="CT70" s="44"/>
      <c r="CU70" s="14">
        <f t="shared" si="13"/>
        <v>0</v>
      </c>
      <c r="CV70" s="14">
        <f t="shared" si="14"/>
        <v>0</v>
      </c>
      <c r="CW70" s="14">
        <f t="shared" si="15"/>
        <v>0</v>
      </c>
      <c r="CX70" s="43"/>
      <c r="CY70" s="17"/>
      <c r="DD70" s="14">
        <f t="shared" si="16"/>
        <v>0</v>
      </c>
    </row>
    <row r="71" spans="1:108" ht="15" customHeight="1" x14ac:dyDescent="0.25">
      <c r="A71" s="33">
        <v>48</v>
      </c>
      <c r="B71" s="50" t="s">
        <v>94</v>
      </c>
      <c r="C71" s="47" t="s">
        <v>94</v>
      </c>
      <c r="D71" s="33" t="s">
        <v>3</v>
      </c>
      <c r="E71" s="13">
        <v>1179</v>
      </c>
      <c r="F71" s="13">
        <v>15</v>
      </c>
      <c r="G71" s="13"/>
      <c r="H71" s="13"/>
      <c r="I71" s="13"/>
      <c r="J71" s="13">
        <v>1194</v>
      </c>
      <c r="L71" s="3"/>
      <c r="M71" s="3"/>
      <c r="N71" s="3"/>
      <c r="O71" s="3"/>
      <c r="P71" s="3"/>
      <c r="R71" s="3">
        <v>3</v>
      </c>
      <c r="S71" s="15"/>
      <c r="T71" s="16">
        <v>54</v>
      </c>
      <c r="U71" s="16">
        <v>324</v>
      </c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37">
        <f t="shared" si="10"/>
        <v>0</v>
      </c>
      <c r="CP71" s="27">
        <f t="shared" si="11"/>
        <v>0</v>
      </c>
      <c r="CQ71" s="22">
        <v>0</v>
      </c>
      <c r="CR71" s="22">
        <f t="shared" si="12"/>
        <v>0</v>
      </c>
      <c r="CS71" s="42"/>
      <c r="CT71" s="44"/>
      <c r="CU71" s="14">
        <f t="shared" si="13"/>
        <v>0</v>
      </c>
      <c r="CV71" s="14">
        <f t="shared" si="14"/>
        <v>0</v>
      </c>
      <c r="CW71" s="14">
        <f t="shared" si="15"/>
        <v>0</v>
      </c>
      <c r="CX71" s="43"/>
      <c r="CY71" s="17"/>
      <c r="DD71" s="14">
        <f t="shared" si="16"/>
        <v>0</v>
      </c>
    </row>
    <row r="72" spans="1:108" ht="15" customHeight="1" x14ac:dyDescent="0.25">
      <c r="A72" s="33" t="s">
        <v>95</v>
      </c>
      <c r="B72" s="50" t="s">
        <v>96</v>
      </c>
      <c r="C72" s="47" t="s">
        <v>96</v>
      </c>
      <c r="D72" s="33" t="s">
        <v>3</v>
      </c>
      <c r="E72" s="13">
        <v>947</v>
      </c>
      <c r="F72" s="13">
        <v>165</v>
      </c>
      <c r="G72" s="13"/>
      <c r="H72" s="13"/>
      <c r="I72" s="13"/>
      <c r="J72" s="13">
        <v>1112</v>
      </c>
      <c r="L72" s="3"/>
      <c r="M72" s="3"/>
      <c r="N72" s="3"/>
      <c r="O72" s="3"/>
      <c r="P72" s="3"/>
      <c r="R72" s="3">
        <v>3</v>
      </c>
      <c r="S72" s="15"/>
      <c r="T72" s="16">
        <v>54</v>
      </c>
      <c r="U72" s="16">
        <v>324</v>
      </c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37">
        <f t="shared" si="10"/>
        <v>0</v>
      </c>
      <c r="CP72" s="27">
        <f t="shared" si="11"/>
        <v>0</v>
      </c>
      <c r="CQ72" s="22">
        <v>0</v>
      </c>
      <c r="CR72" s="22">
        <f t="shared" si="12"/>
        <v>0</v>
      </c>
      <c r="CS72" s="42"/>
      <c r="CT72" s="44"/>
      <c r="CU72" s="14">
        <f t="shared" si="13"/>
        <v>0</v>
      </c>
      <c r="CV72" s="14">
        <f t="shared" si="14"/>
        <v>0</v>
      </c>
      <c r="CW72" s="14">
        <f t="shared" si="15"/>
        <v>0</v>
      </c>
      <c r="CX72" s="43"/>
      <c r="CY72" s="17"/>
      <c r="DD72" s="14">
        <f t="shared" si="16"/>
        <v>0</v>
      </c>
    </row>
    <row r="73" spans="1:108" x14ac:dyDescent="0.25">
      <c r="A73" s="33" t="s">
        <v>95</v>
      </c>
      <c r="B73" s="50" t="s">
        <v>97</v>
      </c>
      <c r="C73" s="47" t="s">
        <v>97</v>
      </c>
      <c r="D73" s="33" t="s">
        <v>4</v>
      </c>
      <c r="E73" s="13">
        <v>48</v>
      </c>
      <c r="F73" s="13">
        <v>136</v>
      </c>
      <c r="G73" s="13"/>
      <c r="H73" s="13"/>
      <c r="I73" s="13"/>
      <c r="J73" s="13">
        <v>184</v>
      </c>
      <c r="L73" s="3"/>
      <c r="M73" s="3"/>
      <c r="N73" s="3"/>
      <c r="O73" s="3"/>
      <c r="P73" s="3"/>
      <c r="R73" s="3">
        <v>1</v>
      </c>
      <c r="S73" s="15"/>
      <c r="T73" s="16">
        <v>18</v>
      </c>
      <c r="U73" s="16">
        <v>108</v>
      </c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37">
        <f t="shared" si="10"/>
        <v>0</v>
      </c>
      <c r="CP73" s="27">
        <f t="shared" si="11"/>
        <v>0</v>
      </c>
      <c r="CQ73" s="22">
        <v>0</v>
      </c>
      <c r="CR73" s="22">
        <f t="shared" si="12"/>
        <v>0</v>
      </c>
      <c r="CS73" s="42"/>
      <c r="CT73" s="44"/>
      <c r="CU73" s="14">
        <f t="shared" si="13"/>
        <v>0</v>
      </c>
      <c r="CV73" s="14">
        <f t="shared" si="14"/>
        <v>0</v>
      </c>
      <c r="CW73" s="14">
        <f t="shared" si="15"/>
        <v>0</v>
      </c>
      <c r="CX73" s="43"/>
      <c r="CY73" s="17"/>
      <c r="DD73" s="14">
        <f t="shared" si="16"/>
        <v>0</v>
      </c>
    </row>
    <row r="74" spans="1:108" ht="15" customHeight="1" x14ac:dyDescent="0.25">
      <c r="A74" s="33" t="s">
        <v>95</v>
      </c>
      <c r="B74" s="50" t="s">
        <v>98</v>
      </c>
      <c r="C74" s="47" t="s">
        <v>98</v>
      </c>
      <c r="D74" s="33" t="s">
        <v>4</v>
      </c>
      <c r="E74" s="13">
        <v>1152</v>
      </c>
      <c r="F74" s="13">
        <v>154</v>
      </c>
      <c r="G74" s="13"/>
      <c r="H74" s="13"/>
      <c r="I74" s="13"/>
      <c r="J74" s="13">
        <v>1306</v>
      </c>
      <c r="L74" s="3"/>
      <c r="M74" s="3"/>
      <c r="N74" s="3"/>
      <c r="O74" s="3"/>
      <c r="P74" s="3"/>
      <c r="R74" s="3">
        <v>4</v>
      </c>
      <c r="S74" s="15"/>
      <c r="T74" s="16">
        <v>72</v>
      </c>
      <c r="U74" s="16">
        <v>432</v>
      </c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37">
        <f t="shared" si="10"/>
        <v>0</v>
      </c>
      <c r="CP74" s="27">
        <f t="shared" si="11"/>
        <v>0</v>
      </c>
      <c r="CQ74" s="22">
        <v>0</v>
      </c>
      <c r="CR74" s="22">
        <f t="shared" si="12"/>
        <v>0</v>
      </c>
      <c r="CS74" s="42"/>
      <c r="CT74" s="44"/>
      <c r="CU74" s="14">
        <f t="shared" si="13"/>
        <v>0</v>
      </c>
      <c r="CV74" s="14">
        <f t="shared" si="14"/>
        <v>0</v>
      </c>
      <c r="CW74" s="14">
        <f t="shared" si="15"/>
        <v>0</v>
      </c>
      <c r="CX74" s="43"/>
      <c r="CY74" s="17"/>
      <c r="DD74" s="14">
        <f t="shared" si="16"/>
        <v>0</v>
      </c>
    </row>
    <row r="75" spans="1:108" x14ac:dyDescent="0.25">
      <c r="A75" s="33" t="s">
        <v>95</v>
      </c>
      <c r="B75" s="50" t="s">
        <v>99</v>
      </c>
      <c r="C75" s="47" t="s">
        <v>99</v>
      </c>
      <c r="D75" s="33" t="s">
        <v>3</v>
      </c>
      <c r="E75" s="13">
        <v>1418</v>
      </c>
      <c r="F75" s="13">
        <v>80</v>
      </c>
      <c r="G75" s="13">
        <v>14</v>
      </c>
      <c r="H75" s="13"/>
      <c r="I75" s="13"/>
      <c r="J75" s="13">
        <v>1512</v>
      </c>
      <c r="L75" s="3"/>
      <c r="M75" s="3"/>
      <c r="N75" s="3"/>
      <c r="O75" s="3"/>
      <c r="P75" s="3"/>
      <c r="R75" s="3">
        <v>4</v>
      </c>
      <c r="S75" s="15"/>
      <c r="T75" s="16">
        <v>72</v>
      </c>
      <c r="U75" s="16">
        <v>432</v>
      </c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37">
        <f t="shared" si="10"/>
        <v>0</v>
      </c>
      <c r="CP75" s="27">
        <f t="shared" si="11"/>
        <v>0</v>
      </c>
      <c r="CQ75" s="22">
        <v>0</v>
      </c>
      <c r="CR75" s="22">
        <f t="shared" si="12"/>
        <v>0</v>
      </c>
      <c r="CS75" s="42"/>
      <c r="CT75" s="44"/>
      <c r="CU75" s="14">
        <f t="shared" si="13"/>
        <v>0</v>
      </c>
      <c r="CV75" s="14">
        <f t="shared" si="14"/>
        <v>0</v>
      </c>
      <c r="CW75" s="14">
        <f t="shared" si="15"/>
        <v>0</v>
      </c>
      <c r="CX75" s="43"/>
      <c r="CY75" s="17"/>
      <c r="DD75" s="14">
        <f t="shared" si="16"/>
        <v>0</v>
      </c>
    </row>
    <row r="76" spans="1:108" ht="15" customHeight="1" x14ac:dyDescent="0.25">
      <c r="A76" s="33" t="s">
        <v>95</v>
      </c>
      <c r="B76" s="50" t="s">
        <v>100</v>
      </c>
      <c r="C76" s="47" t="s">
        <v>100</v>
      </c>
      <c r="D76" s="33" t="s">
        <v>3</v>
      </c>
      <c r="E76" s="13">
        <v>1066</v>
      </c>
      <c r="F76" s="13">
        <v>238</v>
      </c>
      <c r="G76" s="13"/>
      <c r="H76" s="13"/>
      <c r="I76" s="13"/>
      <c r="J76" s="13">
        <v>1304</v>
      </c>
      <c r="L76" s="3"/>
      <c r="M76" s="3"/>
      <c r="N76" s="3"/>
      <c r="O76" s="3"/>
      <c r="P76" s="3"/>
      <c r="R76" s="3">
        <v>4</v>
      </c>
      <c r="S76" s="15"/>
      <c r="T76" s="16">
        <v>72</v>
      </c>
      <c r="U76" s="16">
        <v>432</v>
      </c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37">
        <f t="shared" si="10"/>
        <v>0</v>
      </c>
      <c r="CP76" s="27">
        <f t="shared" si="11"/>
        <v>0</v>
      </c>
      <c r="CQ76" s="22">
        <v>0</v>
      </c>
      <c r="CR76" s="22">
        <f t="shared" si="12"/>
        <v>0</v>
      </c>
      <c r="CS76" s="42"/>
      <c r="CT76" s="44"/>
      <c r="CU76" s="14">
        <f t="shared" si="13"/>
        <v>0</v>
      </c>
      <c r="CV76" s="14">
        <f t="shared" si="14"/>
        <v>0</v>
      </c>
      <c r="CW76" s="14">
        <f t="shared" si="15"/>
        <v>0</v>
      </c>
      <c r="CX76" s="43"/>
      <c r="CY76" s="17"/>
      <c r="DD76" s="14">
        <f t="shared" si="16"/>
        <v>0</v>
      </c>
    </row>
    <row r="77" spans="1:108" ht="15" customHeight="1" x14ac:dyDescent="0.25">
      <c r="A77" s="33" t="s">
        <v>95</v>
      </c>
      <c r="B77" s="50" t="s">
        <v>101</v>
      </c>
      <c r="C77" s="47" t="s">
        <v>101</v>
      </c>
      <c r="D77" s="33" t="s">
        <v>4</v>
      </c>
      <c r="E77" s="13">
        <v>825</v>
      </c>
      <c r="F77" s="13">
        <v>5</v>
      </c>
      <c r="G77" s="13"/>
      <c r="H77" s="13"/>
      <c r="I77" s="13"/>
      <c r="J77" s="13">
        <v>830</v>
      </c>
      <c r="L77" s="3"/>
      <c r="M77" s="3"/>
      <c r="N77" s="3"/>
      <c r="O77" s="3"/>
      <c r="P77" s="3"/>
      <c r="R77" s="3">
        <v>2</v>
      </c>
      <c r="S77" s="15"/>
      <c r="T77" s="16">
        <v>36</v>
      </c>
      <c r="U77" s="16">
        <v>216</v>
      </c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37">
        <f t="shared" si="10"/>
        <v>0</v>
      </c>
      <c r="CP77" s="27">
        <f t="shared" si="11"/>
        <v>0</v>
      </c>
      <c r="CQ77" s="22">
        <v>0</v>
      </c>
      <c r="CR77" s="22">
        <f t="shared" si="12"/>
        <v>0</v>
      </c>
      <c r="CS77" s="42"/>
      <c r="CT77" s="44"/>
      <c r="CU77" s="14">
        <f t="shared" si="13"/>
        <v>0</v>
      </c>
      <c r="CV77" s="14">
        <f t="shared" si="14"/>
        <v>0</v>
      </c>
      <c r="CW77" s="14">
        <f t="shared" si="15"/>
        <v>0</v>
      </c>
      <c r="CX77" s="43"/>
      <c r="CY77" s="17"/>
      <c r="DD77" s="14">
        <f t="shared" si="16"/>
        <v>0</v>
      </c>
    </row>
    <row r="78" spans="1:108" ht="15.75" customHeight="1" thickBot="1" x14ac:dyDescent="0.3">
      <c r="A78" s="33" t="s">
        <v>95</v>
      </c>
      <c r="B78" s="50" t="s">
        <v>102</v>
      </c>
      <c r="C78" s="47" t="s">
        <v>102</v>
      </c>
      <c r="D78" s="33" t="s">
        <v>4</v>
      </c>
      <c r="E78" s="13">
        <v>82</v>
      </c>
      <c r="F78" s="13"/>
      <c r="G78" s="13"/>
      <c r="H78" s="13"/>
      <c r="I78" s="13"/>
      <c r="J78" s="13">
        <v>82</v>
      </c>
      <c r="L78" s="3"/>
      <c r="M78" s="3"/>
      <c r="N78" s="3"/>
      <c r="O78" s="3"/>
      <c r="P78" s="3"/>
      <c r="R78" s="3">
        <v>1</v>
      </c>
      <c r="S78" s="15"/>
      <c r="T78" s="16">
        <v>18</v>
      </c>
      <c r="U78" s="16">
        <v>108</v>
      </c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37">
        <f t="shared" ref="CN78:CN109" si="17">+SUM(W78:CM78)</f>
        <v>0</v>
      </c>
      <c r="CP78" s="27">
        <f t="shared" si="11"/>
        <v>0</v>
      </c>
      <c r="CQ78" s="22">
        <v>0</v>
      </c>
      <c r="CR78" s="22">
        <f t="shared" ref="CR78:CR109" si="18">CP78+CQ78</f>
        <v>0</v>
      </c>
      <c r="CS78" s="22"/>
      <c r="CT78" s="22"/>
      <c r="CU78" s="14">
        <f t="shared" si="13"/>
        <v>0</v>
      </c>
      <c r="CV78" s="14">
        <f t="shared" ref="CV78:CV109" si="19">CU78/2</f>
        <v>0</v>
      </c>
      <c r="CW78" s="14">
        <f t="shared" ref="CW78:CW109" si="20">CV78-CP78</f>
        <v>0</v>
      </c>
      <c r="CX78" s="43"/>
      <c r="CY78" s="17"/>
      <c r="DD78" s="14">
        <f t="shared" ref="DD78:DD109" si="21">SUM(CY78:DC78)</f>
        <v>0</v>
      </c>
    </row>
    <row r="79" spans="1:108" ht="15.75" customHeight="1" thickTop="1" x14ac:dyDescent="0.25">
      <c r="A79" s="18"/>
      <c r="B79" s="18" t="s">
        <v>29</v>
      </c>
      <c r="C79" s="18"/>
      <c r="D79" s="18"/>
      <c r="E79" s="19">
        <v>51364</v>
      </c>
      <c r="F79" s="19">
        <v>12083</v>
      </c>
      <c r="G79" s="19">
        <v>157</v>
      </c>
      <c r="H79" s="19">
        <v>138</v>
      </c>
      <c r="I79" s="19">
        <v>3</v>
      </c>
      <c r="J79" s="19">
        <v>63745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R79" s="20">
        <v>181</v>
      </c>
      <c r="T79" s="19">
        <v>3258</v>
      </c>
      <c r="U79" s="19">
        <v>19548</v>
      </c>
      <c r="W79" s="25">
        <f t="shared" ref="W79:BB79" si="22">+SUM(W14:W78)</f>
        <v>0</v>
      </c>
      <c r="X79" s="25">
        <f t="shared" si="22"/>
        <v>0</v>
      </c>
      <c r="Y79" s="25">
        <f t="shared" si="22"/>
        <v>0</v>
      </c>
      <c r="Z79" s="25">
        <f t="shared" si="22"/>
        <v>0</v>
      </c>
      <c r="AA79" s="25">
        <f t="shared" si="22"/>
        <v>0</v>
      </c>
      <c r="AB79" s="25">
        <f t="shared" si="22"/>
        <v>24</v>
      </c>
      <c r="AC79" s="25">
        <f t="shared" si="22"/>
        <v>0</v>
      </c>
      <c r="AD79" s="25">
        <f t="shared" si="22"/>
        <v>7</v>
      </c>
      <c r="AE79" s="25">
        <f t="shared" si="22"/>
        <v>16</v>
      </c>
      <c r="AF79" s="25">
        <f t="shared" si="22"/>
        <v>8</v>
      </c>
      <c r="AG79" s="25">
        <f t="shared" si="22"/>
        <v>54</v>
      </c>
      <c r="AH79" s="25">
        <f t="shared" si="22"/>
        <v>55</v>
      </c>
      <c r="AI79" s="25">
        <f t="shared" si="22"/>
        <v>59</v>
      </c>
      <c r="AJ79" s="25">
        <f t="shared" si="22"/>
        <v>40</v>
      </c>
      <c r="AK79" s="25">
        <f t="shared" si="22"/>
        <v>0</v>
      </c>
      <c r="AL79" s="25">
        <f t="shared" si="22"/>
        <v>0</v>
      </c>
      <c r="AM79" s="25">
        <f t="shared" si="22"/>
        <v>0</v>
      </c>
      <c r="AN79" s="25">
        <f t="shared" si="22"/>
        <v>0</v>
      </c>
      <c r="AO79" s="25">
        <f t="shared" si="22"/>
        <v>0</v>
      </c>
      <c r="AP79" s="25">
        <f t="shared" si="22"/>
        <v>0</v>
      </c>
      <c r="AQ79" s="25">
        <f t="shared" si="22"/>
        <v>0</v>
      </c>
      <c r="AR79" s="25">
        <f t="shared" si="22"/>
        <v>0</v>
      </c>
      <c r="AS79" s="25">
        <f t="shared" si="22"/>
        <v>0</v>
      </c>
      <c r="AT79" s="25">
        <f t="shared" si="22"/>
        <v>0</v>
      </c>
      <c r="AU79" s="25">
        <f t="shared" si="22"/>
        <v>0</v>
      </c>
      <c r="AV79" s="25">
        <f t="shared" si="22"/>
        <v>0</v>
      </c>
      <c r="AW79" s="25">
        <f t="shared" si="22"/>
        <v>0</v>
      </c>
      <c r="AX79" s="25">
        <f t="shared" si="22"/>
        <v>0</v>
      </c>
      <c r="AY79" s="25">
        <f t="shared" si="22"/>
        <v>0</v>
      </c>
      <c r="AZ79" s="25">
        <f t="shared" si="22"/>
        <v>0</v>
      </c>
      <c r="BA79" s="25">
        <f t="shared" si="22"/>
        <v>0</v>
      </c>
      <c r="BB79" s="25">
        <f t="shared" si="22"/>
        <v>0</v>
      </c>
      <c r="BC79" s="25">
        <f t="shared" ref="BC79:CH79" si="23">+SUM(BC14:BC78)</f>
        <v>0</v>
      </c>
      <c r="BD79" s="25">
        <f t="shared" si="23"/>
        <v>0</v>
      </c>
      <c r="BE79" s="25">
        <f t="shared" si="23"/>
        <v>0</v>
      </c>
      <c r="BF79" s="25">
        <f t="shared" si="23"/>
        <v>0</v>
      </c>
      <c r="BG79" s="25">
        <f t="shared" si="23"/>
        <v>0</v>
      </c>
      <c r="BH79" s="25">
        <f t="shared" si="23"/>
        <v>0</v>
      </c>
      <c r="BI79" s="25">
        <f t="shared" si="23"/>
        <v>0</v>
      </c>
      <c r="BJ79" s="25">
        <f t="shared" si="23"/>
        <v>0</v>
      </c>
      <c r="BK79" s="25">
        <f t="shared" si="23"/>
        <v>0</v>
      </c>
      <c r="BL79" s="25">
        <f t="shared" si="23"/>
        <v>0</v>
      </c>
      <c r="BM79" s="25">
        <f t="shared" si="23"/>
        <v>0</v>
      </c>
      <c r="BN79" s="25">
        <f t="shared" si="23"/>
        <v>0</v>
      </c>
      <c r="BO79" s="25">
        <f t="shared" si="23"/>
        <v>0</v>
      </c>
      <c r="BP79" s="25">
        <f t="shared" si="23"/>
        <v>0</v>
      </c>
      <c r="BQ79" s="25">
        <f t="shared" si="23"/>
        <v>0</v>
      </c>
      <c r="BR79" s="25">
        <f t="shared" si="23"/>
        <v>0</v>
      </c>
      <c r="BS79" s="25">
        <f t="shared" si="23"/>
        <v>0</v>
      </c>
      <c r="BT79" s="25">
        <f t="shared" si="23"/>
        <v>0</v>
      </c>
      <c r="BU79" s="25">
        <f t="shared" si="23"/>
        <v>0</v>
      </c>
      <c r="BV79" s="25">
        <f t="shared" si="23"/>
        <v>0</v>
      </c>
      <c r="BW79" s="25">
        <f t="shared" si="23"/>
        <v>0</v>
      </c>
      <c r="BX79" s="25">
        <f t="shared" si="23"/>
        <v>0</v>
      </c>
      <c r="BY79" s="25">
        <f t="shared" si="23"/>
        <v>0</v>
      </c>
      <c r="BZ79" s="25">
        <f t="shared" si="23"/>
        <v>0</v>
      </c>
      <c r="CA79" s="25">
        <f t="shared" si="23"/>
        <v>0</v>
      </c>
      <c r="CB79" s="25">
        <f t="shared" si="23"/>
        <v>0</v>
      </c>
      <c r="CC79" s="25">
        <f t="shared" si="23"/>
        <v>0</v>
      </c>
      <c r="CD79" s="25">
        <f t="shared" si="23"/>
        <v>0</v>
      </c>
      <c r="CE79" s="25">
        <f t="shared" si="23"/>
        <v>0</v>
      </c>
      <c r="CF79" s="25">
        <f t="shared" si="23"/>
        <v>0</v>
      </c>
      <c r="CG79" s="25">
        <f t="shared" si="23"/>
        <v>0</v>
      </c>
      <c r="CH79" s="25">
        <f t="shared" si="23"/>
        <v>0</v>
      </c>
      <c r="CI79" s="25">
        <f t="shared" ref="CI79:DN79" si="24">+SUM(CI14:CI78)</f>
        <v>0</v>
      </c>
      <c r="CJ79" s="25">
        <f t="shared" si="24"/>
        <v>0</v>
      </c>
      <c r="CK79" s="25">
        <f t="shared" si="24"/>
        <v>0</v>
      </c>
      <c r="CL79" s="25">
        <f t="shared" si="24"/>
        <v>0</v>
      </c>
      <c r="CM79" s="25">
        <f t="shared" si="24"/>
        <v>0</v>
      </c>
      <c r="CN79" s="25">
        <f t="shared" si="24"/>
        <v>263</v>
      </c>
      <c r="CP79" s="25">
        <f>+SUM(CP14:CP78)</f>
        <v>263</v>
      </c>
      <c r="CQ79" s="25">
        <f>+SUM(CQ14:CQ78)</f>
        <v>0</v>
      </c>
      <c r="CR79" s="25">
        <f>+SUM(CR14:CR78)</f>
        <v>263</v>
      </c>
      <c r="CS79" s="25"/>
      <c r="CT79" s="25"/>
      <c r="CU79" s="25">
        <f>+SUM(CU14:CU78)</f>
        <v>4499</v>
      </c>
      <c r="CV79" s="25">
        <f>+SUM(CV14:CV78)</f>
        <v>2249.5</v>
      </c>
      <c r="CW79" s="25">
        <f>+SUM(CW14:CW78)</f>
        <v>1986.5</v>
      </c>
    </row>
    <row r="80" spans="1:108" hidden="1" x14ac:dyDescent="0.25">
      <c r="E80" s="21"/>
      <c r="F80" s="21"/>
      <c r="G80" s="21"/>
      <c r="H80" s="21"/>
      <c r="I80" s="21"/>
      <c r="J80" s="21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</row>
    <row r="81" spans="1:101" hidden="1" x14ac:dyDescent="0.25">
      <c r="B81" s="53" t="s">
        <v>103</v>
      </c>
      <c r="C81" s="54"/>
      <c r="D81" s="54"/>
      <c r="E81" s="54"/>
      <c r="F81" s="54"/>
      <c r="G81" s="54"/>
      <c r="H81" s="54"/>
      <c r="I81" s="54"/>
      <c r="J81" s="54"/>
      <c r="L81" s="52"/>
      <c r="M81" s="52"/>
      <c r="N81" s="52"/>
      <c r="O81" s="52"/>
      <c r="P81" s="52"/>
      <c r="R81" s="55"/>
      <c r="T81" s="52"/>
      <c r="U81" s="52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53" t="s">
        <v>103</v>
      </c>
      <c r="CP81" s="53"/>
      <c r="CQ81" s="53"/>
      <c r="CR81" s="53"/>
    </row>
    <row r="82" spans="1:101" hidden="1" x14ac:dyDescent="0.25">
      <c r="A82" s="33"/>
      <c r="B82" s="50" t="s">
        <v>104</v>
      </c>
      <c r="C82" s="47" t="s">
        <v>104</v>
      </c>
      <c r="D82" s="33" t="s">
        <v>105</v>
      </c>
      <c r="E82" s="13"/>
      <c r="F82" s="13"/>
      <c r="G82" s="13"/>
      <c r="H82" s="13"/>
      <c r="I82" s="13"/>
      <c r="J82" s="13">
        <v>1809</v>
      </c>
      <c r="L82" s="3"/>
      <c r="M82" s="3"/>
      <c r="N82" s="3"/>
      <c r="O82" s="3"/>
      <c r="P82" s="3"/>
      <c r="R82" s="3">
        <v>5</v>
      </c>
      <c r="T82" s="16">
        <v>90</v>
      </c>
      <c r="U82" s="16">
        <v>540</v>
      </c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37">
        <f>+SUM(W82:CM82)</f>
        <v>0</v>
      </c>
      <c r="CP82" s="27">
        <v>0</v>
      </c>
      <c r="CQ82" s="22">
        <v>0</v>
      </c>
      <c r="CR82" s="22">
        <v>0</v>
      </c>
      <c r="CS82" s="42"/>
      <c r="CT82" s="44"/>
      <c r="CU82" s="14"/>
      <c r="CV82" s="14"/>
      <c r="CW82" s="14"/>
    </row>
    <row r="83" spans="1:101" hidden="1" x14ac:dyDescent="0.25">
      <c r="A83" s="33"/>
      <c r="B83" s="50" t="s">
        <v>106</v>
      </c>
      <c r="C83" s="47" t="s">
        <v>106</v>
      </c>
      <c r="D83" s="33" t="s">
        <v>107</v>
      </c>
      <c r="E83" s="13"/>
      <c r="F83" s="13"/>
      <c r="G83" s="13"/>
      <c r="H83" s="13"/>
      <c r="I83" s="13"/>
      <c r="J83" s="13">
        <v>1493</v>
      </c>
      <c r="L83" s="3"/>
      <c r="M83" s="3"/>
      <c r="N83" s="3"/>
      <c r="O83" s="3"/>
      <c r="P83" s="3"/>
      <c r="R83" s="3">
        <v>4</v>
      </c>
      <c r="S83" s="15"/>
      <c r="T83" s="16">
        <v>72</v>
      </c>
      <c r="U83" s="16">
        <v>432</v>
      </c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37">
        <f>+SUM(W83:CM83)</f>
        <v>0</v>
      </c>
      <c r="CP83" s="27">
        <v>0</v>
      </c>
      <c r="CQ83" s="22">
        <v>0</v>
      </c>
      <c r="CR83" s="22">
        <v>0</v>
      </c>
      <c r="CS83" s="42"/>
      <c r="CT83" s="44"/>
      <c r="CU83" s="14"/>
      <c r="CV83" s="14"/>
      <c r="CW83" s="14"/>
    </row>
    <row r="84" spans="1:101" hidden="1" x14ac:dyDescent="0.25">
      <c r="A84" s="33"/>
      <c r="B84" s="50" t="s">
        <v>108</v>
      </c>
      <c r="C84" s="47" t="s">
        <v>108</v>
      </c>
      <c r="D84" s="33" t="s">
        <v>105</v>
      </c>
      <c r="E84" s="13"/>
      <c r="F84" s="13"/>
      <c r="G84" s="13"/>
      <c r="H84" s="13"/>
      <c r="I84" s="13"/>
      <c r="J84" s="13">
        <v>2763</v>
      </c>
      <c r="L84" s="3"/>
      <c r="M84" s="3"/>
      <c r="N84" s="3"/>
      <c r="O84" s="3"/>
      <c r="P84" s="3"/>
      <c r="R84" s="3">
        <v>7</v>
      </c>
      <c r="S84" s="15"/>
      <c r="T84" s="16">
        <v>126</v>
      </c>
      <c r="U84" s="16">
        <v>756</v>
      </c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37">
        <f>+SUM(W84:CM84)</f>
        <v>0</v>
      </c>
      <c r="CP84" s="27">
        <v>0</v>
      </c>
      <c r="CQ84" s="22">
        <v>0</v>
      </c>
      <c r="CR84" s="22">
        <v>0</v>
      </c>
      <c r="CS84" s="22"/>
      <c r="CT84" s="22"/>
      <c r="CU84" s="14"/>
      <c r="CV84" s="14"/>
      <c r="CW84" s="14"/>
    </row>
    <row r="85" spans="1:101" ht="15.75" hidden="1" customHeight="1" thickTop="1" x14ac:dyDescent="0.25">
      <c r="A85" s="18"/>
      <c r="B85" s="18" t="s">
        <v>29</v>
      </c>
      <c r="C85" s="18"/>
      <c r="D85" s="18"/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6065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R85" s="20">
        <v>16</v>
      </c>
      <c r="T85" s="19">
        <v>288</v>
      </c>
      <c r="U85" s="19">
        <v>1728</v>
      </c>
      <c r="W85" s="25">
        <f t="shared" ref="W85:BB85" si="25">+SUM(W82:W84)</f>
        <v>0</v>
      </c>
      <c r="X85" s="25">
        <f t="shared" si="25"/>
        <v>0</v>
      </c>
      <c r="Y85" s="25">
        <f t="shared" si="25"/>
        <v>0</v>
      </c>
      <c r="Z85" s="25">
        <f t="shared" si="25"/>
        <v>0</v>
      </c>
      <c r="AA85" s="25">
        <f t="shared" si="25"/>
        <v>0</v>
      </c>
      <c r="AB85" s="25">
        <f t="shared" si="25"/>
        <v>0</v>
      </c>
      <c r="AC85" s="25">
        <f t="shared" si="25"/>
        <v>0</v>
      </c>
      <c r="AD85" s="25">
        <f t="shared" si="25"/>
        <v>0</v>
      </c>
      <c r="AE85" s="25">
        <f t="shared" si="25"/>
        <v>0</v>
      </c>
      <c r="AF85" s="25">
        <f t="shared" si="25"/>
        <v>0</v>
      </c>
      <c r="AG85" s="25">
        <f t="shared" si="25"/>
        <v>0</v>
      </c>
      <c r="AH85" s="25">
        <f t="shared" si="25"/>
        <v>0</v>
      </c>
      <c r="AI85" s="25">
        <f t="shared" si="25"/>
        <v>0</v>
      </c>
      <c r="AJ85" s="25">
        <f t="shared" si="25"/>
        <v>0</v>
      </c>
      <c r="AK85" s="25">
        <f t="shared" si="25"/>
        <v>0</v>
      </c>
      <c r="AL85" s="25">
        <f t="shared" si="25"/>
        <v>0</v>
      </c>
      <c r="AM85" s="25">
        <f t="shared" si="25"/>
        <v>0</v>
      </c>
      <c r="AN85" s="25">
        <f t="shared" si="25"/>
        <v>0</v>
      </c>
      <c r="AO85" s="25">
        <f t="shared" si="25"/>
        <v>0</v>
      </c>
      <c r="AP85" s="25">
        <f t="shared" si="25"/>
        <v>0</v>
      </c>
      <c r="AQ85" s="25">
        <f t="shared" si="25"/>
        <v>0</v>
      </c>
      <c r="AR85" s="25">
        <f t="shared" si="25"/>
        <v>0</v>
      </c>
      <c r="AS85" s="25">
        <f t="shared" si="25"/>
        <v>0</v>
      </c>
      <c r="AT85" s="25">
        <f t="shared" si="25"/>
        <v>0</v>
      </c>
      <c r="AU85" s="25">
        <f t="shared" si="25"/>
        <v>0</v>
      </c>
      <c r="AV85" s="25">
        <f t="shared" si="25"/>
        <v>0</v>
      </c>
      <c r="AW85" s="25">
        <f t="shared" si="25"/>
        <v>0</v>
      </c>
      <c r="AX85" s="25">
        <f t="shared" si="25"/>
        <v>0</v>
      </c>
      <c r="AY85" s="25">
        <f t="shared" si="25"/>
        <v>0</v>
      </c>
      <c r="AZ85" s="25">
        <f t="shared" si="25"/>
        <v>0</v>
      </c>
      <c r="BA85" s="25">
        <f t="shared" si="25"/>
        <v>0</v>
      </c>
      <c r="BB85" s="25">
        <f t="shared" si="25"/>
        <v>0</v>
      </c>
      <c r="BC85" s="25">
        <f t="shared" ref="BC85:CH85" si="26">+SUM(BC82:BC84)</f>
        <v>0</v>
      </c>
      <c r="BD85" s="25">
        <f t="shared" si="26"/>
        <v>0</v>
      </c>
      <c r="BE85" s="25">
        <f t="shared" si="26"/>
        <v>0</v>
      </c>
      <c r="BF85" s="25">
        <f t="shared" si="26"/>
        <v>0</v>
      </c>
      <c r="BG85" s="25">
        <f t="shared" si="26"/>
        <v>0</v>
      </c>
      <c r="BH85" s="25">
        <f t="shared" si="26"/>
        <v>0</v>
      </c>
      <c r="BI85" s="25">
        <f t="shared" si="26"/>
        <v>0</v>
      </c>
      <c r="BJ85" s="25">
        <f t="shared" si="26"/>
        <v>0</v>
      </c>
      <c r="BK85" s="25">
        <f t="shared" si="26"/>
        <v>0</v>
      </c>
      <c r="BL85" s="25">
        <f t="shared" si="26"/>
        <v>0</v>
      </c>
      <c r="BM85" s="25">
        <f t="shared" si="26"/>
        <v>0</v>
      </c>
      <c r="BN85" s="25">
        <f t="shared" si="26"/>
        <v>0</v>
      </c>
      <c r="BO85" s="25">
        <f t="shared" si="26"/>
        <v>0</v>
      </c>
      <c r="BP85" s="25">
        <f t="shared" si="26"/>
        <v>0</v>
      </c>
      <c r="BQ85" s="25">
        <f t="shared" si="26"/>
        <v>0</v>
      </c>
      <c r="BR85" s="25">
        <f t="shared" si="26"/>
        <v>0</v>
      </c>
      <c r="BS85" s="25">
        <f t="shared" si="26"/>
        <v>0</v>
      </c>
      <c r="BT85" s="25">
        <f t="shared" si="26"/>
        <v>0</v>
      </c>
      <c r="BU85" s="25">
        <f t="shared" si="26"/>
        <v>0</v>
      </c>
      <c r="BV85" s="25">
        <f t="shared" si="26"/>
        <v>0</v>
      </c>
      <c r="BW85" s="25">
        <f t="shared" si="26"/>
        <v>0</v>
      </c>
      <c r="BX85" s="25">
        <f t="shared" si="26"/>
        <v>0</v>
      </c>
      <c r="BY85" s="25">
        <f t="shared" si="26"/>
        <v>0</v>
      </c>
      <c r="BZ85" s="25">
        <f t="shared" si="26"/>
        <v>0</v>
      </c>
      <c r="CA85" s="25">
        <f t="shared" si="26"/>
        <v>0</v>
      </c>
      <c r="CB85" s="25">
        <f t="shared" si="26"/>
        <v>0</v>
      </c>
      <c r="CC85" s="25">
        <f t="shared" si="26"/>
        <v>0</v>
      </c>
      <c r="CD85" s="25">
        <f t="shared" si="26"/>
        <v>0</v>
      </c>
      <c r="CE85" s="25">
        <f t="shared" si="26"/>
        <v>0</v>
      </c>
      <c r="CF85" s="25">
        <f t="shared" si="26"/>
        <v>0</v>
      </c>
      <c r="CG85" s="25">
        <f t="shared" si="26"/>
        <v>0</v>
      </c>
      <c r="CH85" s="25">
        <f t="shared" si="26"/>
        <v>0</v>
      </c>
      <c r="CI85" s="25">
        <f t="shared" ref="CI85:DN85" si="27">+SUM(CI82:CI84)</f>
        <v>0</v>
      </c>
      <c r="CJ85" s="25">
        <f t="shared" si="27"/>
        <v>0</v>
      </c>
      <c r="CK85" s="25">
        <f t="shared" si="27"/>
        <v>0</v>
      </c>
      <c r="CL85" s="25">
        <f t="shared" si="27"/>
        <v>0</v>
      </c>
      <c r="CM85" s="25">
        <f t="shared" si="27"/>
        <v>0</v>
      </c>
      <c r="CN85" s="25">
        <f t="shared" si="27"/>
        <v>0</v>
      </c>
      <c r="CP85" s="25">
        <f>+SUM(CP82:CP84)</f>
        <v>0</v>
      </c>
      <c r="CQ85" s="25">
        <f>+SUM(CQ82:CQ84)</f>
        <v>0</v>
      </c>
      <c r="CR85" s="25">
        <f>+SUM(CR82:CR84)</f>
        <v>0</v>
      </c>
      <c r="CS85" s="25"/>
      <c r="CT85" s="25"/>
      <c r="CU85" s="25">
        <f>+SUM(CU82:CU84)</f>
        <v>0</v>
      </c>
      <c r="CV85" s="25">
        <f>+SUM(CV82:CV84)</f>
        <v>0</v>
      </c>
      <c r="CW85" s="25">
        <f>+SUM(CW82:CW84)</f>
        <v>0</v>
      </c>
    </row>
    <row r="86" spans="1:101" hidden="1" x14ac:dyDescent="0.25">
      <c r="E86" s="14"/>
      <c r="F86" s="14"/>
      <c r="G86" s="14"/>
      <c r="H86" s="14"/>
      <c r="I86" s="14"/>
      <c r="J86" s="14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P86" s="14"/>
      <c r="CQ86" s="35"/>
    </row>
    <row r="87" spans="1:101" x14ac:dyDescent="0.25">
      <c r="B87" s="32"/>
      <c r="C87" s="32"/>
      <c r="D87" s="32"/>
      <c r="E87" s="32"/>
      <c r="H87" s="14"/>
      <c r="I87" s="14"/>
    </row>
    <row r="88" spans="1:101" x14ac:dyDescent="0.25">
      <c r="B88" s="32"/>
      <c r="C88" s="32"/>
      <c r="D88" s="32"/>
      <c r="E88" s="32"/>
      <c r="H88" s="14"/>
      <c r="I88" s="14"/>
    </row>
    <row r="89" spans="1:101" x14ac:dyDescent="0.25">
      <c r="B89" s="53" t="s">
        <v>103</v>
      </c>
      <c r="C89" s="54"/>
      <c r="D89" s="54"/>
      <c r="E89" s="54"/>
      <c r="F89" s="54"/>
      <c r="G89" s="54"/>
      <c r="H89" s="54"/>
      <c r="I89" s="54"/>
      <c r="J89" s="54"/>
      <c r="L89" s="52"/>
      <c r="M89" s="52"/>
      <c r="N89" s="52"/>
      <c r="O89" s="52"/>
      <c r="P89" s="52"/>
      <c r="R89" s="55"/>
      <c r="T89" s="52"/>
      <c r="U89" s="52"/>
      <c r="V89" s="63"/>
      <c r="AE89" s="3"/>
      <c r="AF89" s="3"/>
      <c r="AG89" s="3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</row>
    <row r="90" spans="1:101" x14ac:dyDescent="0.25">
      <c r="A90" s="33">
        <v>17</v>
      </c>
      <c r="B90" s="50" t="s">
        <v>108</v>
      </c>
      <c r="C90" s="47" t="s">
        <v>108</v>
      </c>
      <c r="D90" s="33" t="s">
        <v>105</v>
      </c>
      <c r="E90" s="13"/>
      <c r="F90" s="13"/>
      <c r="G90" s="13"/>
      <c r="H90" s="13"/>
      <c r="I90" s="13"/>
      <c r="J90" s="13">
        <v>2763</v>
      </c>
      <c r="L90" s="3"/>
      <c r="M90" s="3"/>
      <c r="N90" s="3"/>
      <c r="O90" s="3"/>
      <c r="P90" s="3"/>
      <c r="R90" s="3">
        <v>7</v>
      </c>
      <c r="S90" s="15"/>
      <c r="T90" s="16">
        <v>126</v>
      </c>
      <c r="U90" s="16">
        <v>756</v>
      </c>
    </row>
    <row r="91" spans="1:101" x14ac:dyDescent="0.25">
      <c r="A91" s="33">
        <v>25</v>
      </c>
      <c r="B91" s="50" t="s">
        <v>106</v>
      </c>
      <c r="C91" s="47" t="s">
        <v>106</v>
      </c>
      <c r="D91" s="33" t="s">
        <v>107</v>
      </c>
      <c r="E91" s="13"/>
      <c r="F91" s="13"/>
      <c r="G91" s="13"/>
      <c r="H91" s="13"/>
      <c r="I91" s="13"/>
      <c r="J91" s="13">
        <v>1493</v>
      </c>
      <c r="L91" s="3"/>
      <c r="M91" s="3"/>
      <c r="N91" s="3"/>
      <c r="O91" s="3"/>
      <c r="P91" s="3"/>
      <c r="R91" s="3">
        <v>4</v>
      </c>
      <c r="S91" s="15"/>
      <c r="T91" s="16">
        <v>72</v>
      </c>
      <c r="U91" s="16">
        <v>432</v>
      </c>
    </row>
    <row r="92" spans="1:101" ht="15.75" customHeight="1" thickBot="1" x14ac:dyDescent="0.3">
      <c r="A92" s="33">
        <v>43</v>
      </c>
      <c r="B92" s="50" t="s">
        <v>104</v>
      </c>
      <c r="C92" s="47" t="s">
        <v>104</v>
      </c>
      <c r="D92" s="33" t="s">
        <v>105</v>
      </c>
      <c r="E92" s="13"/>
      <c r="F92" s="13"/>
      <c r="G92" s="13"/>
      <c r="H92" s="13"/>
      <c r="I92" s="13"/>
      <c r="J92" s="13">
        <v>1809</v>
      </c>
      <c r="L92" s="3"/>
      <c r="M92" s="3"/>
      <c r="N92" s="3"/>
      <c r="O92" s="3"/>
      <c r="P92" s="3"/>
      <c r="R92" s="3">
        <v>5</v>
      </c>
      <c r="T92" s="16">
        <v>90</v>
      </c>
      <c r="U92" s="16">
        <v>540</v>
      </c>
    </row>
    <row r="93" spans="1:101" ht="15.75" customHeight="1" thickTop="1" x14ac:dyDescent="0.25">
      <c r="A93" s="18"/>
      <c r="B93" s="18" t="s">
        <v>29</v>
      </c>
      <c r="C93" s="18"/>
      <c r="D93" s="18"/>
      <c r="E93" s="19">
        <f t="shared" ref="E93:J93" si="28">SUM(E90:E92)</f>
        <v>0</v>
      </c>
      <c r="F93" s="19">
        <f t="shared" si="28"/>
        <v>0</v>
      </c>
      <c r="G93" s="19">
        <f t="shared" si="28"/>
        <v>0</v>
      </c>
      <c r="H93" s="19">
        <f t="shared" si="28"/>
        <v>0</v>
      </c>
      <c r="I93" s="19">
        <f t="shared" si="28"/>
        <v>0</v>
      </c>
      <c r="J93" s="19">
        <f t="shared" si="28"/>
        <v>6065</v>
      </c>
      <c r="L93" s="20">
        <f>SUM(L90:L92)</f>
        <v>0</v>
      </c>
      <c r="M93" s="20">
        <f>SUM(M90:M92)</f>
        <v>0</v>
      </c>
      <c r="N93" s="20">
        <f>SUM(N90:N92)</f>
        <v>0</v>
      </c>
      <c r="O93" s="20">
        <f>SUM(O90:O92)</f>
        <v>0</v>
      </c>
      <c r="P93" s="20">
        <f>SUM(P90:P92)</f>
        <v>0</v>
      </c>
      <c r="R93" s="20">
        <v>16</v>
      </c>
      <c r="T93" s="19">
        <v>288</v>
      </c>
      <c r="U93" s="19">
        <v>1728</v>
      </c>
      <c r="V93" s="20"/>
    </row>
  </sheetData>
  <mergeCells count="3">
    <mergeCell ref="E10:H10"/>
    <mergeCell ref="W11:CN11"/>
    <mergeCell ref="E12:J12"/>
  </mergeCells>
  <conditionalFormatting sqref="CS14:CS77">
    <cfRule type="iconSet" priority="473">
      <iconSet iconSet="3Symbols2">
        <cfvo type="percent" val="0"/>
        <cfvo type="num" val="0.5"/>
        <cfvo type="num" val="0.8"/>
      </iconSet>
    </cfRule>
  </conditionalFormatting>
  <conditionalFormatting sqref="CS82:CS83">
    <cfRule type="iconSet" priority="475">
      <iconSet iconSet="3Symbols2">
        <cfvo type="percent" val="0"/>
        <cfvo type="num" val="0.5"/>
        <cfvo type="num" val="0.8"/>
      </iconSet>
    </cfRule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:DC98"/>
  <sheetViews>
    <sheetView tabSelected="1" topLeftCell="A11" zoomScale="70" zoomScaleNormal="70" workbookViewId="0">
      <pane xSplit="4" ySplit="3" topLeftCell="AF14" activePane="bottomRight" state="frozen"/>
      <selection activeCell="A11" sqref="A11"/>
      <selection pane="topRight" activeCell="E11" sqref="E11"/>
      <selection pane="bottomLeft" activeCell="A14" sqref="A14"/>
      <selection pane="bottomRight" activeCell="AQ13" sqref="AQ13"/>
    </sheetView>
  </sheetViews>
  <sheetFormatPr baseColWidth="10" defaultRowHeight="15" outlineLevelCol="1" x14ac:dyDescent="0.25"/>
  <cols>
    <col min="1" max="1" width="6" customWidth="1"/>
    <col min="2" max="3" width="32" bestFit="1" customWidth="1"/>
    <col min="4" max="4" width="22.5703125" customWidth="1"/>
    <col min="5" max="5" width="13.5703125" customWidth="1"/>
    <col min="6" max="6" width="13.42578125" customWidth="1"/>
    <col min="7" max="7" width="18.7109375" customWidth="1"/>
    <col min="8" max="8" width="16.42578125" customWidth="1"/>
    <col min="9" max="15" width="13.42578125" customWidth="1"/>
    <col min="16" max="16" width="15.42578125" customWidth="1"/>
    <col min="17" max="17" width="2.7109375" customWidth="1"/>
    <col min="18" max="18" width="7.5703125" hidden="1" customWidth="1"/>
    <col min="19" max="21" width="7.140625" hidden="1" customWidth="1"/>
    <col min="22" max="22" width="9" hidden="1" customWidth="1"/>
    <col min="23" max="23" width="1.85546875" hidden="1" customWidth="1"/>
    <col min="24" max="24" width="13.5703125" style="3" customWidth="1"/>
    <col min="25" max="25" width="1.5703125" style="3" customWidth="1"/>
    <col min="26" max="27" width="12.85546875" customWidth="1"/>
    <col min="28" max="28" width="3.5703125" style="6" customWidth="1"/>
    <col min="29" max="32" width="13.7109375" customWidth="1" outlineLevel="1"/>
    <col min="33" max="33" width="13.5703125" customWidth="1" outlineLevel="1"/>
    <col min="34" max="34" width="13.42578125" customWidth="1" outlineLevel="1"/>
    <col min="35" max="35" width="13.5703125" customWidth="1" outlineLevel="1"/>
    <col min="36" max="36" width="13.7109375" customWidth="1" outlineLevel="1"/>
    <col min="37" max="37" width="13.5703125" customWidth="1" outlineLevel="1"/>
    <col min="38" max="39" width="13.7109375" customWidth="1" outlineLevel="1"/>
    <col min="40" max="85" width="13.5703125" customWidth="1" outlineLevel="1"/>
    <col min="86" max="86" width="14" customWidth="1"/>
    <col min="87" max="87" width="4.28515625" customWidth="1"/>
    <col min="88" max="88" width="13.85546875" customWidth="1"/>
    <col min="89" max="89" width="15.7109375" customWidth="1"/>
    <col min="90" max="90" width="14" customWidth="1"/>
    <col min="91" max="91" width="15.7109375" customWidth="1"/>
    <col min="92" max="94" width="11.42578125" customWidth="1"/>
    <col min="95" max="95" width="11.85546875" customWidth="1"/>
    <col min="96" max="97" width="11.42578125" customWidth="1"/>
  </cols>
  <sheetData>
    <row r="10" spans="1:107" x14ac:dyDescent="0.25">
      <c r="A10" s="31"/>
      <c r="E10" s="68" t="s">
        <v>0</v>
      </c>
      <c r="F10" s="69"/>
      <c r="G10" s="69"/>
      <c r="H10" s="69"/>
      <c r="I10" s="1"/>
      <c r="J10" s="1"/>
      <c r="K10" s="1"/>
      <c r="L10" s="1"/>
      <c r="M10" s="1"/>
      <c r="N10" s="1"/>
      <c r="O10" s="1"/>
      <c r="P10" s="14"/>
      <c r="X10" s="2"/>
      <c r="Y10" s="2"/>
      <c r="Z10" s="2">
        <v>15</v>
      </c>
      <c r="AA10" s="2"/>
    </row>
    <row r="11" spans="1:107" ht="45" customHeight="1" x14ac:dyDescent="0.25">
      <c r="E11" s="4"/>
      <c r="F11" s="4"/>
      <c r="G11" s="4"/>
      <c r="H11" s="4"/>
      <c r="I11" s="5"/>
      <c r="J11" s="5"/>
      <c r="K11" s="5"/>
      <c r="L11" s="5"/>
      <c r="M11" s="5"/>
      <c r="N11" s="5"/>
      <c r="O11" s="5"/>
      <c r="P11" s="5"/>
      <c r="R11" s="24"/>
      <c r="X11" s="6"/>
      <c r="Y11" s="6"/>
      <c r="Z11" s="6">
        <v>15</v>
      </c>
      <c r="AA11" s="6"/>
      <c r="AC11" s="70" t="s">
        <v>109</v>
      </c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2"/>
      <c r="CJ11" s="29"/>
      <c r="CK11" s="29"/>
      <c r="CL11" s="29"/>
      <c r="CM11" s="29"/>
      <c r="CN11" s="29"/>
      <c r="CO11" s="29"/>
      <c r="CP11" s="29"/>
      <c r="CQ11" s="29"/>
    </row>
    <row r="12" spans="1:107" ht="45" customHeight="1" x14ac:dyDescent="0.25">
      <c r="A12" s="7"/>
      <c r="B12" s="7"/>
      <c r="C12" s="7"/>
      <c r="D12" s="7"/>
      <c r="E12" s="73" t="s">
        <v>110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R12" s="36" t="s">
        <v>3</v>
      </c>
      <c r="S12" s="36" t="s">
        <v>4</v>
      </c>
      <c r="T12" s="36" t="s">
        <v>5</v>
      </c>
      <c r="U12" s="36" t="s">
        <v>6</v>
      </c>
      <c r="V12" s="36" t="s">
        <v>7</v>
      </c>
      <c r="X12" s="8" t="s">
        <v>8</v>
      </c>
      <c r="Y12" s="9"/>
      <c r="Z12" s="8" t="s">
        <v>9</v>
      </c>
      <c r="AA12" s="8" t="s">
        <v>10</v>
      </c>
      <c r="AC12" s="26">
        <v>46307</v>
      </c>
      <c r="AD12" s="26">
        <v>46308</v>
      </c>
      <c r="AE12" s="26">
        <v>46309</v>
      </c>
      <c r="AF12" s="26">
        <v>46310</v>
      </c>
      <c r="AG12" s="26">
        <v>46311</v>
      </c>
      <c r="AH12" s="26">
        <v>46312</v>
      </c>
      <c r="AI12" s="26">
        <v>46313</v>
      </c>
      <c r="AJ12" s="26">
        <v>46314</v>
      </c>
      <c r="AK12" s="26">
        <v>46315</v>
      </c>
      <c r="AL12" s="26">
        <v>46316</v>
      </c>
      <c r="AM12" s="26">
        <v>46317</v>
      </c>
      <c r="AN12" s="26">
        <v>46318</v>
      </c>
      <c r="AO12" s="26">
        <v>46319</v>
      </c>
      <c r="AP12" s="26">
        <v>46320</v>
      </c>
      <c r="AQ12" s="26">
        <v>46321</v>
      </c>
      <c r="AR12" s="26">
        <v>46322</v>
      </c>
      <c r="AS12" s="26">
        <v>46323</v>
      </c>
      <c r="AT12" s="26">
        <v>46324</v>
      </c>
      <c r="AU12" s="26">
        <v>46325</v>
      </c>
      <c r="AV12" s="26">
        <v>46326</v>
      </c>
      <c r="AW12" s="26">
        <v>46327</v>
      </c>
      <c r="AX12" s="26">
        <v>46328</v>
      </c>
      <c r="AY12" s="26">
        <v>46329</v>
      </c>
      <c r="AZ12" s="26">
        <v>46330</v>
      </c>
      <c r="BA12" s="26">
        <v>46331</v>
      </c>
      <c r="BB12" s="26">
        <v>46332</v>
      </c>
      <c r="BC12" s="26">
        <v>46333</v>
      </c>
      <c r="BD12" s="26">
        <v>46334</v>
      </c>
      <c r="BE12" s="26">
        <v>46335</v>
      </c>
      <c r="BF12" s="26">
        <v>46336</v>
      </c>
      <c r="BG12" s="26">
        <v>46337</v>
      </c>
      <c r="BH12" s="26">
        <v>46338</v>
      </c>
      <c r="BI12" s="26">
        <v>46339</v>
      </c>
      <c r="BJ12" s="26">
        <v>46340</v>
      </c>
      <c r="BK12" s="26">
        <v>46341</v>
      </c>
      <c r="BL12" s="26">
        <v>46342</v>
      </c>
      <c r="BM12" s="26">
        <v>46343</v>
      </c>
      <c r="BN12" s="26">
        <v>46344</v>
      </c>
      <c r="BO12" s="26">
        <v>46345</v>
      </c>
      <c r="BP12" s="26">
        <v>46346</v>
      </c>
      <c r="BQ12" s="26">
        <v>46347</v>
      </c>
      <c r="BR12" s="26">
        <v>46348</v>
      </c>
      <c r="BS12" s="26">
        <v>46349</v>
      </c>
      <c r="BT12" s="26">
        <v>46350</v>
      </c>
      <c r="BU12" s="26">
        <v>46351</v>
      </c>
      <c r="BV12" s="26">
        <v>46352</v>
      </c>
      <c r="BW12" s="26">
        <v>46353</v>
      </c>
      <c r="BX12" s="26">
        <v>46354</v>
      </c>
      <c r="BY12" s="26">
        <v>46355</v>
      </c>
      <c r="BZ12" s="26">
        <v>46356</v>
      </c>
      <c r="CA12" s="26">
        <v>46357</v>
      </c>
      <c r="CB12" s="26">
        <v>46358</v>
      </c>
      <c r="CC12" s="26">
        <v>46359</v>
      </c>
      <c r="CD12" s="26">
        <v>46360</v>
      </c>
      <c r="CE12" s="26">
        <v>46361</v>
      </c>
      <c r="CF12" s="26">
        <v>46362</v>
      </c>
      <c r="CG12" s="26">
        <v>46363</v>
      </c>
      <c r="CH12" s="28" t="s">
        <v>11</v>
      </c>
      <c r="CJ12" s="29" t="s">
        <v>12</v>
      </c>
      <c r="CK12" s="29" t="s">
        <v>13</v>
      </c>
      <c r="CL12" s="29" t="s">
        <v>14</v>
      </c>
      <c r="CM12" s="29" t="s">
        <v>15</v>
      </c>
      <c r="CN12" s="29" t="s">
        <v>16</v>
      </c>
      <c r="CO12" s="29" t="s">
        <v>17</v>
      </c>
      <c r="CP12" s="29" t="s">
        <v>111</v>
      </c>
      <c r="CQ12" s="29" t="s">
        <v>19</v>
      </c>
      <c r="CS12" s="29" t="s">
        <v>112</v>
      </c>
      <c r="CT12" s="29" t="s">
        <v>112</v>
      </c>
      <c r="CU12" s="29" t="s">
        <v>112</v>
      </c>
      <c r="CV12" s="29" t="s">
        <v>112</v>
      </c>
      <c r="CW12" s="29" t="s">
        <v>112</v>
      </c>
      <c r="CX12" s="29" t="s">
        <v>113</v>
      </c>
      <c r="CY12" s="29" t="s">
        <v>113</v>
      </c>
      <c r="CZ12" s="29" t="s">
        <v>113</v>
      </c>
      <c r="DA12" s="29" t="s">
        <v>113</v>
      </c>
      <c r="DB12" s="29" t="s">
        <v>113</v>
      </c>
    </row>
    <row r="13" spans="1:107" s="12" customFormat="1" ht="51.75" customHeight="1" x14ac:dyDescent="0.25">
      <c r="A13" s="10" t="s">
        <v>20</v>
      </c>
      <c r="B13" s="10" t="s">
        <v>114</v>
      </c>
      <c r="C13" s="10" t="s">
        <v>22</v>
      </c>
      <c r="D13" s="57" t="s">
        <v>23</v>
      </c>
      <c r="E13" s="57" t="s">
        <v>115</v>
      </c>
      <c r="F13" s="57" t="s">
        <v>116</v>
      </c>
      <c r="G13" s="57" t="s">
        <v>117</v>
      </c>
      <c r="H13" s="57" t="s">
        <v>118</v>
      </c>
      <c r="I13" s="57" t="s">
        <v>119</v>
      </c>
      <c r="J13" s="57" t="s">
        <v>120</v>
      </c>
      <c r="K13" s="57" t="s">
        <v>121</v>
      </c>
      <c r="L13" s="57" t="s">
        <v>122</v>
      </c>
      <c r="M13" s="57" t="s">
        <v>123</v>
      </c>
      <c r="N13" s="57" t="s">
        <v>124</v>
      </c>
      <c r="O13" s="57" t="s">
        <v>125</v>
      </c>
      <c r="P13" s="10" t="s">
        <v>29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X13" s="11">
        <v>274</v>
      </c>
      <c r="Y13" s="2"/>
      <c r="Z13" s="11">
        <v>4110</v>
      </c>
      <c r="AA13" s="11">
        <v>24660</v>
      </c>
      <c r="AB13" s="6"/>
      <c r="AC13" s="38">
        <f t="shared" ref="AC13:BH13" si="0">+AC77</f>
        <v>0</v>
      </c>
      <c r="AD13" s="38">
        <f t="shared" si="0"/>
        <v>0</v>
      </c>
      <c r="AE13" s="38">
        <f t="shared" si="0"/>
        <v>0</v>
      </c>
      <c r="AF13" s="38">
        <f t="shared" si="0"/>
        <v>0</v>
      </c>
      <c r="AG13" s="38">
        <f t="shared" si="0"/>
        <v>0</v>
      </c>
      <c r="AH13" s="38">
        <f t="shared" si="0"/>
        <v>52</v>
      </c>
      <c r="AI13" s="38">
        <f t="shared" si="0"/>
        <v>0</v>
      </c>
      <c r="AJ13" s="38">
        <f t="shared" si="0"/>
        <v>24</v>
      </c>
      <c r="AK13" s="38">
        <f t="shared" si="0"/>
        <v>54</v>
      </c>
      <c r="AL13" s="38">
        <f t="shared" si="0"/>
        <v>66</v>
      </c>
      <c r="AM13" s="38">
        <f t="shared" si="0"/>
        <v>103</v>
      </c>
      <c r="AN13" s="38">
        <f t="shared" si="0"/>
        <v>187</v>
      </c>
      <c r="AO13" s="38">
        <f t="shared" si="0"/>
        <v>122</v>
      </c>
      <c r="AP13" s="38">
        <f t="shared" si="0"/>
        <v>76</v>
      </c>
      <c r="AQ13" s="38">
        <f t="shared" si="0"/>
        <v>0</v>
      </c>
      <c r="AR13" s="38">
        <f t="shared" si="0"/>
        <v>0</v>
      </c>
      <c r="AS13" s="38">
        <f t="shared" si="0"/>
        <v>0</v>
      </c>
      <c r="AT13" s="38">
        <f t="shared" si="0"/>
        <v>0</v>
      </c>
      <c r="AU13" s="38">
        <f t="shared" si="0"/>
        <v>0</v>
      </c>
      <c r="AV13" s="38">
        <f t="shared" si="0"/>
        <v>0</v>
      </c>
      <c r="AW13" s="38">
        <f t="shared" si="0"/>
        <v>0</v>
      </c>
      <c r="AX13" s="38">
        <f t="shared" si="0"/>
        <v>0</v>
      </c>
      <c r="AY13" s="38">
        <f t="shared" si="0"/>
        <v>0</v>
      </c>
      <c r="AZ13" s="38">
        <f t="shared" si="0"/>
        <v>0</v>
      </c>
      <c r="BA13" s="38">
        <f t="shared" si="0"/>
        <v>0</v>
      </c>
      <c r="BB13" s="38">
        <f t="shared" si="0"/>
        <v>0</v>
      </c>
      <c r="BC13" s="38">
        <f t="shared" si="0"/>
        <v>0</v>
      </c>
      <c r="BD13" s="38">
        <f t="shared" si="0"/>
        <v>0</v>
      </c>
      <c r="BE13" s="38">
        <f t="shared" si="0"/>
        <v>0</v>
      </c>
      <c r="BF13" s="38">
        <f t="shared" si="0"/>
        <v>0</v>
      </c>
      <c r="BG13" s="38">
        <f t="shared" si="0"/>
        <v>0</v>
      </c>
      <c r="BH13" s="38">
        <f t="shared" si="0"/>
        <v>0</v>
      </c>
      <c r="BI13" s="38">
        <f t="shared" ref="BI13:CH13" si="1">+BI77</f>
        <v>0</v>
      </c>
      <c r="BJ13" s="38">
        <f t="shared" si="1"/>
        <v>0</v>
      </c>
      <c r="BK13" s="38">
        <f t="shared" si="1"/>
        <v>0</v>
      </c>
      <c r="BL13" s="38">
        <f t="shared" si="1"/>
        <v>0</v>
      </c>
      <c r="BM13" s="38">
        <f t="shared" si="1"/>
        <v>0</v>
      </c>
      <c r="BN13" s="38">
        <f t="shared" si="1"/>
        <v>0</v>
      </c>
      <c r="BO13" s="38">
        <f t="shared" si="1"/>
        <v>0</v>
      </c>
      <c r="BP13" s="38">
        <f t="shared" si="1"/>
        <v>0</v>
      </c>
      <c r="BQ13" s="38">
        <f t="shared" si="1"/>
        <v>0</v>
      </c>
      <c r="BR13" s="38">
        <f t="shared" si="1"/>
        <v>0</v>
      </c>
      <c r="BS13" s="38">
        <f t="shared" si="1"/>
        <v>0</v>
      </c>
      <c r="BT13" s="38">
        <f t="shared" si="1"/>
        <v>0</v>
      </c>
      <c r="BU13" s="38">
        <f t="shared" si="1"/>
        <v>0</v>
      </c>
      <c r="BV13" s="38">
        <f t="shared" si="1"/>
        <v>0</v>
      </c>
      <c r="BW13" s="38">
        <f t="shared" si="1"/>
        <v>0</v>
      </c>
      <c r="BX13" s="38">
        <f t="shared" si="1"/>
        <v>0</v>
      </c>
      <c r="BY13" s="38">
        <f t="shared" si="1"/>
        <v>0</v>
      </c>
      <c r="BZ13" s="38">
        <f t="shared" si="1"/>
        <v>0</v>
      </c>
      <c r="CA13" s="38">
        <f t="shared" si="1"/>
        <v>0</v>
      </c>
      <c r="CB13" s="38">
        <f t="shared" si="1"/>
        <v>0</v>
      </c>
      <c r="CC13" s="38">
        <f t="shared" si="1"/>
        <v>0</v>
      </c>
      <c r="CD13" s="38">
        <f t="shared" si="1"/>
        <v>0</v>
      </c>
      <c r="CE13" s="38">
        <f t="shared" si="1"/>
        <v>0</v>
      </c>
      <c r="CF13" s="38">
        <f t="shared" si="1"/>
        <v>0</v>
      </c>
      <c r="CG13" s="38">
        <f t="shared" si="1"/>
        <v>0</v>
      </c>
      <c r="CH13" s="38">
        <f t="shared" si="1"/>
        <v>684</v>
      </c>
      <c r="CJ13" s="39"/>
      <c r="CK13" s="40"/>
      <c r="CL13" s="40"/>
      <c r="CM13" s="41"/>
      <c r="CN13" s="29"/>
      <c r="CO13" s="29"/>
      <c r="CP13" s="29"/>
      <c r="CQ13" s="29"/>
      <c r="CS13" s="67" t="s">
        <v>115</v>
      </c>
      <c r="CT13" s="67" t="s">
        <v>116</v>
      </c>
      <c r="CU13" s="67" t="s">
        <v>117</v>
      </c>
      <c r="CV13" s="67" t="s">
        <v>118</v>
      </c>
      <c r="CW13" s="67" t="s">
        <v>119</v>
      </c>
      <c r="CX13" s="67" t="s">
        <v>120</v>
      </c>
      <c r="CY13" s="67" t="s">
        <v>121</v>
      </c>
      <c r="CZ13" s="67" t="s">
        <v>122</v>
      </c>
      <c r="DA13" s="67" t="s">
        <v>123</v>
      </c>
      <c r="DB13" s="67" t="s">
        <v>124</v>
      </c>
      <c r="DC13" s="66" t="s">
        <v>30</v>
      </c>
    </row>
    <row r="14" spans="1:107" ht="15" customHeight="1" x14ac:dyDescent="0.25">
      <c r="A14" s="33" t="s">
        <v>31</v>
      </c>
      <c r="B14" s="46" t="s">
        <v>32</v>
      </c>
      <c r="C14" s="56" t="s">
        <v>33</v>
      </c>
      <c r="D14" s="33" t="s">
        <v>4</v>
      </c>
      <c r="E14" s="13">
        <v>71</v>
      </c>
      <c r="F14" s="13">
        <v>32</v>
      </c>
      <c r="G14" s="13">
        <v>22</v>
      </c>
      <c r="H14" s="13">
        <v>56</v>
      </c>
      <c r="I14" s="13"/>
      <c r="J14" s="13">
        <v>532</v>
      </c>
      <c r="K14" s="13">
        <v>748</v>
      </c>
      <c r="L14" s="13">
        <v>105</v>
      </c>
      <c r="M14" s="13">
        <v>131</v>
      </c>
      <c r="N14" s="13">
        <v>121</v>
      </c>
      <c r="O14" s="13"/>
      <c r="P14" s="13">
        <v>1818</v>
      </c>
      <c r="R14" s="3"/>
      <c r="S14" s="3"/>
      <c r="T14" s="3"/>
      <c r="U14" s="3"/>
      <c r="V14" s="3"/>
      <c r="X14" s="3">
        <v>6</v>
      </c>
      <c r="Y14" s="15"/>
      <c r="Z14" s="16">
        <v>90</v>
      </c>
      <c r="AA14" s="16">
        <v>540</v>
      </c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37">
        <f t="shared" ref="CH14:CH45" si="2">+SUM(AC14:CG14)</f>
        <v>0</v>
      </c>
      <c r="CJ14" s="27">
        <f t="shared" ref="CJ14:CJ45" si="3">CH14</f>
        <v>0</v>
      </c>
      <c r="CK14" s="22">
        <v>0</v>
      </c>
      <c r="CL14" s="22">
        <f t="shared" ref="CL14:CL45" si="4">CJ14+CK14</f>
        <v>0</v>
      </c>
      <c r="CM14" s="42"/>
      <c r="CN14" s="44"/>
      <c r="CO14" s="14">
        <f t="shared" ref="CO14:CO42" si="5">DC14</f>
        <v>0</v>
      </c>
      <c r="CP14" s="14">
        <f t="shared" ref="CP14:CP45" si="6">CO14</f>
        <v>0</v>
      </c>
      <c r="CQ14" s="14">
        <f t="shared" ref="CQ14:CQ45" si="7">CP14-CJ14</f>
        <v>0</v>
      </c>
      <c r="CR14" s="43"/>
      <c r="CS14" s="17"/>
      <c r="DC14" s="14">
        <f t="shared" ref="DC14:DC45" si="8">SUM(CS14:DB14)</f>
        <v>0</v>
      </c>
    </row>
    <row r="15" spans="1:107" x14ac:dyDescent="0.25">
      <c r="A15" s="33" t="s">
        <v>31</v>
      </c>
      <c r="B15" s="48"/>
      <c r="C15" s="56" t="s">
        <v>34</v>
      </c>
      <c r="D15" s="33" t="s">
        <v>4</v>
      </c>
      <c r="E15" s="13">
        <v>84</v>
      </c>
      <c r="F15" s="13">
        <v>22</v>
      </c>
      <c r="G15" s="13">
        <v>1</v>
      </c>
      <c r="H15" s="13">
        <v>8</v>
      </c>
      <c r="I15" s="13">
        <v>14</v>
      </c>
      <c r="J15" s="13">
        <v>350</v>
      </c>
      <c r="K15" s="13">
        <v>511</v>
      </c>
      <c r="L15" s="13">
        <v>39</v>
      </c>
      <c r="M15" s="13">
        <v>9</v>
      </c>
      <c r="N15" s="13">
        <v>190</v>
      </c>
      <c r="O15" s="13"/>
      <c r="P15" s="13">
        <v>1228</v>
      </c>
      <c r="R15" s="3"/>
      <c r="S15" s="3"/>
      <c r="T15" s="3"/>
      <c r="U15" s="3"/>
      <c r="V15" s="3"/>
      <c r="X15" s="3">
        <v>4</v>
      </c>
      <c r="Y15" s="15"/>
      <c r="Z15" s="16">
        <v>60</v>
      </c>
      <c r="AA15" s="16">
        <v>360</v>
      </c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37">
        <f t="shared" si="2"/>
        <v>0</v>
      </c>
      <c r="CJ15" s="27">
        <f t="shared" si="3"/>
        <v>0</v>
      </c>
      <c r="CK15" s="22">
        <v>0</v>
      </c>
      <c r="CL15" s="22">
        <f t="shared" si="4"/>
        <v>0</v>
      </c>
      <c r="CM15" s="42"/>
      <c r="CN15" s="44"/>
      <c r="CO15" s="14">
        <f t="shared" si="5"/>
        <v>0</v>
      </c>
      <c r="CP15" s="14">
        <f t="shared" si="6"/>
        <v>0</v>
      </c>
      <c r="CQ15" s="14">
        <f t="shared" si="7"/>
        <v>0</v>
      </c>
      <c r="CR15" s="43"/>
      <c r="CS15" s="17"/>
      <c r="DC15" s="14">
        <f t="shared" si="8"/>
        <v>0</v>
      </c>
    </row>
    <row r="16" spans="1:107" x14ac:dyDescent="0.25">
      <c r="A16" s="33" t="s">
        <v>31</v>
      </c>
      <c r="B16" s="48"/>
      <c r="C16" s="56" t="s">
        <v>35</v>
      </c>
      <c r="D16" s="33" t="s">
        <v>4</v>
      </c>
      <c r="E16" s="13">
        <v>92</v>
      </c>
      <c r="F16" s="13">
        <v>45</v>
      </c>
      <c r="G16" s="13">
        <v>1</v>
      </c>
      <c r="H16" s="13">
        <v>1</v>
      </c>
      <c r="I16" s="13">
        <v>15</v>
      </c>
      <c r="J16" s="13">
        <v>450</v>
      </c>
      <c r="K16" s="13">
        <v>1105</v>
      </c>
      <c r="L16" s="13">
        <v>10</v>
      </c>
      <c r="M16" s="13">
        <v>61</v>
      </c>
      <c r="N16" s="13">
        <v>147</v>
      </c>
      <c r="O16" s="13"/>
      <c r="P16" s="13">
        <v>1927</v>
      </c>
      <c r="R16" s="3"/>
      <c r="S16" s="3"/>
      <c r="T16" s="3"/>
      <c r="U16" s="3"/>
      <c r="V16" s="3"/>
      <c r="X16" s="3">
        <v>6</v>
      </c>
      <c r="Y16" s="15"/>
      <c r="Z16" s="16">
        <v>90</v>
      </c>
      <c r="AA16" s="16">
        <v>540</v>
      </c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37">
        <f t="shared" si="2"/>
        <v>0</v>
      </c>
      <c r="CJ16" s="27">
        <f t="shared" si="3"/>
        <v>0</v>
      </c>
      <c r="CK16" s="22">
        <v>0</v>
      </c>
      <c r="CL16" s="22">
        <f t="shared" si="4"/>
        <v>0</v>
      </c>
      <c r="CM16" s="42"/>
      <c r="CN16" s="44"/>
      <c r="CO16" s="14">
        <f t="shared" si="5"/>
        <v>0</v>
      </c>
      <c r="CP16" s="14">
        <f t="shared" si="6"/>
        <v>0</v>
      </c>
      <c r="CQ16" s="14">
        <f t="shared" si="7"/>
        <v>0</v>
      </c>
      <c r="CR16" s="43"/>
      <c r="CS16" s="17"/>
      <c r="DC16" s="14">
        <f t="shared" si="8"/>
        <v>0</v>
      </c>
    </row>
    <row r="17" spans="1:107" ht="15" customHeight="1" x14ac:dyDescent="0.25">
      <c r="A17" s="33" t="s">
        <v>31</v>
      </c>
      <c r="B17" s="48"/>
      <c r="C17" s="56" t="s">
        <v>36</v>
      </c>
      <c r="D17" s="33" t="s">
        <v>4</v>
      </c>
      <c r="E17" s="13">
        <v>188</v>
      </c>
      <c r="F17" s="13">
        <v>54</v>
      </c>
      <c r="G17" s="13">
        <v>8</v>
      </c>
      <c r="H17" s="13">
        <v>29</v>
      </c>
      <c r="I17" s="13">
        <v>8</v>
      </c>
      <c r="J17" s="13">
        <v>1147</v>
      </c>
      <c r="K17" s="13">
        <v>1048</v>
      </c>
      <c r="L17" s="13">
        <v>230</v>
      </c>
      <c r="M17" s="13">
        <v>94</v>
      </c>
      <c r="N17" s="13">
        <v>135</v>
      </c>
      <c r="O17" s="13"/>
      <c r="P17" s="13">
        <v>2941</v>
      </c>
      <c r="R17" s="3"/>
      <c r="S17" s="3"/>
      <c r="T17" s="3"/>
      <c r="U17" s="3"/>
      <c r="V17" s="3"/>
      <c r="X17" s="3">
        <v>9</v>
      </c>
      <c r="Y17" s="15"/>
      <c r="Z17" s="16">
        <v>135</v>
      </c>
      <c r="AA17" s="16">
        <v>810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37">
        <f t="shared" si="2"/>
        <v>0</v>
      </c>
      <c r="CJ17" s="27">
        <f t="shared" si="3"/>
        <v>0</v>
      </c>
      <c r="CK17" s="22">
        <v>0</v>
      </c>
      <c r="CL17" s="22">
        <f t="shared" si="4"/>
        <v>0</v>
      </c>
      <c r="CM17" s="42"/>
      <c r="CN17" s="44"/>
      <c r="CO17" s="14">
        <f t="shared" si="5"/>
        <v>0</v>
      </c>
      <c r="CP17" s="14">
        <f t="shared" si="6"/>
        <v>0</v>
      </c>
      <c r="CQ17" s="14">
        <f t="shared" si="7"/>
        <v>0</v>
      </c>
      <c r="CR17" s="43"/>
      <c r="CS17" s="17"/>
      <c r="DC17" s="14">
        <f t="shared" si="8"/>
        <v>0</v>
      </c>
    </row>
    <row r="18" spans="1:107" x14ac:dyDescent="0.25">
      <c r="A18" s="33" t="s">
        <v>31</v>
      </c>
      <c r="B18" s="48"/>
      <c r="C18" s="56" t="s">
        <v>37</v>
      </c>
      <c r="D18" s="33" t="s">
        <v>4</v>
      </c>
      <c r="E18" s="13">
        <v>81</v>
      </c>
      <c r="F18" s="13">
        <v>38</v>
      </c>
      <c r="G18" s="13">
        <v>40</v>
      </c>
      <c r="H18" s="13">
        <v>54</v>
      </c>
      <c r="I18" s="13">
        <v>7</v>
      </c>
      <c r="J18" s="13">
        <v>514</v>
      </c>
      <c r="K18" s="13">
        <v>541</v>
      </c>
      <c r="L18" s="13">
        <v>95</v>
      </c>
      <c r="M18" s="13">
        <v>92</v>
      </c>
      <c r="N18" s="13">
        <v>230</v>
      </c>
      <c r="O18" s="13"/>
      <c r="P18" s="13">
        <v>1692</v>
      </c>
      <c r="R18" s="3"/>
      <c r="S18" s="3"/>
      <c r="T18" s="3"/>
      <c r="U18" s="3"/>
      <c r="V18" s="3"/>
      <c r="X18" s="3">
        <v>5</v>
      </c>
      <c r="Y18" s="15"/>
      <c r="Z18" s="16">
        <v>75</v>
      </c>
      <c r="AA18" s="16">
        <v>450</v>
      </c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37">
        <f t="shared" si="2"/>
        <v>0</v>
      </c>
      <c r="CJ18" s="27">
        <f t="shared" si="3"/>
        <v>0</v>
      </c>
      <c r="CK18" s="22">
        <v>0</v>
      </c>
      <c r="CL18" s="22">
        <f t="shared" si="4"/>
        <v>0</v>
      </c>
      <c r="CM18" s="42"/>
      <c r="CN18" s="44"/>
      <c r="CO18" s="14">
        <f t="shared" si="5"/>
        <v>0</v>
      </c>
      <c r="CP18" s="14">
        <f t="shared" si="6"/>
        <v>0</v>
      </c>
      <c r="CQ18" s="14">
        <f t="shared" si="7"/>
        <v>0</v>
      </c>
      <c r="CR18" s="43"/>
      <c r="CS18" s="17"/>
      <c r="DC18" s="14">
        <f t="shared" si="8"/>
        <v>0</v>
      </c>
    </row>
    <row r="19" spans="1:107" ht="15" customHeight="1" x14ac:dyDescent="0.25">
      <c r="A19" s="33" t="s">
        <v>31</v>
      </c>
      <c r="B19" s="48"/>
      <c r="C19" s="56" t="s">
        <v>38</v>
      </c>
      <c r="D19" s="33" t="s">
        <v>4</v>
      </c>
      <c r="E19" s="13">
        <v>23</v>
      </c>
      <c r="F19" s="13">
        <v>15</v>
      </c>
      <c r="G19" s="13">
        <v>151</v>
      </c>
      <c r="H19" s="13">
        <v>61</v>
      </c>
      <c r="I19" s="13">
        <v>2</v>
      </c>
      <c r="J19" s="13">
        <v>395</v>
      </c>
      <c r="K19" s="13">
        <v>749</v>
      </c>
      <c r="L19" s="13">
        <v>66</v>
      </c>
      <c r="M19" s="13">
        <v>81</v>
      </c>
      <c r="N19" s="13">
        <v>438</v>
      </c>
      <c r="O19" s="13"/>
      <c r="P19" s="13">
        <v>1981</v>
      </c>
      <c r="R19" s="3"/>
      <c r="S19" s="3"/>
      <c r="T19" s="3"/>
      <c r="U19" s="3"/>
      <c r="V19" s="3"/>
      <c r="X19" s="3">
        <v>6</v>
      </c>
      <c r="Y19" s="15"/>
      <c r="Z19" s="16">
        <v>90</v>
      </c>
      <c r="AA19" s="16">
        <v>540</v>
      </c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37">
        <f t="shared" si="2"/>
        <v>0</v>
      </c>
      <c r="CJ19" s="27">
        <f t="shared" si="3"/>
        <v>0</v>
      </c>
      <c r="CK19" s="22">
        <v>0</v>
      </c>
      <c r="CL19" s="22">
        <f t="shared" si="4"/>
        <v>0</v>
      </c>
      <c r="CM19" s="42"/>
      <c r="CN19" s="44"/>
      <c r="CO19" s="14">
        <f t="shared" si="5"/>
        <v>0</v>
      </c>
      <c r="CP19" s="14">
        <f t="shared" si="6"/>
        <v>0</v>
      </c>
      <c r="CQ19" s="14">
        <f t="shared" si="7"/>
        <v>0</v>
      </c>
      <c r="CR19" s="43"/>
      <c r="CS19" s="17"/>
      <c r="DC19" s="14">
        <f t="shared" si="8"/>
        <v>0</v>
      </c>
    </row>
    <row r="20" spans="1:107" x14ac:dyDescent="0.25">
      <c r="A20" s="33" t="s">
        <v>31</v>
      </c>
      <c r="B20" s="48"/>
      <c r="C20" s="56" t="s">
        <v>39</v>
      </c>
      <c r="D20" s="33" t="s">
        <v>4</v>
      </c>
      <c r="E20" s="13">
        <v>16</v>
      </c>
      <c r="F20" s="13">
        <v>46</v>
      </c>
      <c r="G20" s="13">
        <v>87</v>
      </c>
      <c r="H20" s="13">
        <v>77</v>
      </c>
      <c r="I20" s="13">
        <v>2</v>
      </c>
      <c r="J20" s="13">
        <v>399</v>
      </c>
      <c r="K20" s="13">
        <v>655</v>
      </c>
      <c r="L20" s="13">
        <v>82</v>
      </c>
      <c r="M20" s="13">
        <v>54</v>
      </c>
      <c r="N20" s="13">
        <v>116</v>
      </c>
      <c r="O20" s="13"/>
      <c r="P20" s="13">
        <v>1534</v>
      </c>
      <c r="R20" s="3"/>
      <c r="S20" s="3"/>
      <c r="T20" s="3"/>
      <c r="U20" s="3"/>
      <c r="V20" s="3"/>
      <c r="X20" s="3">
        <v>5</v>
      </c>
      <c r="Y20" s="15"/>
      <c r="Z20" s="16">
        <v>75</v>
      </c>
      <c r="AA20" s="16">
        <v>450</v>
      </c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37">
        <f t="shared" si="2"/>
        <v>0</v>
      </c>
      <c r="CJ20" s="27">
        <f t="shared" si="3"/>
        <v>0</v>
      </c>
      <c r="CK20" s="22">
        <v>0</v>
      </c>
      <c r="CL20" s="22">
        <f t="shared" si="4"/>
        <v>0</v>
      </c>
      <c r="CM20" s="42"/>
      <c r="CN20" s="44"/>
      <c r="CO20" s="14">
        <f t="shared" si="5"/>
        <v>0</v>
      </c>
      <c r="CP20" s="14">
        <f t="shared" si="6"/>
        <v>0</v>
      </c>
      <c r="CQ20" s="14">
        <f t="shared" si="7"/>
        <v>0</v>
      </c>
      <c r="CR20" s="43"/>
      <c r="CS20" s="17"/>
      <c r="DC20" s="14">
        <f t="shared" si="8"/>
        <v>0</v>
      </c>
    </row>
    <row r="21" spans="1:107" x14ac:dyDescent="0.25">
      <c r="A21" s="33" t="s">
        <v>31</v>
      </c>
      <c r="B21" s="48"/>
      <c r="C21" s="56" t="s">
        <v>40</v>
      </c>
      <c r="D21" s="33" t="s">
        <v>4</v>
      </c>
      <c r="E21" s="13">
        <v>91</v>
      </c>
      <c r="F21" s="13">
        <v>49</v>
      </c>
      <c r="G21" s="13">
        <v>40</v>
      </c>
      <c r="H21" s="13">
        <v>49</v>
      </c>
      <c r="I21" s="13"/>
      <c r="J21" s="13">
        <v>454</v>
      </c>
      <c r="K21" s="13">
        <v>1235</v>
      </c>
      <c r="L21" s="13">
        <v>34</v>
      </c>
      <c r="M21" s="13">
        <v>32</v>
      </c>
      <c r="N21" s="13">
        <v>106</v>
      </c>
      <c r="O21" s="13"/>
      <c r="P21" s="13">
        <v>2090</v>
      </c>
      <c r="R21" s="3"/>
      <c r="S21" s="3"/>
      <c r="T21" s="3"/>
      <c r="U21" s="3"/>
      <c r="V21" s="3"/>
      <c r="X21" s="3">
        <v>6</v>
      </c>
      <c r="Y21" s="15"/>
      <c r="Z21" s="16">
        <v>90</v>
      </c>
      <c r="AA21" s="16">
        <v>540</v>
      </c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37">
        <f t="shared" si="2"/>
        <v>0</v>
      </c>
      <c r="CJ21" s="27">
        <f t="shared" si="3"/>
        <v>0</v>
      </c>
      <c r="CK21" s="22">
        <v>0</v>
      </c>
      <c r="CL21" s="22">
        <f t="shared" si="4"/>
        <v>0</v>
      </c>
      <c r="CM21" s="42"/>
      <c r="CN21" s="44"/>
      <c r="CO21" s="14">
        <f t="shared" si="5"/>
        <v>0</v>
      </c>
      <c r="CP21" s="14">
        <f t="shared" si="6"/>
        <v>0</v>
      </c>
      <c r="CQ21" s="14">
        <f t="shared" si="7"/>
        <v>0</v>
      </c>
      <c r="CR21" s="43"/>
      <c r="CS21" s="17"/>
      <c r="DC21" s="14">
        <f t="shared" si="8"/>
        <v>0</v>
      </c>
    </row>
    <row r="22" spans="1:107" x14ac:dyDescent="0.25">
      <c r="A22" s="33" t="s">
        <v>31</v>
      </c>
      <c r="B22" s="48"/>
      <c r="C22" s="56" t="s">
        <v>41</v>
      </c>
      <c r="D22" s="33" t="s">
        <v>4</v>
      </c>
      <c r="E22" s="13">
        <v>56</v>
      </c>
      <c r="F22" s="13">
        <v>5</v>
      </c>
      <c r="G22" s="13">
        <v>11</v>
      </c>
      <c r="H22" s="13">
        <v>10</v>
      </c>
      <c r="I22" s="13">
        <v>7</v>
      </c>
      <c r="J22" s="13">
        <v>286</v>
      </c>
      <c r="K22" s="13">
        <v>389</v>
      </c>
      <c r="L22" s="13">
        <v>4</v>
      </c>
      <c r="M22" s="13">
        <v>16</v>
      </c>
      <c r="N22" s="13">
        <v>19</v>
      </c>
      <c r="O22" s="13"/>
      <c r="P22" s="13">
        <v>803</v>
      </c>
      <c r="R22" s="3"/>
      <c r="S22" s="3"/>
      <c r="T22" s="3"/>
      <c r="U22" s="3"/>
      <c r="V22" s="3"/>
      <c r="X22" s="3">
        <v>3</v>
      </c>
      <c r="Y22" s="15"/>
      <c r="Z22" s="16">
        <v>45</v>
      </c>
      <c r="AA22" s="16">
        <v>270</v>
      </c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37">
        <f t="shared" si="2"/>
        <v>0</v>
      </c>
      <c r="CJ22" s="27">
        <f t="shared" si="3"/>
        <v>0</v>
      </c>
      <c r="CK22" s="22">
        <v>0</v>
      </c>
      <c r="CL22" s="22">
        <f t="shared" si="4"/>
        <v>0</v>
      </c>
      <c r="CM22" s="42"/>
      <c r="CN22" s="44"/>
      <c r="CO22" s="14">
        <f t="shared" si="5"/>
        <v>0</v>
      </c>
      <c r="CP22" s="14">
        <f t="shared" si="6"/>
        <v>0</v>
      </c>
      <c r="CQ22" s="14">
        <f t="shared" si="7"/>
        <v>0</v>
      </c>
      <c r="CR22" s="43"/>
      <c r="CS22" s="17"/>
      <c r="DC22" s="14">
        <f t="shared" si="8"/>
        <v>0</v>
      </c>
    </row>
    <row r="23" spans="1:107" x14ac:dyDescent="0.25">
      <c r="A23" s="33" t="s">
        <v>31</v>
      </c>
      <c r="B23" s="48"/>
      <c r="C23" s="56" t="s">
        <v>42</v>
      </c>
      <c r="D23" s="33" t="s">
        <v>4</v>
      </c>
      <c r="E23" s="13">
        <v>60</v>
      </c>
      <c r="F23" s="13">
        <v>52</v>
      </c>
      <c r="G23" s="13"/>
      <c r="H23" s="13">
        <v>5</v>
      </c>
      <c r="I23" s="13">
        <v>22</v>
      </c>
      <c r="J23" s="13">
        <v>139</v>
      </c>
      <c r="K23" s="13">
        <v>364</v>
      </c>
      <c r="L23" s="13">
        <v>3</v>
      </c>
      <c r="M23" s="13">
        <v>13</v>
      </c>
      <c r="N23" s="13">
        <v>38</v>
      </c>
      <c r="O23" s="13"/>
      <c r="P23" s="13">
        <v>696</v>
      </c>
      <c r="R23" s="3"/>
      <c r="S23" s="3"/>
      <c r="T23" s="3"/>
      <c r="U23" s="3"/>
      <c r="V23" s="3"/>
      <c r="X23" s="3">
        <v>2</v>
      </c>
      <c r="Y23" s="15"/>
      <c r="Z23" s="16">
        <v>30</v>
      </c>
      <c r="AA23" s="16">
        <v>180</v>
      </c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37">
        <f t="shared" si="2"/>
        <v>0</v>
      </c>
      <c r="CJ23" s="27">
        <f t="shared" si="3"/>
        <v>0</v>
      </c>
      <c r="CK23" s="22">
        <v>0</v>
      </c>
      <c r="CL23" s="22">
        <f t="shared" si="4"/>
        <v>0</v>
      </c>
      <c r="CM23" s="42"/>
      <c r="CN23" s="44"/>
      <c r="CO23" s="14">
        <f t="shared" si="5"/>
        <v>0</v>
      </c>
      <c r="CP23" s="14">
        <f t="shared" si="6"/>
        <v>0</v>
      </c>
      <c r="CQ23" s="14">
        <f t="shared" si="7"/>
        <v>0</v>
      </c>
      <c r="CR23" s="43"/>
      <c r="CS23" s="17"/>
      <c r="DC23" s="14">
        <f t="shared" si="8"/>
        <v>0</v>
      </c>
    </row>
    <row r="24" spans="1:107" x14ac:dyDescent="0.25">
      <c r="A24" s="33" t="s">
        <v>31</v>
      </c>
      <c r="B24" s="48"/>
      <c r="C24" s="56" t="s">
        <v>43</v>
      </c>
      <c r="D24" s="33" t="s">
        <v>4</v>
      </c>
      <c r="E24" s="13">
        <v>80</v>
      </c>
      <c r="F24" s="13">
        <v>43</v>
      </c>
      <c r="G24" s="13">
        <v>19</v>
      </c>
      <c r="H24" s="13">
        <v>4</v>
      </c>
      <c r="I24" s="13"/>
      <c r="J24" s="13">
        <v>607</v>
      </c>
      <c r="K24" s="13">
        <v>815</v>
      </c>
      <c r="L24" s="13">
        <v>105</v>
      </c>
      <c r="M24" s="13">
        <v>86</v>
      </c>
      <c r="N24" s="13">
        <v>77</v>
      </c>
      <c r="O24" s="13"/>
      <c r="P24" s="13">
        <v>1836</v>
      </c>
      <c r="R24" s="3"/>
      <c r="S24" s="3"/>
      <c r="T24" s="3"/>
      <c r="U24" s="3"/>
      <c r="V24" s="3"/>
      <c r="X24" s="3">
        <v>6</v>
      </c>
      <c r="Y24" s="15"/>
      <c r="Z24" s="16">
        <v>90</v>
      </c>
      <c r="AA24" s="16">
        <v>540</v>
      </c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37">
        <f t="shared" si="2"/>
        <v>0</v>
      </c>
      <c r="CJ24" s="27">
        <f t="shared" si="3"/>
        <v>0</v>
      </c>
      <c r="CK24" s="22">
        <v>0</v>
      </c>
      <c r="CL24" s="22">
        <f t="shared" si="4"/>
        <v>0</v>
      </c>
      <c r="CM24" s="42"/>
      <c r="CN24" s="44"/>
      <c r="CO24" s="14">
        <f t="shared" si="5"/>
        <v>0</v>
      </c>
      <c r="CP24" s="14">
        <f t="shared" si="6"/>
        <v>0</v>
      </c>
      <c r="CQ24" s="14">
        <f t="shared" si="7"/>
        <v>0</v>
      </c>
      <c r="CR24" s="43"/>
      <c r="CS24" s="17"/>
      <c r="DC24" s="14">
        <f t="shared" si="8"/>
        <v>0</v>
      </c>
    </row>
    <row r="25" spans="1:107" ht="15" customHeight="1" x14ac:dyDescent="0.25">
      <c r="A25" s="33" t="s">
        <v>31</v>
      </c>
      <c r="B25" s="48"/>
      <c r="C25" s="56" t="s">
        <v>44</v>
      </c>
      <c r="D25" s="33" t="s">
        <v>4</v>
      </c>
      <c r="E25" s="13">
        <v>35</v>
      </c>
      <c r="F25" s="13">
        <v>29</v>
      </c>
      <c r="G25" s="13">
        <v>68</v>
      </c>
      <c r="H25" s="13">
        <v>82</v>
      </c>
      <c r="I25" s="13">
        <v>3</v>
      </c>
      <c r="J25" s="13">
        <v>392</v>
      </c>
      <c r="K25" s="13">
        <v>624</v>
      </c>
      <c r="L25" s="13">
        <v>95</v>
      </c>
      <c r="M25" s="13">
        <v>85</v>
      </c>
      <c r="N25" s="13">
        <v>142</v>
      </c>
      <c r="O25" s="13"/>
      <c r="P25" s="13">
        <v>1555</v>
      </c>
      <c r="R25" s="3"/>
      <c r="S25" s="3"/>
      <c r="T25" s="3"/>
      <c r="U25" s="3"/>
      <c r="V25" s="3"/>
      <c r="X25" s="3">
        <v>5</v>
      </c>
      <c r="Y25" s="15"/>
      <c r="Z25" s="16">
        <v>75</v>
      </c>
      <c r="AA25" s="16">
        <v>450</v>
      </c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37">
        <f t="shared" si="2"/>
        <v>0</v>
      </c>
      <c r="CJ25" s="27">
        <f t="shared" si="3"/>
        <v>0</v>
      </c>
      <c r="CK25" s="22">
        <v>0</v>
      </c>
      <c r="CL25" s="22">
        <f t="shared" si="4"/>
        <v>0</v>
      </c>
      <c r="CM25" s="42"/>
      <c r="CN25" s="44"/>
      <c r="CO25" s="14">
        <f t="shared" si="5"/>
        <v>0</v>
      </c>
      <c r="CP25" s="14">
        <f t="shared" si="6"/>
        <v>0</v>
      </c>
      <c r="CQ25" s="14">
        <f t="shared" si="7"/>
        <v>0</v>
      </c>
      <c r="CR25" s="43"/>
      <c r="CS25" s="17"/>
      <c r="DC25" s="14">
        <f t="shared" si="8"/>
        <v>0</v>
      </c>
    </row>
    <row r="26" spans="1:107" x14ac:dyDescent="0.25">
      <c r="A26" s="33" t="s">
        <v>31</v>
      </c>
      <c r="B26" s="49"/>
      <c r="C26" s="56" t="s">
        <v>45</v>
      </c>
      <c r="D26" s="33" t="s">
        <v>4</v>
      </c>
      <c r="E26" s="13">
        <v>31</v>
      </c>
      <c r="F26" s="13">
        <v>19</v>
      </c>
      <c r="G26" s="13">
        <v>83</v>
      </c>
      <c r="H26" s="13">
        <v>64</v>
      </c>
      <c r="I26" s="13">
        <v>2</v>
      </c>
      <c r="J26" s="13">
        <v>476</v>
      </c>
      <c r="K26" s="13">
        <v>496</v>
      </c>
      <c r="L26" s="13">
        <v>121</v>
      </c>
      <c r="M26" s="13">
        <v>52</v>
      </c>
      <c r="N26" s="13">
        <v>158</v>
      </c>
      <c r="O26" s="13"/>
      <c r="P26" s="13">
        <v>1502</v>
      </c>
      <c r="R26" s="3"/>
      <c r="S26" s="3"/>
      <c r="T26" s="3"/>
      <c r="U26" s="3"/>
      <c r="V26" s="3"/>
      <c r="X26" s="3">
        <v>5</v>
      </c>
      <c r="Z26" s="16">
        <v>75</v>
      </c>
      <c r="AA26" s="16">
        <v>450</v>
      </c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37">
        <f t="shared" si="2"/>
        <v>0</v>
      </c>
      <c r="CJ26" s="27">
        <f t="shared" si="3"/>
        <v>0</v>
      </c>
      <c r="CK26" s="22">
        <v>0</v>
      </c>
      <c r="CL26" s="22">
        <f t="shared" si="4"/>
        <v>0</v>
      </c>
      <c r="CM26" s="42"/>
      <c r="CN26" s="44"/>
      <c r="CO26" s="14">
        <f t="shared" si="5"/>
        <v>0</v>
      </c>
      <c r="CP26" s="14">
        <f t="shared" si="6"/>
        <v>0</v>
      </c>
      <c r="CQ26" s="14">
        <f t="shared" si="7"/>
        <v>0</v>
      </c>
      <c r="CR26" s="43"/>
      <c r="CS26" s="17"/>
      <c r="DC26" s="14">
        <f t="shared" si="8"/>
        <v>0</v>
      </c>
    </row>
    <row r="27" spans="1:107" x14ac:dyDescent="0.25">
      <c r="A27" s="33" t="s">
        <v>31</v>
      </c>
      <c r="B27" s="50" t="s">
        <v>46</v>
      </c>
      <c r="C27" s="56" t="s">
        <v>46</v>
      </c>
      <c r="D27" s="33" t="s">
        <v>3</v>
      </c>
      <c r="E27" s="13">
        <v>74</v>
      </c>
      <c r="F27" s="13">
        <v>91</v>
      </c>
      <c r="G27" s="13"/>
      <c r="H27" s="13">
        <v>11</v>
      </c>
      <c r="I27" s="13">
        <v>12</v>
      </c>
      <c r="J27" s="13">
        <v>581</v>
      </c>
      <c r="K27" s="13">
        <v>816</v>
      </c>
      <c r="L27" s="13">
        <v>53</v>
      </c>
      <c r="M27" s="13">
        <v>35</v>
      </c>
      <c r="N27" s="13">
        <v>219</v>
      </c>
      <c r="O27" s="13"/>
      <c r="P27" s="13">
        <v>1892</v>
      </c>
      <c r="R27" s="3"/>
      <c r="S27" s="3"/>
      <c r="T27" s="3"/>
      <c r="U27" s="3"/>
      <c r="V27" s="3"/>
      <c r="X27" s="3">
        <v>6</v>
      </c>
      <c r="Y27" s="15"/>
      <c r="Z27" s="16">
        <v>90</v>
      </c>
      <c r="AA27" s="16">
        <v>540</v>
      </c>
      <c r="AC27" s="24"/>
      <c r="AD27" s="24"/>
      <c r="AE27" s="24"/>
      <c r="AF27" s="24"/>
      <c r="AG27" s="24"/>
      <c r="AH27" s="24">
        <v>52</v>
      </c>
      <c r="AI27" s="24"/>
      <c r="AJ27" s="24">
        <v>11</v>
      </c>
      <c r="AK27" s="24">
        <v>19</v>
      </c>
      <c r="AL27" s="24">
        <v>15</v>
      </c>
      <c r="AM27" s="24">
        <v>33</v>
      </c>
      <c r="AN27" s="24">
        <v>58</v>
      </c>
      <c r="AO27" s="24">
        <v>49</v>
      </c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37">
        <f t="shared" si="2"/>
        <v>237</v>
      </c>
      <c r="CJ27" s="27">
        <f t="shared" si="3"/>
        <v>237</v>
      </c>
      <c r="CK27" s="22">
        <v>0</v>
      </c>
      <c r="CL27" s="22">
        <f t="shared" si="4"/>
        <v>237</v>
      </c>
      <c r="CM27" s="42"/>
      <c r="CN27" s="44"/>
      <c r="CO27" s="14">
        <f t="shared" si="5"/>
        <v>786</v>
      </c>
      <c r="CP27" s="14">
        <f t="shared" si="6"/>
        <v>786</v>
      </c>
      <c r="CQ27" s="14">
        <f t="shared" si="7"/>
        <v>549</v>
      </c>
      <c r="CR27" s="43"/>
      <c r="CS27" s="17"/>
      <c r="CX27">
        <v>198</v>
      </c>
      <c r="CZ27">
        <v>210</v>
      </c>
      <c r="DA27">
        <v>34</v>
      </c>
      <c r="DB27">
        <v>344</v>
      </c>
      <c r="DC27" s="14">
        <f t="shared" si="8"/>
        <v>786</v>
      </c>
    </row>
    <row r="28" spans="1:107" ht="15" customHeight="1" x14ac:dyDescent="0.25">
      <c r="A28" s="33" t="s">
        <v>31</v>
      </c>
      <c r="B28" s="50" t="s">
        <v>47</v>
      </c>
      <c r="C28" s="56" t="s">
        <v>47</v>
      </c>
      <c r="D28" s="33" t="s">
        <v>3</v>
      </c>
      <c r="E28" s="13">
        <v>67</v>
      </c>
      <c r="F28" s="13">
        <v>38</v>
      </c>
      <c r="G28" s="13"/>
      <c r="H28" s="13">
        <v>5</v>
      </c>
      <c r="I28" s="13">
        <v>2</v>
      </c>
      <c r="J28" s="13">
        <v>642</v>
      </c>
      <c r="K28" s="13">
        <v>1135</v>
      </c>
      <c r="L28" s="13">
        <v>17</v>
      </c>
      <c r="M28" s="13">
        <v>27</v>
      </c>
      <c r="N28" s="13">
        <v>97</v>
      </c>
      <c r="O28" s="13"/>
      <c r="P28" s="13">
        <v>2030</v>
      </c>
      <c r="R28" s="3"/>
      <c r="S28" s="3"/>
      <c r="T28" s="3"/>
      <c r="U28" s="3"/>
      <c r="V28" s="3"/>
      <c r="X28" s="3">
        <v>6</v>
      </c>
      <c r="Y28" s="15"/>
      <c r="Z28" s="16">
        <v>90</v>
      </c>
      <c r="AA28" s="16">
        <v>540</v>
      </c>
      <c r="AC28" s="24"/>
      <c r="AD28" s="24"/>
      <c r="AE28" s="24"/>
      <c r="AF28" s="24"/>
      <c r="AG28" s="24"/>
      <c r="AH28" s="24"/>
      <c r="AI28" s="24"/>
      <c r="AJ28" s="24">
        <v>13</v>
      </c>
      <c r="AK28" s="24">
        <v>15</v>
      </c>
      <c r="AL28" s="24">
        <v>12</v>
      </c>
      <c r="AM28" s="24">
        <v>7</v>
      </c>
      <c r="AN28" s="24">
        <v>29</v>
      </c>
      <c r="AO28" s="24">
        <v>25</v>
      </c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37">
        <f t="shared" si="2"/>
        <v>101</v>
      </c>
      <c r="CJ28" s="27">
        <f t="shared" si="3"/>
        <v>101</v>
      </c>
      <c r="CK28" s="22">
        <v>0</v>
      </c>
      <c r="CL28" s="22">
        <f t="shared" si="4"/>
        <v>101</v>
      </c>
      <c r="CM28" s="42"/>
      <c r="CN28" s="44"/>
      <c r="CO28" s="14">
        <f t="shared" si="5"/>
        <v>178</v>
      </c>
      <c r="CP28" s="14">
        <f t="shared" si="6"/>
        <v>178</v>
      </c>
      <c r="CQ28" s="14">
        <f t="shared" si="7"/>
        <v>77</v>
      </c>
      <c r="CR28" s="43"/>
      <c r="CS28" s="17">
        <v>67</v>
      </c>
      <c r="CT28">
        <v>38</v>
      </c>
      <c r="CV28">
        <v>5</v>
      </c>
      <c r="CX28">
        <v>8</v>
      </c>
      <c r="CY28">
        <v>16</v>
      </c>
      <c r="CZ28">
        <v>17</v>
      </c>
      <c r="DA28">
        <v>27</v>
      </c>
      <c r="DC28" s="14">
        <f t="shared" si="8"/>
        <v>178</v>
      </c>
    </row>
    <row r="29" spans="1:107" ht="15" customHeight="1" x14ac:dyDescent="0.25">
      <c r="A29" s="33">
        <v>1</v>
      </c>
      <c r="B29" s="58" t="s">
        <v>48</v>
      </c>
      <c r="C29" s="56" t="s">
        <v>49</v>
      </c>
      <c r="D29" s="33" t="s">
        <v>3</v>
      </c>
      <c r="E29" s="13">
        <v>22</v>
      </c>
      <c r="F29" s="13">
        <v>240</v>
      </c>
      <c r="G29" s="13">
        <v>3</v>
      </c>
      <c r="H29" s="13">
        <v>92</v>
      </c>
      <c r="I29" s="13">
        <v>4</v>
      </c>
      <c r="J29" s="13">
        <v>134</v>
      </c>
      <c r="K29" s="13">
        <v>851</v>
      </c>
      <c r="L29" s="13">
        <v>954</v>
      </c>
      <c r="M29" s="13">
        <v>1</v>
      </c>
      <c r="N29" s="13">
        <v>116</v>
      </c>
      <c r="O29" s="13"/>
      <c r="P29" s="13">
        <v>2417</v>
      </c>
      <c r="R29" s="3"/>
      <c r="S29" s="3"/>
      <c r="T29" s="3"/>
      <c r="U29" s="3"/>
      <c r="V29" s="3"/>
      <c r="X29" s="3">
        <v>7</v>
      </c>
      <c r="Y29" s="2"/>
      <c r="Z29" s="16">
        <v>105</v>
      </c>
      <c r="AA29" s="16">
        <v>630</v>
      </c>
      <c r="AC29" s="24"/>
      <c r="AD29" s="24"/>
      <c r="AE29" s="24"/>
      <c r="AF29" s="24"/>
      <c r="AG29" s="24"/>
      <c r="AH29" s="24"/>
      <c r="AI29" s="24"/>
      <c r="AJ29" s="24"/>
      <c r="AK29" s="24">
        <v>3</v>
      </c>
      <c r="AL29" s="24"/>
      <c r="AM29" s="24">
        <v>15</v>
      </c>
      <c r="AN29" s="24">
        <v>3</v>
      </c>
      <c r="AO29" s="24"/>
      <c r="AP29" s="24">
        <v>15</v>
      </c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37">
        <f t="shared" si="2"/>
        <v>36</v>
      </c>
      <c r="CJ29" s="27">
        <f t="shared" si="3"/>
        <v>36</v>
      </c>
      <c r="CK29" s="22">
        <v>0</v>
      </c>
      <c r="CL29" s="22">
        <f t="shared" si="4"/>
        <v>36</v>
      </c>
      <c r="CM29" s="42"/>
      <c r="CN29" s="44"/>
      <c r="CO29" s="14">
        <f t="shared" si="5"/>
        <v>86</v>
      </c>
      <c r="CP29" s="14">
        <f t="shared" si="6"/>
        <v>86</v>
      </c>
      <c r="CQ29" s="14">
        <f t="shared" si="7"/>
        <v>50</v>
      </c>
      <c r="CR29" s="43"/>
      <c r="CS29" s="17"/>
      <c r="CT29">
        <v>80</v>
      </c>
      <c r="DB29">
        <v>6</v>
      </c>
      <c r="DC29" s="14">
        <f t="shared" si="8"/>
        <v>86</v>
      </c>
    </row>
    <row r="30" spans="1:107" ht="15" customHeight="1" x14ac:dyDescent="0.25">
      <c r="A30" s="33">
        <v>1</v>
      </c>
      <c r="B30" s="60"/>
      <c r="C30" s="56" t="s">
        <v>50</v>
      </c>
      <c r="D30" s="33" t="s">
        <v>3</v>
      </c>
      <c r="E30" s="13">
        <v>38</v>
      </c>
      <c r="F30" s="13">
        <v>156</v>
      </c>
      <c r="G30" s="13">
        <v>2</v>
      </c>
      <c r="H30" s="13">
        <v>28</v>
      </c>
      <c r="I30" s="13">
        <v>13</v>
      </c>
      <c r="J30" s="13">
        <v>64</v>
      </c>
      <c r="K30" s="13">
        <v>795</v>
      </c>
      <c r="L30" s="13">
        <v>573</v>
      </c>
      <c r="M30" s="13"/>
      <c r="N30" s="13">
        <v>40</v>
      </c>
      <c r="O30" s="13"/>
      <c r="P30" s="13">
        <v>1709</v>
      </c>
      <c r="R30" s="3"/>
      <c r="S30" s="3"/>
      <c r="T30" s="3"/>
      <c r="U30" s="3"/>
      <c r="V30" s="3"/>
      <c r="X30" s="3">
        <v>5</v>
      </c>
      <c r="Y30" s="15"/>
      <c r="Z30" s="16">
        <v>75</v>
      </c>
      <c r="AA30" s="16">
        <v>450</v>
      </c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37">
        <f t="shared" si="2"/>
        <v>0</v>
      </c>
      <c r="CJ30" s="27">
        <f t="shared" si="3"/>
        <v>0</v>
      </c>
      <c r="CK30" s="22">
        <v>0</v>
      </c>
      <c r="CL30" s="22">
        <f t="shared" si="4"/>
        <v>0</v>
      </c>
      <c r="CM30" s="42"/>
      <c r="CN30" s="44"/>
      <c r="CO30" s="14">
        <f t="shared" si="5"/>
        <v>40</v>
      </c>
      <c r="CP30" s="14">
        <f t="shared" si="6"/>
        <v>40</v>
      </c>
      <c r="CQ30" s="14">
        <f t="shared" si="7"/>
        <v>40</v>
      </c>
      <c r="CR30" s="43"/>
      <c r="CS30" s="17"/>
      <c r="DB30">
        <v>40</v>
      </c>
      <c r="DC30" s="14">
        <f t="shared" si="8"/>
        <v>40</v>
      </c>
    </row>
    <row r="31" spans="1:107" x14ac:dyDescent="0.25">
      <c r="A31" s="33">
        <v>1</v>
      </c>
      <c r="B31" s="59"/>
      <c r="C31" s="56" t="s">
        <v>51</v>
      </c>
      <c r="D31" s="33" t="s">
        <v>4</v>
      </c>
      <c r="E31" s="13">
        <v>65</v>
      </c>
      <c r="F31" s="13">
        <v>277</v>
      </c>
      <c r="G31" s="13">
        <v>5</v>
      </c>
      <c r="H31" s="13">
        <v>372</v>
      </c>
      <c r="I31" s="13">
        <v>3</v>
      </c>
      <c r="J31" s="13">
        <v>120</v>
      </c>
      <c r="K31" s="13">
        <v>811</v>
      </c>
      <c r="L31" s="13">
        <v>636</v>
      </c>
      <c r="M31" s="13">
        <v>2</v>
      </c>
      <c r="N31" s="13">
        <v>35</v>
      </c>
      <c r="O31" s="13"/>
      <c r="P31" s="13">
        <v>2326</v>
      </c>
      <c r="R31" s="3"/>
      <c r="S31" s="3"/>
      <c r="T31" s="3"/>
      <c r="U31" s="3"/>
      <c r="V31" s="3"/>
      <c r="X31" s="3">
        <v>7</v>
      </c>
      <c r="Z31" s="16">
        <v>105</v>
      </c>
      <c r="AA31" s="16">
        <v>630</v>
      </c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37">
        <f t="shared" si="2"/>
        <v>0</v>
      </c>
      <c r="CJ31" s="27">
        <f t="shared" si="3"/>
        <v>0</v>
      </c>
      <c r="CK31" s="22">
        <v>0</v>
      </c>
      <c r="CL31" s="22">
        <f t="shared" si="4"/>
        <v>0</v>
      </c>
      <c r="CM31" s="42"/>
      <c r="CN31" s="44"/>
      <c r="CO31" s="14">
        <f t="shared" si="5"/>
        <v>0</v>
      </c>
      <c r="CP31" s="14">
        <f t="shared" si="6"/>
        <v>0</v>
      </c>
      <c r="CQ31" s="14">
        <f t="shared" si="7"/>
        <v>0</v>
      </c>
      <c r="CR31" s="43"/>
      <c r="CS31" s="17"/>
      <c r="DC31" s="14">
        <f t="shared" si="8"/>
        <v>0</v>
      </c>
    </row>
    <row r="32" spans="1:107" x14ac:dyDescent="0.25">
      <c r="A32" s="33">
        <v>2</v>
      </c>
      <c r="B32" s="58" t="s">
        <v>52</v>
      </c>
      <c r="C32" s="56" t="s">
        <v>53</v>
      </c>
      <c r="D32" s="33" t="s">
        <v>3</v>
      </c>
      <c r="E32" s="13">
        <v>25</v>
      </c>
      <c r="F32" s="13">
        <v>177</v>
      </c>
      <c r="G32" s="13">
        <v>1</v>
      </c>
      <c r="H32" s="13">
        <v>12</v>
      </c>
      <c r="I32" s="13">
        <v>12</v>
      </c>
      <c r="J32" s="13">
        <v>176</v>
      </c>
      <c r="K32" s="13">
        <v>1607</v>
      </c>
      <c r="L32" s="13">
        <v>102</v>
      </c>
      <c r="M32" s="13">
        <v>14</v>
      </c>
      <c r="N32" s="13">
        <v>88</v>
      </c>
      <c r="O32" s="13"/>
      <c r="P32" s="13">
        <v>2214</v>
      </c>
      <c r="R32" s="3"/>
      <c r="S32" s="3"/>
      <c r="T32" s="3"/>
      <c r="U32" s="3"/>
      <c r="V32" s="3"/>
      <c r="X32" s="3">
        <v>7</v>
      </c>
      <c r="Y32" s="15"/>
      <c r="Z32" s="16">
        <v>105</v>
      </c>
      <c r="AA32" s="16">
        <v>630</v>
      </c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37">
        <f t="shared" si="2"/>
        <v>0</v>
      </c>
      <c r="CJ32" s="27">
        <f t="shared" si="3"/>
        <v>0</v>
      </c>
      <c r="CK32" s="22">
        <v>0</v>
      </c>
      <c r="CL32" s="22">
        <f t="shared" si="4"/>
        <v>0</v>
      </c>
      <c r="CM32" s="42"/>
      <c r="CN32" s="44"/>
      <c r="CO32" s="14">
        <f t="shared" si="5"/>
        <v>132</v>
      </c>
      <c r="CP32" s="14">
        <f t="shared" si="6"/>
        <v>132</v>
      </c>
      <c r="CQ32" s="14">
        <f t="shared" si="7"/>
        <v>132</v>
      </c>
      <c r="CR32" s="43"/>
      <c r="CS32" s="17"/>
      <c r="CT32">
        <v>12</v>
      </c>
      <c r="DA32">
        <v>2</v>
      </c>
      <c r="DB32">
        <v>118</v>
      </c>
      <c r="DC32" s="14">
        <f t="shared" si="8"/>
        <v>132</v>
      </c>
    </row>
    <row r="33" spans="1:107" x14ac:dyDescent="0.25">
      <c r="A33" s="33">
        <v>2</v>
      </c>
      <c r="B33" s="60"/>
      <c r="C33" s="56" t="s">
        <v>54</v>
      </c>
      <c r="D33" s="33" t="s">
        <v>3</v>
      </c>
      <c r="E33" s="13">
        <v>11</v>
      </c>
      <c r="F33" s="13">
        <v>116</v>
      </c>
      <c r="G33" s="13">
        <v>8</v>
      </c>
      <c r="H33" s="13">
        <v>56</v>
      </c>
      <c r="I33" s="13">
        <v>4</v>
      </c>
      <c r="J33" s="13">
        <v>195</v>
      </c>
      <c r="K33" s="13">
        <v>1290</v>
      </c>
      <c r="L33" s="13">
        <v>512</v>
      </c>
      <c r="M33" s="13">
        <v>6</v>
      </c>
      <c r="N33" s="13">
        <v>68</v>
      </c>
      <c r="O33" s="13"/>
      <c r="P33" s="13">
        <v>2266</v>
      </c>
      <c r="R33" s="3"/>
      <c r="S33" s="3"/>
      <c r="T33" s="3"/>
      <c r="U33" s="3"/>
      <c r="V33" s="3"/>
      <c r="X33" s="3">
        <v>7</v>
      </c>
      <c r="Z33" s="16">
        <v>105</v>
      </c>
      <c r="AA33" s="16">
        <v>630</v>
      </c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37">
        <f t="shared" si="2"/>
        <v>0</v>
      </c>
      <c r="CJ33" s="27">
        <f t="shared" si="3"/>
        <v>0</v>
      </c>
      <c r="CK33" s="22">
        <v>0</v>
      </c>
      <c r="CL33" s="22">
        <f t="shared" si="4"/>
        <v>0</v>
      </c>
      <c r="CM33" s="42"/>
      <c r="CN33" s="44"/>
      <c r="CO33" s="14">
        <f t="shared" si="5"/>
        <v>0</v>
      </c>
      <c r="CP33" s="14">
        <f t="shared" si="6"/>
        <v>0</v>
      </c>
      <c r="CQ33" s="14">
        <f t="shared" si="7"/>
        <v>0</v>
      </c>
      <c r="CR33" s="43"/>
      <c r="CS33" s="17"/>
      <c r="DC33" s="14">
        <f t="shared" si="8"/>
        <v>0</v>
      </c>
    </row>
    <row r="34" spans="1:107" x14ac:dyDescent="0.25">
      <c r="A34" s="33">
        <v>2</v>
      </c>
      <c r="B34" s="59"/>
      <c r="C34" s="56" t="s">
        <v>55</v>
      </c>
      <c r="D34" s="33" t="s">
        <v>3</v>
      </c>
      <c r="E34" s="13">
        <v>3</v>
      </c>
      <c r="F34" s="13">
        <v>75</v>
      </c>
      <c r="G34" s="13">
        <v>67</v>
      </c>
      <c r="H34" s="13">
        <v>12</v>
      </c>
      <c r="I34" s="13"/>
      <c r="J34" s="13">
        <v>77</v>
      </c>
      <c r="K34" s="13">
        <v>456</v>
      </c>
      <c r="L34" s="13">
        <v>630</v>
      </c>
      <c r="M34" s="13">
        <v>1</v>
      </c>
      <c r="N34" s="13">
        <v>22</v>
      </c>
      <c r="O34" s="13"/>
      <c r="P34" s="13">
        <v>1343</v>
      </c>
      <c r="R34" s="3"/>
      <c r="S34" s="3"/>
      <c r="T34" s="3"/>
      <c r="U34" s="3"/>
      <c r="V34" s="3"/>
      <c r="X34" s="3">
        <v>4</v>
      </c>
      <c r="Y34" s="15"/>
      <c r="Z34" s="16">
        <v>60</v>
      </c>
      <c r="AA34" s="16">
        <v>360</v>
      </c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37">
        <f t="shared" si="2"/>
        <v>0</v>
      </c>
      <c r="CJ34" s="27">
        <f t="shared" si="3"/>
        <v>0</v>
      </c>
      <c r="CK34" s="22">
        <v>0</v>
      </c>
      <c r="CL34" s="22">
        <f t="shared" si="4"/>
        <v>0</v>
      </c>
      <c r="CM34" s="42"/>
      <c r="CN34" s="44"/>
      <c r="CO34" s="14">
        <f t="shared" si="5"/>
        <v>0</v>
      </c>
      <c r="CP34" s="14">
        <f t="shared" si="6"/>
        <v>0</v>
      </c>
      <c r="CQ34" s="14">
        <f t="shared" si="7"/>
        <v>0</v>
      </c>
      <c r="CR34" s="43"/>
      <c r="CS34" s="17"/>
      <c r="DC34" s="14">
        <f t="shared" si="8"/>
        <v>0</v>
      </c>
    </row>
    <row r="35" spans="1:107" x14ac:dyDescent="0.25">
      <c r="A35" s="33">
        <v>3</v>
      </c>
      <c r="B35" s="50" t="s">
        <v>56</v>
      </c>
      <c r="C35" s="56" t="s">
        <v>56</v>
      </c>
      <c r="D35" s="33" t="s">
        <v>3</v>
      </c>
      <c r="E35" s="13">
        <v>71</v>
      </c>
      <c r="F35" s="13">
        <v>252</v>
      </c>
      <c r="G35" s="13">
        <v>44</v>
      </c>
      <c r="H35" s="13">
        <v>38</v>
      </c>
      <c r="I35" s="13">
        <v>28</v>
      </c>
      <c r="J35" s="13">
        <v>459</v>
      </c>
      <c r="K35" s="13">
        <v>1106</v>
      </c>
      <c r="L35" s="13">
        <v>109</v>
      </c>
      <c r="M35" s="13">
        <v>1</v>
      </c>
      <c r="N35" s="13">
        <v>56</v>
      </c>
      <c r="O35" s="13"/>
      <c r="P35" s="13">
        <v>2164</v>
      </c>
      <c r="R35" s="3"/>
      <c r="S35" s="3"/>
      <c r="T35" s="3"/>
      <c r="U35" s="3"/>
      <c r="V35" s="3"/>
      <c r="X35" s="3">
        <v>7</v>
      </c>
      <c r="Y35" s="15"/>
      <c r="Z35" s="16">
        <v>105</v>
      </c>
      <c r="AA35" s="16">
        <v>630</v>
      </c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37">
        <f t="shared" si="2"/>
        <v>0</v>
      </c>
      <c r="CJ35" s="27">
        <f t="shared" si="3"/>
        <v>0</v>
      </c>
      <c r="CK35" s="22">
        <v>0</v>
      </c>
      <c r="CL35" s="22">
        <f t="shared" si="4"/>
        <v>0</v>
      </c>
      <c r="CM35" s="42"/>
      <c r="CN35" s="44"/>
      <c r="CO35" s="14">
        <f t="shared" si="5"/>
        <v>99</v>
      </c>
      <c r="CP35" s="14">
        <f t="shared" si="6"/>
        <v>99</v>
      </c>
      <c r="CQ35" s="14">
        <f t="shared" si="7"/>
        <v>99</v>
      </c>
      <c r="CR35" s="43"/>
      <c r="CS35" s="17">
        <v>21</v>
      </c>
      <c r="CT35">
        <v>20</v>
      </c>
      <c r="CU35">
        <v>16</v>
      </c>
      <c r="CV35">
        <v>18</v>
      </c>
      <c r="DB35">
        <v>24</v>
      </c>
      <c r="DC35" s="14">
        <f t="shared" si="8"/>
        <v>99</v>
      </c>
    </row>
    <row r="36" spans="1:107" ht="15.75" customHeight="1" x14ac:dyDescent="0.25">
      <c r="A36" s="33">
        <v>5</v>
      </c>
      <c r="B36" s="50" t="s">
        <v>57</v>
      </c>
      <c r="C36" s="56" t="s">
        <v>57</v>
      </c>
      <c r="D36" s="33" t="s">
        <v>3</v>
      </c>
      <c r="E36" s="13">
        <v>2</v>
      </c>
      <c r="F36" s="13">
        <v>4</v>
      </c>
      <c r="G36" s="13"/>
      <c r="H36" s="13"/>
      <c r="I36" s="13"/>
      <c r="J36" s="13">
        <v>42</v>
      </c>
      <c r="K36" s="13">
        <v>82</v>
      </c>
      <c r="L36" s="13">
        <v>4</v>
      </c>
      <c r="M36" s="13">
        <v>2</v>
      </c>
      <c r="N36" s="13">
        <v>8</v>
      </c>
      <c r="O36" s="13"/>
      <c r="P36" s="13">
        <v>144</v>
      </c>
      <c r="R36" s="3"/>
      <c r="S36" s="3"/>
      <c r="T36" s="3"/>
      <c r="U36" s="3"/>
      <c r="V36" s="3"/>
      <c r="X36" s="3">
        <v>1</v>
      </c>
      <c r="Y36" s="15"/>
      <c r="Z36" s="16">
        <v>15</v>
      </c>
      <c r="AA36" s="16">
        <v>90</v>
      </c>
      <c r="AC36" s="24"/>
      <c r="AD36" s="24"/>
      <c r="AE36" s="24"/>
      <c r="AF36" s="24"/>
      <c r="AG36" s="24"/>
      <c r="AH36" s="24"/>
      <c r="AI36" s="24"/>
      <c r="AJ36" s="24"/>
      <c r="AK36" s="24">
        <v>11</v>
      </c>
      <c r="AL36" s="24">
        <v>9</v>
      </c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37">
        <f t="shared" si="2"/>
        <v>20</v>
      </c>
      <c r="CJ36" s="27">
        <f t="shared" si="3"/>
        <v>20</v>
      </c>
      <c r="CK36" s="22">
        <v>0</v>
      </c>
      <c r="CL36" s="22">
        <f t="shared" si="4"/>
        <v>20</v>
      </c>
      <c r="CM36" s="42"/>
      <c r="CN36" s="44"/>
      <c r="CO36" s="14">
        <f t="shared" si="5"/>
        <v>0</v>
      </c>
      <c r="CP36" s="14">
        <f t="shared" si="6"/>
        <v>0</v>
      </c>
      <c r="CQ36" s="14">
        <f t="shared" si="7"/>
        <v>-20</v>
      </c>
      <c r="CR36" s="43"/>
      <c r="CS36" s="17"/>
      <c r="DC36" s="14">
        <f t="shared" si="8"/>
        <v>0</v>
      </c>
    </row>
    <row r="37" spans="1:107" x14ac:dyDescent="0.25">
      <c r="A37" s="33">
        <v>6</v>
      </c>
      <c r="B37" s="50" t="s">
        <v>58</v>
      </c>
      <c r="C37" s="56" t="s">
        <v>58</v>
      </c>
      <c r="D37" s="33" t="s">
        <v>3</v>
      </c>
      <c r="E37" s="13">
        <v>163</v>
      </c>
      <c r="F37" s="13">
        <v>436</v>
      </c>
      <c r="G37" s="13">
        <v>1</v>
      </c>
      <c r="H37" s="13">
        <v>38</v>
      </c>
      <c r="I37" s="13">
        <v>87</v>
      </c>
      <c r="J37" s="13">
        <v>153</v>
      </c>
      <c r="K37" s="13">
        <v>1212</v>
      </c>
      <c r="L37" s="13"/>
      <c r="M37" s="13">
        <v>3</v>
      </c>
      <c r="N37" s="13">
        <v>384</v>
      </c>
      <c r="O37" s="13"/>
      <c r="P37" s="13">
        <v>2477</v>
      </c>
      <c r="R37" s="3"/>
      <c r="S37" s="3"/>
      <c r="T37" s="3"/>
      <c r="U37" s="3"/>
      <c r="V37" s="3"/>
      <c r="X37" s="3">
        <v>7</v>
      </c>
      <c r="Y37" s="15"/>
      <c r="Z37" s="16">
        <v>105</v>
      </c>
      <c r="AA37" s="16">
        <v>630</v>
      </c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>
        <v>2</v>
      </c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37">
        <f t="shared" si="2"/>
        <v>2</v>
      </c>
      <c r="CJ37" s="27">
        <f t="shared" si="3"/>
        <v>2</v>
      </c>
      <c r="CK37" s="22">
        <v>0</v>
      </c>
      <c r="CL37" s="22">
        <f t="shared" si="4"/>
        <v>2</v>
      </c>
      <c r="CM37" s="42"/>
      <c r="CN37" s="44"/>
      <c r="CO37" s="14">
        <f t="shared" si="5"/>
        <v>72</v>
      </c>
      <c r="CP37" s="14">
        <f t="shared" si="6"/>
        <v>72</v>
      </c>
      <c r="CQ37" s="14">
        <f t="shared" si="7"/>
        <v>70</v>
      </c>
      <c r="CR37" s="43"/>
      <c r="CS37" s="17"/>
      <c r="CU37">
        <v>1</v>
      </c>
      <c r="CV37">
        <v>38</v>
      </c>
      <c r="CW37">
        <v>33</v>
      </c>
      <c r="DC37" s="14">
        <f t="shared" si="8"/>
        <v>72</v>
      </c>
    </row>
    <row r="38" spans="1:107" ht="15" customHeight="1" x14ac:dyDescent="0.25">
      <c r="A38" s="33">
        <v>8</v>
      </c>
      <c r="B38" s="50" t="s">
        <v>59</v>
      </c>
      <c r="C38" s="56" t="s">
        <v>59</v>
      </c>
      <c r="D38" s="33" t="s">
        <v>3</v>
      </c>
      <c r="E38" s="13">
        <v>68</v>
      </c>
      <c r="F38" s="13">
        <v>236</v>
      </c>
      <c r="G38" s="13"/>
      <c r="H38" s="13">
        <v>2</v>
      </c>
      <c r="I38" s="13">
        <v>16</v>
      </c>
      <c r="J38" s="13">
        <v>228</v>
      </c>
      <c r="K38" s="13">
        <v>1259</v>
      </c>
      <c r="L38" s="13"/>
      <c r="M38" s="13">
        <v>11</v>
      </c>
      <c r="N38" s="13">
        <v>63</v>
      </c>
      <c r="O38" s="13"/>
      <c r="P38" s="13">
        <v>1883</v>
      </c>
      <c r="R38" s="3"/>
      <c r="S38" s="3"/>
      <c r="T38" s="3"/>
      <c r="U38" s="3"/>
      <c r="V38" s="3"/>
      <c r="X38" s="3">
        <v>6</v>
      </c>
      <c r="Y38" s="15"/>
      <c r="Z38" s="16">
        <v>90</v>
      </c>
      <c r="AA38" s="16">
        <v>540</v>
      </c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37">
        <f t="shared" si="2"/>
        <v>0</v>
      </c>
      <c r="CJ38" s="27">
        <f t="shared" si="3"/>
        <v>0</v>
      </c>
      <c r="CK38" s="22">
        <v>0</v>
      </c>
      <c r="CL38" s="22">
        <f t="shared" si="4"/>
        <v>0</v>
      </c>
      <c r="CM38" s="42"/>
      <c r="CN38" s="44"/>
      <c r="CO38" s="14">
        <f t="shared" si="5"/>
        <v>0</v>
      </c>
      <c r="CP38" s="14">
        <f t="shared" si="6"/>
        <v>0</v>
      </c>
      <c r="CQ38" s="14">
        <f t="shared" si="7"/>
        <v>0</v>
      </c>
      <c r="CR38" s="43"/>
      <c r="CS38" s="17"/>
      <c r="DC38" s="14">
        <f t="shared" si="8"/>
        <v>0</v>
      </c>
    </row>
    <row r="39" spans="1:107" x14ac:dyDescent="0.25">
      <c r="A39" s="33">
        <v>9</v>
      </c>
      <c r="B39" s="50" t="s">
        <v>60</v>
      </c>
      <c r="C39" s="56" t="s">
        <v>60</v>
      </c>
      <c r="D39" s="33" t="s">
        <v>3</v>
      </c>
      <c r="E39" s="13">
        <v>1</v>
      </c>
      <c r="F39" s="13">
        <v>5</v>
      </c>
      <c r="G39" s="13"/>
      <c r="H39" s="13"/>
      <c r="I39" s="13"/>
      <c r="J39" s="13">
        <v>2</v>
      </c>
      <c r="K39" s="13">
        <v>123</v>
      </c>
      <c r="L39" s="13"/>
      <c r="M39" s="13"/>
      <c r="N39" s="13">
        <v>32</v>
      </c>
      <c r="O39" s="13"/>
      <c r="P39" s="13">
        <v>163</v>
      </c>
      <c r="R39" s="3"/>
      <c r="S39" s="3"/>
      <c r="T39" s="3"/>
      <c r="U39" s="3"/>
      <c r="V39" s="3"/>
      <c r="X39" s="3">
        <v>1</v>
      </c>
      <c r="Y39" s="15"/>
      <c r="Z39" s="16">
        <v>15</v>
      </c>
      <c r="AA39" s="16">
        <v>90</v>
      </c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37">
        <f t="shared" si="2"/>
        <v>0</v>
      </c>
      <c r="CJ39" s="27">
        <f t="shared" si="3"/>
        <v>0</v>
      </c>
      <c r="CK39" s="22">
        <v>0</v>
      </c>
      <c r="CL39" s="22">
        <f t="shared" si="4"/>
        <v>0</v>
      </c>
      <c r="CM39" s="42"/>
      <c r="CN39" s="44"/>
      <c r="CO39" s="14">
        <f t="shared" si="5"/>
        <v>0</v>
      </c>
      <c r="CP39" s="14">
        <f t="shared" si="6"/>
        <v>0</v>
      </c>
      <c r="CQ39" s="14">
        <f t="shared" si="7"/>
        <v>0</v>
      </c>
      <c r="CR39" s="43"/>
      <c r="CS39" s="17"/>
      <c r="DC39" s="14">
        <f t="shared" si="8"/>
        <v>0</v>
      </c>
    </row>
    <row r="40" spans="1:107" x14ac:dyDescent="0.25">
      <c r="A40" s="33">
        <v>12</v>
      </c>
      <c r="B40" s="50" t="s">
        <v>62</v>
      </c>
      <c r="C40" s="56" t="s">
        <v>62</v>
      </c>
      <c r="D40" s="33" t="s">
        <v>4</v>
      </c>
      <c r="E40" s="13">
        <v>41</v>
      </c>
      <c r="F40" s="13">
        <v>189</v>
      </c>
      <c r="G40" s="13">
        <v>20</v>
      </c>
      <c r="H40" s="13">
        <v>28</v>
      </c>
      <c r="I40" s="13">
        <v>12</v>
      </c>
      <c r="J40" s="13">
        <v>124</v>
      </c>
      <c r="K40" s="13">
        <v>854</v>
      </c>
      <c r="L40" s="13">
        <v>128</v>
      </c>
      <c r="M40" s="13">
        <v>3</v>
      </c>
      <c r="N40" s="13">
        <v>92</v>
      </c>
      <c r="O40" s="13"/>
      <c r="P40" s="13">
        <v>1491</v>
      </c>
      <c r="R40" s="3"/>
      <c r="S40" s="3"/>
      <c r="T40" s="3"/>
      <c r="U40" s="3"/>
      <c r="V40" s="3"/>
      <c r="X40" s="3">
        <v>5</v>
      </c>
      <c r="Y40" s="15"/>
      <c r="Z40" s="16">
        <v>75</v>
      </c>
      <c r="AA40" s="16">
        <v>450</v>
      </c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37">
        <f t="shared" si="2"/>
        <v>0</v>
      </c>
      <c r="CJ40" s="27">
        <f t="shared" si="3"/>
        <v>0</v>
      </c>
      <c r="CK40" s="22">
        <v>0</v>
      </c>
      <c r="CL40" s="22">
        <f t="shared" si="4"/>
        <v>0</v>
      </c>
      <c r="CM40" s="42"/>
      <c r="CN40" s="44"/>
      <c r="CO40" s="14">
        <f t="shared" si="5"/>
        <v>0</v>
      </c>
      <c r="CP40" s="14">
        <f t="shared" si="6"/>
        <v>0</v>
      </c>
      <c r="CQ40" s="14">
        <f t="shared" si="7"/>
        <v>0</v>
      </c>
      <c r="CR40" s="43"/>
      <c r="CS40" s="17"/>
      <c r="DC40" s="14">
        <f t="shared" si="8"/>
        <v>0</v>
      </c>
    </row>
    <row r="41" spans="1:107" ht="15" customHeight="1" x14ac:dyDescent="0.25">
      <c r="A41" s="33">
        <v>13</v>
      </c>
      <c r="B41" s="50" t="s">
        <v>63</v>
      </c>
      <c r="C41" s="56" t="s">
        <v>63</v>
      </c>
      <c r="D41" s="33" t="s">
        <v>3</v>
      </c>
      <c r="E41" s="13">
        <v>2</v>
      </c>
      <c r="F41" s="13">
        <v>44</v>
      </c>
      <c r="G41" s="13"/>
      <c r="H41" s="13">
        <v>9</v>
      </c>
      <c r="I41" s="13">
        <v>2</v>
      </c>
      <c r="J41" s="13">
        <v>337</v>
      </c>
      <c r="K41" s="13">
        <v>357</v>
      </c>
      <c r="L41" s="13">
        <v>162</v>
      </c>
      <c r="M41" s="13"/>
      <c r="N41" s="13">
        <v>66</v>
      </c>
      <c r="O41" s="13"/>
      <c r="P41" s="13">
        <v>979</v>
      </c>
      <c r="R41" s="3"/>
      <c r="S41" s="3"/>
      <c r="T41" s="3"/>
      <c r="U41" s="3"/>
      <c r="V41" s="3"/>
      <c r="X41" s="3">
        <v>3</v>
      </c>
      <c r="Y41" s="15"/>
      <c r="Z41" s="16">
        <v>45</v>
      </c>
      <c r="AA41" s="16">
        <v>270</v>
      </c>
      <c r="AC41" s="24"/>
      <c r="AD41" s="24"/>
      <c r="AE41" s="24"/>
      <c r="AF41" s="24"/>
      <c r="AG41" s="24"/>
      <c r="AH41" s="24"/>
      <c r="AI41" s="24"/>
      <c r="AJ41" s="24"/>
      <c r="AK41" s="24">
        <v>1</v>
      </c>
      <c r="AL41" s="24"/>
      <c r="AM41" s="24">
        <v>3</v>
      </c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37">
        <f t="shared" si="2"/>
        <v>4</v>
      </c>
      <c r="CJ41" s="27">
        <f t="shared" si="3"/>
        <v>4</v>
      </c>
      <c r="CK41" s="22">
        <v>0</v>
      </c>
      <c r="CL41" s="22">
        <f t="shared" si="4"/>
        <v>4</v>
      </c>
      <c r="CM41" s="42"/>
      <c r="CN41" s="44"/>
      <c r="CO41" s="14">
        <f t="shared" si="5"/>
        <v>13</v>
      </c>
      <c r="CP41" s="14">
        <f t="shared" si="6"/>
        <v>13</v>
      </c>
      <c r="CQ41" s="14">
        <f t="shared" si="7"/>
        <v>9</v>
      </c>
      <c r="CR41" s="43"/>
      <c r="CS41" s="17">
        <v>2</v>
      </c>
      <c r="CV41">
        <v>9</v>
      </c>
      <c r="CW41">
        <v>2</v>
      </c>
      <c r="DC41" s="14">
        <f t="shared" si="8"/>
        <v>13</v>
      </c>
    </row>
    <row r="42" spans="1:107" x14ac:dyDescent="0.25">
      <c r="A42" s="33">
        <v>14</v>
      </c>
      <c r="B42" s="50" t="s">
        <v>64</v>
      </c>
      <c r="C42" s="56" t="s">
        <v>64</v>
      </c>
      <c r="D42" s="33" t="s">
        <v>3</v>
      </c>
      <c r="E42" s="13">
        <v>32</v>
      </c>
      <c r="F42" s="13">
        <v>151</v>
      </c>
      <c r="G42" s="13">
        <v>22</v>
      </c>
      <c r="H42" s="13">
        <v>9</v>
      </c>
      <c r="I42" s="13"/>
      <c r="J42" s="13">
        <v>42</v>
      </c>
      <c r="K42" s="13">
        <v>775</v>
      </c>
      <c r="L42" s="13">
        <v>342</v>
      </c>
      <c r="M42" s="13">
        <v>2</v>
      </c>
      <c r="N42" s="13">
        <v>108</v>
      </c>
      <c r="O42" s="13"/>
      <c r="P42" s="13">
        <v>1483</v>
      </c>
      <c r="R42" s="3"/>
      <c r="S42" s="3"/>
      <c r="T42" s="3"/>
      <c r="U42" s="3"/>
      <c r="V42" s="3"/>
      <c r="X42" s="3">
        <v>5</v>
      </c>
      <c r="Y42" s="15"/>
      <c r="Z42" s="16">
        <v>75</v>
      </c>
      <c r="AA42" s="16">
        <v>450</v>
      </c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37">
        <f t="shared" si="2"/>
        <v>0</v>
      </c>
      <c r="CJ42" s="27">
        <f t="shared" si="3"/>
        <v>0</v>
      </c>
      <c r="CK42" s="22">
        <v>0</v>
      </c>
      <c r="CL42" s="22">
        <f t="shared" si="4"/>
        <v>0</v>
      </c>
      <c r="CM42" s="42"/>
      <c r="CN42" s="44"/>
      <c r="CO42" s="14">
        <f t="shared" si="5"/>
        <v>0</v>
      </c>
      <c r="CP42" s="14">
        <f t="shared" si="6"/>
        <v>0</v>
      </c>
      <c r="CQ42" s="14">
        <f t="shared" si="7"/>
        <v>0</v>
      </c>
      <c r="CR42" s="43"/>
      <c r="CS42" s="17"/>
      <c r="DC42" s="14">
        <f t="shared" si="8"/>
        <v>0</v>
      </c>
    </row>
    <row r="43" spans="1:107" x14ac:dyDescent="0.25">
      <c r="A43" s="33">
        <v>15</v>
      </c>
      <c r="B43" s="50" t="s">
        <v>65</v>
      </c>
      <c r="C43" s="56" t="s">
        <v>65</v>
      </c>
      <c r="D43" s="33" t="s">
        <v>3</v>
      </c>
      <c r="E43" s="13">
        <v>54</v>
      </c>
      <c r="F43" s="13">
        <v>172</v>
      </c>
      <c r="G43" s="13">
        <v>11</v>
      </c>
      <c r="H43" s="13">
        <v>28</v>
      </c>
      <c r="I43" s="13"/>
      <c r="J43" s="13">
        <v>90</v>
      </c>
      <c r="K43" s="13">
        <v>730</v>
      </c>
      <c r="L43" s="13">
        <v>64</v>
      </c>
      <c r="M43" s="13">
        <v>2</v>
      </c>
      <c r="N43" s="13">
        <v>169</v>
      </c>
      <c r="O43" s="13"/>
      <c r="P43" s="13">
        <v>1320</v>
      </c>
      <c r="R43" s="3"/>
      <c r="S43" s="3"/>
      <c r="T43" s="3"/>
      <c r="U43" s="3"/>
      <c r="V43" s="3"/>
      <c r="X43" s="3">
        <v>4</v>
      </c>
      <c r="Y43" s="15"/>
      <c r="Z43" s="16">
        <v>60</v>
      </c>
      <c r="AA43" s="16">
        <v>360</v>
      </c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>
        <v>13</v>
      </c>
      <c r="AN43" s="24">
        <v>20</v>
      </c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37">
        <f t="shared" si="2"/>
        <v>33</v>
      </c>
      <c r="CJ43" s="27">
        <f t="shared" si="3"/>
        <v>33</v>
      </c>
      <c r="CK43" s="22">
        <v>0</v>
      </c>
      <c r="CL43" s="22">
        <f t="shared" si="4"/>
        <v>33</v>
      </c>
      <c r="CM43" s="42"/>
      <c r="CN43" s="44"/>
      <c r="CO43" s="14">
        <v>20</v>
      </c>
      <c r="CP43" s="14">
        <f t="shared" si="6"/>
        <v>20</v>
      </c>
      <c r="CQ43" s="14">
        <f t="shared" si="7"/>
        <v>-13</v>
      </c>
      <c r="CR43" s="43"/>
      <c r="CS43" s="17"/>
      <c r="DC43" s="14">
        <f t="shared" si="8"/>
        <v>0</v>
      </c>
    </row>
    <row r="44" spans="1:107" x14ac:dyDescent="0.25">
      <c r="A44" s="33">
        <v>18</v>
      </c>
      <c r="B44" s="50" t="s">
        <v>66</v>
      </c>
      <c r="C44" s="56" t="s">
        <v>66</v>
      </c>
      <c r="D44" s="33" t="s">
        <v>4</v>
      </c>
      <c r="E44" s="13">
        <v>4</v>
      </c>
      <c r="F44" s="13">
        <v>36</v>
      </c>
      <c r="G44" s="13"/>
      <c r="H44" s="13">
        <v>1</v>
      </c>
      <c r="I44" s="13"/>
      <c r="J44" s="13">
        <v>30</v>
      </c>
      <c r="K44" s="13">
        <v>178</v>
      </c>
      <c r="L44" s="13">
        <v>120</v>
      </c>
      <c r="M44" s="13">
        <v>1</v>
      </c>
      <c r="N44" s="13">
        <v>18</v>
      </c>
      <c r="O44" s="13"/>
      <c r="P44" s="13">
        <v>388</v>
      </c>
      <c r="R44" s="3"/>
      <c r="S44" s="3"/>
      <c r="T44" s="3"/>
      <c r="U44" s="3"/>
      <c r="V44" s="3"/>
      <c r="X44" s="3">
        <v>2</v>
      </c>
      <c r="Y44" s="15"/>
      <c r="Z44" s="16">
        <v>30</v>
      </c>
      <c r="AA44" s="16">
        <v>180</v>
      </c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37">
        <f t="shared" si="2"/>
        <v>0</v>
      </c>
      <c r="CJ44" s="27">
        <f t="shared" si="3"/>
        <v>0</v>
      </c>
      <c r="CK44" s="22">
        <v>0</v>
      </c>
      <c r="CL44" s="22">
        <f t="shared" si="4"/>
        <v>0</v>
      </c>
      <c r="CM44" s="42"/>
      <c r="CN44" s="44"/>
      <c r="CO44" s="14">
        <f t="shared" ref="CO44:CO49" si="9">DC44</f>
        <v>0</v>
      </c>
      <c r="CP44" s="14">
        <f t="shared" si="6"/>
        <v>0</v>
      </c>
      <c r="CQ44" s="14">
        <f t="shared" si="7"/>
        <v>0</v>
      </c>
      <c r="CR44" s="43"/>
      <c r="CS44" s="17"/>
      <c r="DC44" s="14">
        <f t="shared" si="8"/>
        <v>0</v>
      </c>
    </row>
    <row r="45" spans="1:107" x14ac:dyDescent="0.25">
      <c r="A45" s="33">
        <v>19</v>
      </c>
      <c r="B45" s="50" t="s">
        <v>67</v>
      </c>
      <c r="C45" s="56" t="s">
        <v>67</v>
      </c>
      <c r="D45" s="33" t="s">
        <v>3</v>
      </c>
      <c r="E45" s="13">
        <v>45</v>
      </c>
      <c r="F45" s="13">
        <v>139</v>
      </c>
      <c r="G45" s="13">
        <v>10</v>
      </c>
      <c r="H45" s="13">
        <v>12</v>
      </c>
      <c r="I45" s="13">
        <v>6</v>
      </c>
      <c r="J45" s="13">
        <v>61</v>
      </c>
      <c r="K45" s="13">
        <v>886</v>
      </c>
      <c r="L45" s="13">
        <v>16</v>
      </c>
      <c r="M45" s="13">
        <v>4</v>
      </c>
      <c r="N45" s="13">
        <v>67</v>
      </c>
      <c r="O45" s="13"/>
      <c r="P45" s="13">
        <v>1246</v>
      </c>
      <c r="R45" s="3"/>
      <c r="S45" s="3"/>
      <c r="T45" s="3"/>
      <c r="U45" s="3"/>
      <c r="V45" s="3"/>
      <c r="X45" s="3">
        <v>4</v>
      </c>
      <c r="Z45" s="16">
        <v>60</v>
      </c>
      <c r="AA45" s="16">
        <v>360</v>
      </c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>
        <v>10</v>
      </c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37">
        <f t="shared" si="2"/>
        <v>10</v>
      </c>
      <c r="CJ45" s="27">
        <f t="shared" si="3"/>
        <v>10</v>
      </c>
      <c r="CK45" s="22">
        <v>0</v>
      </c>
      <c r="CL45" s="22">
        <f t="shared" si="4"/>
        <v>10</v>
      </c>
      <c r="CM45" s="42"/>
      <c r="CN45" s="44"/>
      <c r="CO45" s="14">
        <f t="shared" si="9"/>
        <v>0</v>
      </c>
      <c r="CP45" s="14">
        <f t="shared" si="6"/>
        <v>0</v>
      </c>
      <c r="CQ45" s="14">
        <f t="shared" si="7"/>
        <v>-10</v>
      </c>
      <c r="CR45" s="43"/>
      <c r="CS45" s="17"/>
      <c r="DC45" s="14">
        <f t="shared" si="8"/>
        <v>0</v>
      </c>
    </row>
    <row r="46" spans="1:107" x14ac:dyDescent="0.25">
      <c r="A46" s="33">
        <v>20</v>
      </c>
      <c r="B46" s="58" t="s">
        <v>126</v>
      </c>
      <c r="C46" s="56" t="s">
        <v>70</v>
      </c>
      <c r="D46" s="33" t="s">
        <v>3</v>
      </c>
      <c r="E46" s="13">
        <v>47</v>
      </c>
      <c r="F46" s="13">
        <v>377</v>
      </c>
      <c r="G46" s="13">
        <v>14</v>
      </c>
      <c r="H46" s="13">
        <v>75</v>
      </c>
      <c r="I46" s="13">
        <v>58</v>
      </c>
      <c r="J46" s="13">
        <v>96</v>
      </c>
      <c r="K46" s="13">
        <v>564</v>
      </c>
      <c r="L46" s="13">
        <v>833</v>
      </c>
      <c r="M46" s="13">
        <v>2</v>
      </c>
      <c r="N46" s="13">
        <v>138</v>
      </c>
      <c r="O46" s="13"/>
      <c r="P46" s="13">
        <v>2204</v>
      </c>
      <c r="R46" s="3"/>
      <c r="S46" s="3"/>
      <c r="T46" s="3"/>
      <c r="U46" s="3"/>
      <c r="V46" s="3"/>
      <c r="X46" s="3">
        <v>7</v>
      </c>
      <c r="Y46" s="15"/>
      <c r="Z46" s="16">
        <v>105</v>
      </c>
      <c r="AA46" s="16">
        <v>630</v>
      </c>
      <c r="AC46" s="24"/>
      <c r="AD46" s="24"/>
      <c r="AE46" s="24"/>
      <c r="AF46" s="24"/>
      <c r="AG46" s="24"/>
      <c r="AH46" s="24"/>
      <c r="AI46" s="24"/>
      <c r="AJ46" s="24"/>
      <c r="AK46" s="24">
        <v>1</v>
      </c>
      <c r="AL46" s="24">
        <v>20</v>
      </c>
      <c r="AM46" s="24">
        <v>9</v>
      </c>
      <c r="AN46" s="24">
        <v>44</v>
      </c>
      <c r="AO46" s="24">
        <v>20</v>
      </c>
      <c r="AP46" s="24">
        <v>10</v>
      </c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37">
        <f t="shared" ref="CH46:CH77" si="10">+SUM(AC46:CG46)</f>
        <v>104</v>
      </c>
      <c r="CJ46" s="27">
        <f t="shared" ref="CJ46:CJ76" si="11">CH46</f>
        <v>104</v>
      </c>
      <c r="CK46" s="22">
        <v>0</v>
      </c>
      <c r="CL46" s="22">
        <f t="shared" ref="CL46:CL77" si="12">CJ46+CK46</f>
        <v>104</v>
      </c>
      <c r="CM46" s="42"/>
      <c r="CN46" s="44"/>
      <c r="CO46" s="14">
        <f t="shared" si="9"/>
        <v>331</v>
      </c>
      <c r="CP46" s="14">
        <f t="shared" ref="CP46:CP77" si="13">CO46</f>
        <v>331</v>
      </c>
      <c r="CQ46" s="14">
        <f t="shared" ref="CQ46:CQ77" si="14">CP46-CJ46</f>
        <v>227</v>
      </c>
      <c r="CR46" s="43"/>
      <c r="CS46" s="17"/>
      <c r="CT46">
        <v>289</v>
      </c>
      <c r="CV46">
        <v>42</v>
      </c>
      <c r="DC46" s="14">
        <f t="shared" ref="DC46:DC77" si="15">SUM(CS46:DB46)</f>
        <v>331</v>
      </c>
    </row>
    <row r="47" spans="1:107" x14ac:dyDescent="0.25">
      <c r="A47" s="33">
        <v>20</v>
      </c>
      <c r="B47" s="59"/>
      <c r="C47" s="56" t="s">
        <v>69</v>
      </c>
      <c r="D47" s="33" t="s">
        <v>4</v>
      </c>
      <c r="E47" s="13">
        <v>43</v>
      </c>
      <c r="F47" s="13">
        <v>73</v>
      </c>
      <c r="G47" s="13"/>
      <c r="H47" s="13">
        <v>4</v>
      </c>
      <c r="I47" s="13">
        <v>1</v>
      </c>
      <c r="J47" s="13">
        <v>9</v>
      </c>
      <c r="K47" s="13">
        <v>515</v>
      </c>
      <c r="L47" s="13">
        <v>243</v>
      </c>
      <c r="M47" s="13"/>
      <c r="N47" s="13">
        <v>31</v>
      </c>
      <c r="O47" s="13"/>
      <c r="P47" s="13">
        <v>919</v>
      </c>
      <c r="R47" s="3"/>
      <c r="S47" s="3"/>
      <c r="T47" s="3"/>
      <c r="U47" s="3"/>
      <c r="V47" s="3"/>
      <c r="X47" s="3">
        <v>3</v>
      </c>
      <c r="Y47" s="15"/>
      <c r="Z47" s="16">
        <v>45</v>
      </c>
      <c r="AA47" s="16">
        <v>270</v>
      </c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37">
        <f t="shared" si="10"/>
        <v>0</v>
      </c>
      <c r="CJ47" s="27">
        <f t="shared" si="11"/>
        <v>0</v>
      </c>
      <c r="CK47" s="22">
        <v>0</v>
      </c>
      <c r="CL47" s="22">
        <f t="shared" si="12"/>
        <v>0</v>
      </c>
      <c r="CM47" s="42"/>
      <c r="CN47" s="44"/>
      <c r="CO47" s="14">
        <f t="shared" si="9"/>
        <v>0</v>
      </c>
      <c r="CP47" s="14">
        <f t="shared" si="13"/>
        <v>0</v>
      </c>
      <c r="CQ47" s="14">
        <f t="shared" si="14"/>
        <v>0</v>
      </c>
      <c r="CR47" s="43"/>
      <c r="CS47" s="17"/>
      <c r="DC47" s="14">
        <f t="shared" si="15"/>
        <v>0</v>
      </c>
    </row>
    <row r="48" spans="1:107" x14ac:dyDescent="0.25">
      <c r="A48" s="33">
        <v>21</v>
      </c>
      <c r="B48" s="50" t="s">
        <v>71</v>
      </c>
      <c r="C48" s="56" t="s">
        <v>71</v>
      </c>
      <c r="D48" s="33" t="s">
        <v>3</v>
      </c>
      <c r="E48" s="13">
        <v>55</v>
      </c>
      <c r="F48" s="13">
        <v>206</v>
      </c>
      <c r="G48" s="13"/>
      <c r="H48" s="13">
        <v>38</v>
      </c>
      <c r="I48" s="13">
        <v>9</v>
      </c>
      <c r="J48" s="13">
        <v>102</v>
      </c>
      <c r="K48" s="13">
        <v>720</v>
      </c>
      <c r="L48" s="13">
        <v>106</v>
      </c>
      <c r="M48" s="13">
        <v>25</v>
      </c>
      <c r="N48" s="13">
        <v>259</v>
      </c>
      <c r="O48" s="13"/>
      <c r="P48" s="13">
        <v>1520</v>
      </c>
      <c r="R48" s="3"/>
      <c r="S48" s="3"/>
      <c r="T48" s="3"/>
      <c r="U48" s="3"/>
      <c r="V48" s="3"/>
      <c r="X48" s="3">
        <v>5</v>
      </c>
      <c r="Z48" s="16">
        <v>75</v>
      </c>
      <c r="AA48" s="16">
        <v>450</v>
      </c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37">
        <f t="shared" si="10"/>
        <v>0</v>
      </c>
      <c r="CJ48" s="27">
        <f t="shared" si="11"/>
        <v>0</v>
      </c>
      <c r="CK48" s="22">
        <v>0</v>
      </c>
      <c r="CL48" s="22">
        <f t="shared" si="12"/>
        <v>0</v>
      </c>
      <c r="CM48" s="42"/>
      <c r="CN48" s="44"/>
      <c r="CO48" s="14">
        <f t="shared" si="9"/>
        <v>0</v>
      </c>
      <c r="CP48" s="14">
        <f t="shared" si="13"/>
        <v>0</v>
      </c>
      <c r="CQ48" s="14">
        <f t="shared" si="14"/>
        <v>0</v>
      </c>
      <c r="CR48" s="43"/>
      <c r="CS48" s="17"/>
      <c r="DC48" s="14">
        <f t="shared" si="15"/>
        <v>0</v>
      </c>
    </row>
    <row r="49" spans="1:107" x14ac:dyDescent="0.25">
      <c r="A49" s="33">
        <v>22</v>
      </c>
      <c r="B49" s="50" t="s">
        <v>72</v>
      </c>
      <c r="C49" s="56" t="s">
        <v>72</v>
      </c>
      <c r="D49" s="33" t="s">
        <v>3</v>
      </c>
      <c r="E49" s="13">
        <v>50</v>
      </c>
      <c r="F49" s="13">
        <v>313</v>
      </c>
      <c r="G49" s="13">
        <v>1</v>
      </c>
      <c r="H49" s="13">
        <v>21</v>
      </c>
      <c r="I49" s="13">
        <v>6</v>
      </c>
      <c r="J49" s="13">
        <v>227</v>
      </c>
      <c r="K49" s="13">
        <v>711</v>
      </c>
      <c r="L49" s="13">
        <v>9</v>
      </c>
      <c r="M49" s="13">
        <v>6</v>
      </c>
      <c r="N49" s="13">
        <v>72</v>
      </c>
      <c r="O49" s="13"/>
      <c r="P49" s="13">
        <v>1416</v>
      </c>
      <c r="R49" s="3"/>
      <c r="S49" s="3"/>
      <c r="T49" s="3"/>
      <c r="U49" s="3"/>
      <c r="V49" s="3"/>
      <c r="X49" s="3">
        <v>4</v>
      </c>
      <c r="Y49" s="15"/>
      <c r="Z49" s="16">
        <v>60</v>
      </c>
      <c r="AA49" s="16">
        <v>360</v>
      </c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37">
        <f t="shared" si="10"/>
        <v>0</v>
      </c>
      <c r="CJ49" s="27">
        <f t="shared" si="11"/>
        <v>0</v>
      </c>
      <c r="CK49" s="22">
        <v>0</v>
      </c>
      <c r="CL49" s="22">
        <f t="shared" si="12"/>
        <v>0</v>
      </c>
      <c r="CM49" s="42"/>
      <c r="CN49" s="44"/>
      <c r="CO49" s="14">
        <f t="shared" si="9"/>
        <v>0</v>
      </c>
      <c r="CP49" s="14">
        <f t="shared" si="13"/>
        <v>0</v>
      </c>
      <c r="CQ49" s="14">
        <f t="shared" si="14"/>
        <v>0</v>
      </c>
      <c r="CR49" s="43"/>
      <c r="CS49" s="17"/>
      <c r="DC49" s="14">
        <f t="shared" si="15"/>
        <v>0</v>
      </c>
    </row>
    <row r="50" spans="1:107" x14ac:dyDescent="0.25">
      <c r="A50" s="33">
        <v>23</v>
      </c>
      <c r="B50" s="50" t="s">
        <v>73</v>
      </c>
      <c r="C50" s="56" t="s">
        <v>73</v>
      </c>
      <c r="D50" s="33" t="s">
        <v>3</v>
      </c>
      <c r="E50" s="13">
        <v>56</v>
      </c>
      <c r="F50" s="13">
        <v>117</v>
      </c>
      <c r="G50" s="13">
        <v>2</v>
      </c>
      <c r="H50" s="13">
        <v>23</v>
      </c>
      <c r="I50" s="13">
        <v>9</v>
      </c>
      <c r="J50" s="13">
        <v>383</v>
      </c>
      <c r="K50" s="13">
        <v>559</v>
      </c>
      <c r="L50" s="13">
        <v>642</v>
      </c>
      <c r="M50" s="13">
        <v>8</v>
      </c>
      <c r="N50" s="13">
        <v>157</v>
      </c>
      <c r="O50" s="13"/>
      <c r="P50" s="13">
        <v>1956</v>
      </c>
      <c r="R50" s="3"/>
      <c r="S50" s="3"/>
      <c r="T50" s="3"/>
      <c r="U50" s="3"/>
      <c r="V50" s="3"/>
      <c r="X50" s="3">
        <v>6</v>
      </c>
      <c r="Y50" s="15"/>
      <c r="Z50" s="16">
        <v>90</v>
      </c>
      <c r="AA50" s="16">
        <v>540</v>
      </c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>
        <v>13</v>
      </c>
      <c r="AP50" s="24">
        <v>16</v>
      </c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37">
        <f t="shared" si="10"/>
        <v>29</v>
      </c>
      <c r="CJ50" s="27">
        <f t="shared" si="11"/>
        <v>29</v>
      </c>
      <c r="CK50" s="22">
        <v>0</v>
      </c>
      <c r="CL50" s="22">
        <f t="shared" si="12"/>
        <v>29</v>
      </c>
      <c r="CM50" s="42"/>
      <c r="CN50" s="44"/>
      <c r="CO50" s="14">
        <v>11</v>
      </c>
      <c r="CP50" s="14">
        <f t="shared" si="13"/>
        <v>11</v>
      </c>
      <c r="CQ50" s="14">
        <f t="shared" si="14"/>
        <v>-18</v>
      </c>
      <c r="CR50" s="43"/>
      <c r="CS50" s="17"/>
      <c r="DC50" s="14">
        <f t="shared" si="15"/>
        <v>0</v>
      </c>
    </row>
    <row r="51" spans="1:107" x14ac:dyDescent="0.25">
      <c r="A51" s="33">
        <v>24</v>
      </c>
      <c r="B51" s="50" t="s">
        <v>74</v>
      </c>
      <c r="C51" s="56" t="s">
        <v>74</v>
      </c>
      <c r="D51" s="33" t="s">
        <v>3</v>
      </c>
      <c r="E51" s="13">
        <v>83</v>
      </c>
      <c r="F51" s="13">
        <v>173</v>
      </c>
      <c r="G51" s="13">
        <v>10</v>
      </c>
      <c r="H51" s="13">
        <v>14</v>
      </c>
      <c r="I51" s="13"/>
      <c r="J51" s="13">
        <v>198</v>
      </c>
      <c r="K51" s="13">
        <v>559</v>
      </c>
      <c r="L51" s="13">
        <v>63</v>
      </c>
      <c r="M51" s="13">
        <v>5</v>
      </c>
      <c r="N51" s="13">
        <v>38</v>
      </c>
      <c r="O51" s="13"/>
      <c r="P51" s="13">
        <v>1143</v>
      </c>
      <c r="R51" s="3"/>
      <c r="S51" s="3"/>
      <c r="T51" s="3"/>
      <c r="U51" s="3"/>
      <c r="V51" s="3"/>
      <c r="X51" s="3">
        <v>4</v>
      </c>
      <c r="Y51" s="15"/>
      <c r="Z51" s="16">
        <v>60</v>
      </c>
      <c r="AA51" s="16">
        <v>360</v>
      </c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>
        <v>1</v>
      </c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37">
        <f t="shared" si="10"/>
        <v>1</v>
      </c>
      <c r="CJ51" s="27">
        <f t="shared" si="11"/>
        <v>1</v>
      </c>
      <c r="CK51" s="22">
        <v>0</v>
      </c>
      <c r="CL51" s="22">
        <f t="shared" si="12"/>
        <v>1</v>
      </c>
      <c r="CM51" s="42"/>
      <c r="CN51" s="44"/>
      <c r="CO51" s="14">
        <f t="shared" ref="CO51:CO59" si="16">DC51</f>
        <v>0</v>
      </c>
      <c r="CP51" s="14">
        <f t="shared" si="13"/>
        <v>0</v>
      </c>
      <c r="CQ51" s="14">
        <f t="shared" si="14"/>
        <v>-1</v>
      </c>
      <c r="CR51" s="43"/>
      <c r="CS51" s="17"/>
      <c r="DC51" s="14">
        <f t="shared" si="15"/>
        <v>0</v>
      </c>
    </row>
    <row r="52" spans="1:107" x14ac:dyDescent="0.25">
      <c r="A52" s="33">
        <v>26</v>
      </c>
      <c r="B52" s="50" t="s">
        <v>75</v>
      </c>
      <c r="C52" s="56" t="s">
        <v>75</v>
      </c>
      <c r="D52" s="33" t="s">
        <v>3</v>
      </c>
      <c r="E52" s="13">
        <v>52</v>
      </c>
      <c r="F52" s="13">
        <v>245</v>
      </c>
      <c r="G52" s="13">
        <v>3</v>
      </c>
      <c r="H52" s="13">
        <v>45</v>
      </c>
      <c r="I52" s="13"/>
      <c r="J52" s="13">
        <v>46</v>
      </c>
      <c r="K52" s="13">
        <v>367</v>
      </c>
      <c r="L52" s="13">
        <v>607</v>
      </c>
      <c r="M52" s="13"/>
      <c r="N52" s="13">
        <v>34</v>
      </c>
      <c r="O52" s="13"/>
      <c r="P52" s="13">
        <v>1399</v>
      </c>
      <c r="R52" s="3"/>
      <c r="S52" s="3"/>
      <c r="T52" s="3"/>
      <c r="U52" s="3"/>
      <c r="V52" s="3"/>
      <c r="X52" s="3">
        <v>4</v>
      </c>
      <c r="Y52" s="15"/>
      <c r="Z52" s="16">
        <v>60</v>
      </c>
      <c r="AA52" s="16">
        <v>360</v>
      </c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>
        <v>1</v>
      </c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37">
        <f t="shared" si="10"/>
        <v>1</v>
      </c>
      <c r="CJ52" s="27">
        <f t="shared" si="11"/>
        <v>1</v>
      </c>
      <c r="CK52" s="22">
        <v>0</v>
      </c>
      <c r="CL52" s="22">
        <f t="shared" si="12"/>
        <v>1</v>
      </c>
      <c r="CM52" s="42"/>
      <c r="CN52" s="44"/>
      <c r="CO52" s="14">
        <f t="shared" si="16"/>
        <v>48</v>
      </c>
      <c r="CP52" s="14">
        <f t="shared" si="13"/>
        <v>48</v>
      </c>
      <c r="CQ52" s="14">
        <f t="shared" si="14"/>
        <v>47</v>
      </c>
      <c r="CR52" s="43"/>
      <c r="CS52" s="17"/>
      <c r="CU52">
        <v>3</v>
      </c>
      <c r="CV52">
        <v>45</v>
      </c>
      <c r="DC52" s="14">
        <f t="shared" si="15"/>
        <v>48</v>
      </c>
    </row>
    <row r="53" spans="1:107" x14ac:dyDescent="0.25">
      <c r="A53" s="33">
        <v>27</v>
      </c>
      <c r="B53" s="50" t="s">
        <v>76</v>
      </c>
      <c r="C53" s="56" t="s">
        <v>76</v>
      </c>
      <c r="D53" s="33" t="s">
        <v>3</v>
      </c>
      <c r="E53" s="13">
        <v>93</v>
      </c>
      <c r="F53" s="13">
        <v>93</v>
      </c>
      <c r="G53" s="13"/>
      <c r="H53" s="13">
        <v>5</v>
      </c>
      <c r="I53" s="13"/>
      <c r="J53" s="13">
        <v>283</v>
      </c>
      <c r="K53" s="13">
        <v>600</v>
      </c>
      <c r="L53" s="13">
        <v>12</v>
      </c>
      <c r="M53" s="13">
        <v>19</v>
      </c>
      <c r="N53" s="13">
        <v>70</v>
      </c>
      <c r="O53" s="13"/>
      <c r="P53" s="13">
        <v>1175</v>
      </c>
      <c r="R53" s="3"/>
      <c r="S53" s="3"/>
      <c r="T53" s="3"/>
      <c r="U53" s="3"/>
      <c r="V53" s="3"/>
      <c r="X53" s="3">
        <v>4</v>
      </c>
      <c r="Y53" s="15"/>
      <c r="Z53" s="16">
        <v>60</v>
      </c>
      <c r="AA53" s="16">
        <v>360</v>
      </c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37">
        <f t="shared" si="10"/>
        <v>0</v>
      </c>
      <c r="CJ53" s="27">
        <f t="shared" si="11"/>
        <v>0</v>
      </c>
      <c r="CK53" s="22">
        <v>0</v>
      </c>
      <c r="CL53" s="22">
        <f t="shared" si="12"/>
        <v>0</v>
      </c>
      <c r="CM53" s="42"/>
      <c r="CN53" s="44"/>
      <c r="CO53" s="14">
        <f t="shared" si="16"/>
        <v>0</v>
      </c>
      <c r="CP53" s="14">
        <f t="shared" si="13"/>
        <v>0</v>
      </c>
      <c r="CQ53" s="14">
        <f t="shared" si="14"/>
        <v>0</v>
      </c>
      <c r="CR53" s="43"/>
      <c r="CS53" s="17"/>
      <c r="DC53" s="14">
        <f t="shared" si="15"/>
        <v>0</v>
      </c>
    </row>
    <row r="54" spans="1:107" x14ac:dyDescent="0.25">
      <c r="A54" s="33">
        <v>28</v>
      </c>
      <c r="B54" s="50" t="s">
        <v>77</v>
      </c>
      <c r="C54" s="56" t="s">
        <v>77</v>
      </c>
      <c r="D54" s="33" t="s">
        <v>3</v>
      </c>
      <c r="E54" s="13">
        <v>44</v>
      </c>
      <c r="F54" s="13">
        <v>164</v>
      </c>
      <c r="G54" s="13"/>
      <c r="H54" s="13"/>
      <c r="I54" s="13"/>
      <c r="J54" s="13">
        <v>71</v>
      </c>
      <c r="K54" s="13">
        <v>804</v>
      </c>
      <c r="L54" s="13">
        <v>112</v>
      </c>
      <c r="M54" s="13">
        <v>8</v>
      </c>
      <c r="N54" s="13">
        <v>47</v>
      </c>
      <c r="O54" s="13"/>
      <c r="P54" s="13">
        <v>1250</v>
      </c>
      <c r="R54" s="3"/>
      <c r="S54" s="3"/>
      <c r="T54" s="3"/>
      <c r="U54" s="3"/>
      <c r="V54" s="3"/>
      <c r="X54" s="3">
        <v>4</v>
      </c>
      <c r="Y54" s="15"/>
      <c r="Z54" s="16">
        <v>60</v>
      </c>
      <c r="AA54" s="16">
        <v>360</v>
      </c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37">
        <f t="shared" si="10"/>
        <v>0</v>
      </c>
      <c r="CJ54" s="27">
        <f t="shared" si="11"/>
        <v>0</v>
      </c>
      <c r="CK54" s="22">
        <v>0</v>
      </c>
      <c r="CL54" s="22">
        <f t="shared" si="12"/>
        <v>0</v>
      </c>
      <c r="CM54" s="42"/>
      <c r="CN54" s="44"/>
      <c r="CO54" s="14">
        <f t="shared" si="16"/>
        <v>26</v>
      </c>
      <c r="CP54" s="14">
        <f t="shared" si="13"/>
        <v>26</v>
      </c>
      <c r="CQ54" s="14">
        <f t="shared" si="14"/>
        <v>26</v>
      </c>
      <c r="CR54" s="43"/>
      <c r="CS54" s="17">
        <v>26</v>
      </c>
      <c r="DC54" s="14">
        <f t="shared" si="15"/>
        <v>26</v>
      </c>
    </row>
    <row r="55" spans="1:107" x14ac:dyDescent="0.25">
      <c r="A55" s="33">
        <v>29</v>
      </c>
      <c r="B55" s="50" t="s">
        <v>78</v>
      </c>
      <c r="C55" s="56" t="s">
        <v>78</v>
      </c>
      <c r="D55" s="33" t="s">
        <v>3</v>
      </c>
      <c r="E55" s="13">
        <v>33</v>
      </c>
      <c r="F55" s="13">
        <v>106</v>
      </c>
      <c r="G55" s="13">
        <v>1</v>
      </c>
      <c r="H55" s="13">
        <v>93</v>
      </c>
      <c r="I55" s="13"/>
      <c r="J55" s="13">
        <v>60</v>
      </c>
      <c r="K55" s="13">
        <v>702</v>
      </c>
      <c r="L55" s="13">
        <v>92</v>
      </c>
      <c r="M55" s="13"/>
      <c r="N55" s="13">
        <v>103</v>
      </c>
      <c r="O55" s="13"/>
      <c r="P55" s="13">
        <v>1190</v>
      </c>
      <c r="R55" s="3"/>
      <c r="S55" s="3"/>
      <c r="T55" s="3"/>
      <c r="U55" s="3"/>
      <c r="V55" s="3"/>
      <c r="X55" s="3">
        <v>4</v>
      </c>
      <c r="Y55" s="15"/>
      <c r="Z55" s="16">
        <v>60</v>
      </c>
      <c r="AA55" s="16">
        <v>360</v>
      </c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>
        <v>11</v>
      </c>
      <c r="AN55" s="24">
        <v>7</v>
      </c>
      <c r="AO55" s="24"/>
      <c r="AP55" s="24">
        <v>3</v>
      </c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37">
        <f t="shared" si="10"/>
        <v>21</v>
      </c>
      <c r="CJ55" s="27">
        <f t="shared" si="11"/>
        <v>21</v>
      </c>
      <c r="CK55" s="22">
        <v>0</v>
      </c>
      <c r="CL55" s="22">
        <f t="shared" si="12"/>
        <v>21</v>
      </c>
      <c r="CM55" s="42"/>
      <c r="CN55" s="44"/>
      <c r="CO55" s="14">
        <f t="shared" si="16"/>
        <v>30</v>
      </c>
      <c r="CP55" s="14">
        <f t="shared" si="13"/>
        <v>30</v>
      </c>
      <c r="CQ55" s="14">
        <f t="shared" si="14"/>
        <v>9</v>
      </c>
      <c r="CR55" s="43"/>
      <c r="CS55" s="17"/>
      <c r="CV55">
        <v>30</v>
      </c>
      <c r="DC55" s="14">
        <f t="shared" si="15"/>
        <v>30</v>
      </c>
    </row>
    <row r="56" spans="1:107" x14ac:dyDescent="0.25">
      <c r="A56" s="33">
        <v>30</v>
      </c>
      <c r="B56" s="50" t="s">
        <v>79</v>
      </c>
      <c r="C56" s="56" t="s">
        <v>79</v>
      </c>
      <c r="D56" s="33" t="s">
        <v>4</v>
      </c>
      <c r="E56" s="13">
        <v>27</v>
      </c>
      <c r="F56" s="13">
        <v>41</v>
      </c>
      <c r="G56" s="13"/>
      <c r="H56" s="13">
        <v>2</v>
      </c>
      <c r="I56" s="13"/>
      <c r="J56" s="13">
        <v>100</v>
      </c>
      <c r="K56" s="13">
        <v>687</v>
      </c>
      <c r="L56" s="13"/>
      <c r="M56" s="13">
        <v>5</v>
      </c>
      <c r="N56" s="13">
        <v>61</v>
      </c>
      <c r="O56" s="13"/>
      <c r="P56" s="13">
        <v>923</v>
      </c>
      <c r="R56" s="3"/>
      <c r="S56" s="3"/>
      <c r="T56" s="3"/>
      <c r="U56" s="3"/>
      <c r="V56" s="3"/>
      <c r="X56" s="3">
        <v>3</v>
      </c>
      <c r="Y56" s="15"/>
      <c r="Z56" s="16">
        <v>45</v>
      </c>
      <c r="AA56" s="16">
        <v>270</v>
      </c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37">
        <f t="shared" si="10"/>
        <v>0</v>
      </c>
      <c r="CJ56" s="27">
        <f t="shared" si="11"/>
        <v>0</v>
      </c>
      <c r="CK56" s="22">
        <v>0</v>
      </c>
      <c r="CL56" s="22">
        <f t="shared" si="12"/>
        <v>0</v>
      </c>
      <c r="CM56" s="42"/>
      <c r="CN56" s="44"/>
      <c r="CO56" s="14">
        <f t="shared" si="16"/>
        <v>0</v>
      </c>
      <c r="CP56" s="14">
        <f t="shared" si="13"/>
        <v>0</v>
      </c>
      <c r="CQ56" s="14">
        <f t="shared" si="14"/>
        <v>0</v>
      </c>
      <c r="CR56" s="43"/>
      <c r="CS56" s="17"/>
      <c r="DC56" s="14">
        <f t="shared" si="15"/>
        <v>0</v>
      </c>
    </row>
    <row r="57" spans="1:107" x14ac:dyDescent="0.25">
      <c r="A57" s="33">
        <v>31</v>
      </c>
      <c r="B57" s="46" t="s">
        <v>80</v>
      </c>
      <c r="C57" s="56" t="s">
        <v>80</v>
      </c>
      <c r="D57" s="33" t="s">
        <v>3</v>
      </c>
      <c r="E57" s="13">
        <v>43</v>
      </c>
      <c r="F57" s="13">
        <v>141</v>
      </c>
      <c r="G57" s="13">
        <v>14</v>
      </c>
      <c r="H57" s="13">
        <v>45</v>
      </c>
      <c r="I57" s="13">
        <v>1</v>
      </c>
      <c r="J57" s="13">
        <v>107</v>
      </c>
      <c r="K57" s="13">
        <v>586</v>
      </c>
      <c r="L57" s="13">
        <v>132</v>
      </c>
      <c r="M57" s="13"/>
      <c r="N57" s="13">
        <v>20</v>
      </c>
      <c r="O57" s="13"/>
      <c r="P57" s="13">
        <v>1089</v>
      </c>
      <c r="R57" s="3"/>
      <c r="S57" s="3"/>
      <c r="T57" s="3"/>
      <c r="U57" s="3"/>
      <c r="V57" s="3"/>
      <c r="X57" s="3">
        <v>4</v>
      </c>
      <c r="Y57" s="15"/>
      <c r="Z57" s="16">
        <v>60</v>
      </c>
      <c r="AA57" s="16">
        <v>360</v>
      </c>
      <c r="AC57" s="24"/>
      <c r="AD57" s="24"/>
      <c r="AE57" s="24"/>
      <c r="AF57" s="24"/>
      <c r="AG57" s="24"/>
      <c r="AH57" s="24"/>
      <c r="AI57" s="24"/>
      <c r="AJ57" s="24"/>
      <c r="AK57" s="24">
        <v>4</v>
      </c>
      <c r="AL57" s="24">
        <v>10</v>
      </c>
      <c r="AM57" s="24">
        <v>5</v>
      </c>
      <c r="AN57" s="24">
        <v>8</v>
      </c>
      <c r="AO57" s="24">
        <v>4</v>
      </c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37">
        <f t="shared" si="10"/>
        <v>31</v>
      </c>
      <c r="CJ57" s="27">
        <f t="shared" si="11"/>
        <v>31</v>
      </c>
      <c r="CK57" s="22">
        <v>0</v>
      </c>
      <c r="CL57" s="22">
        <f t="shared" si="12"/>
        <v>31</v>
      </c>
      <c r="CM57" s="42"/>
      <c r="CN57" s="44"/>
      <c r="CO57" s="14">
        <f t="shared" si="16"/>
        <v>92</v>
      </c>
      <c r="CP57" s="14">
        <f t="shared" si="13"/>
        <v>92</v>
      </c>
      <c r="CQ57" s="14">
        <f t="shared" si="14"/>
        <v>61</v>
      </c>
      <c r="CR57" s="43"/>
      <c r="CS57" s="17">
        <v>46</v>
      </c>
      <c r="CV57">
        <v>45</v>
      </c>
      <c r="CW57">
        <v>1</v>
      </c>
      <c r="DC57" s="14">
        <f t="shared" si="15"/>
        <v>92</v>
      </c>
    </row>
    <row r="58" spans="1:107" x14ac:dyDescent="0.25">
      <c r="A58" s="33">
        <v>31</v>
      </c>
      <c r="B58" s="49" t="s">
        <v>81</v>
      </c>
      <c r="C58" s="56" t="s">
        <v>81</v>
      </c>
      <c r="D58" s="33" t="s">
        <v>3</v>
      </c>
      <c r="E58" s="13">
        <v>46</v>
      </c>
      <c r="F58" s="13">
        <v>92</v>
      </c>
      <c r="G58" s="13">
        <v>32</v>
      </c>
      <c r="H58" s="13">
        <v>3</v>
      </c>
      <c r="I58" s="13">
        <v>1</v>
      </c>
      <c r="J58" s="13">
        <v>28</v>
      </c>
      <c r="K58" s="13">
        <v>297</v>
      </c>
      <c r="L58" s="13">
        <v>108</v>
      </c>
      <c r="M58" s="13"/>
      <c r="N58" s="13">
        <v>7</v>
      </c>
      <c r="O58" s="13"/>
      <c r="P58" s="13">
        <v>614</v>
      </c>
      <c r="R58" s="3"/>
      <c r="S58" s="3"/>
      <c r="T58" s="3"/>
      <c r="U58" s="3"/>
      <c r="V58" s="3"/>
      <c r="X58" s="3">
        <v>2</v>
      </c>
      <c r="Y58" s="15"/>
      <c r="Z58" s="16">
        <v>30</v>
      </c>
      <c r="AA58" s="16">
        <v>180</v>
      </c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37">
        <f t="shared" si="10"/>
        <v>0</v>
      </c>
      <c r="CJ58" s="27">
        <f t="shared" si="11"/>
        <v>0</v>
      </c>
      <c r="CK58" s="22">
        <v>0</v>
      </c>
      <c r="CL58" s="22">
        <f t="shared" si="12"/>
        <v>0</v>
      </c>
      <c r="CM58" s="42"/>
      <c r="CN58" s="44"/>
      <c r="CO58" s="14">
        <f t="shared" si="16"/>
        <v>0</v>
      </c>
      <c r="CP58" s="14">
        <f t="shared" si="13"/>
        <v>0</v>
      </c>
      <c r="CQ58" s="14">
        <f t="shared" si="14"/>
        <v>0</v>
      </c>
      <c r="CR58" s="43"/>
      <c r="CS58" s="17"/>
      <c r="DC58" s="14">
        <f t="shared" si="15"/>
        <v>0</v>
      </c>
    </row>
    <row r="59" spans="1:107" x14ac:dyDescent="0.25">
      <c r="A59" s="33">
        <v>32</v>
      </c>
      <c r="B59" s="50" t="s">
        <v>82</v>
      </c>
      <c r="C59" s="56" t="s">
        <v>82</v>
      </c>
      <c r="D59" s="33" t="s">
        <v>4</v>
      </c>
      <c r="E59" s="13">
        <v>22</v>
      </c>
      <c r="F59" s="13">
        <v>35</v>
      </c>
      <c r="G59" s="13">
        <v>30</v>
      </c>
      <c r="H59" s="13">
        <v>32</v>
      </c>
      <c r="I59" s="13"/>
      <c r="J59" s="13">
        <v>211</v>
      </c>
      <c r="K59" s="13">
        <v>501</v>
      </c>
      <c r="L59" s="13">
        <v>715</v>
      </c>
      <c r="M59" s="13">
        <v>2</v>
      </c>
      <c r="N59" s="13">
        <v>19</v>
      </c>
      <c r="O59" s="13"/>
      <c r="P59" s="13">
        <v>1567</v>
      </c>
      <c r="R59" s="3"/>
      <c r="S59" s="3"/>
      <c r="T59" s="3"/>
      <c r="U59" s="3"/>
      <c r="V59" s="3"/>
      <c r="X59" s="3">
        <v>5</v>
      </c>
      <c r="Y59" s="15"/>
      <c r="Z59" s="16">
        <v>75</v>
      </c>
      <c r="AA59" s="16">
        <v>450</v>
      </c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37">
        <f t="shared" si="10"/>
        <v>0</v>
      </c>
      <c r="CJ59" s="27">
        <f t="shared" si="11"/>
        <v>0</v>
      </c>
      <c r="CK59" s="22">
        <v>0</v>
      </c>
      <c r="CL59" s="22">
        <f t="shared" si="12"/>
        <v>0</v>
      </c>
      <c r="CM59" s="42"/>
      <c r="CN59" s="44"/>
      <c r="CO59" s="14">
        <f t="shared" si="16"/>
        <v>0</v>
      </c>
      <c r="CP59" s="14">
        <f t="shared" si="13"/>
        <v>0</v>
      </c>
      <c r="CQ59" s="14">
        <f t="shared" si="14"/>
        <v>0</v>
      </c>
      <c r="CR59" s="43"/>
      <c r="CS59" s="17"/>
      <c r="DC59" s="14">
        <f t="shared" si="15"/>
        <v>0</v>
      </c>
    </row>
    <row r="60" spans="1:107" x14ac:dyDescent="0.25">
      <c r="A60" s="33">
        <v>33</v>
      </c>
      <c r="B60" s="50" t="s">
        <v>83</v>
      </c>
      <c r="C60" s="56" t="s">
        <v>83</v>
      </c>
      <c r="D60" s="33" t="s">
        <v>3</v>
      </c>
      <c r="E60" s="13">
        <v>4</v>
      </c>
      <c r="F60" s="13">
        <v>48</v>
      </c>
      <c r="G60" s="13"/>
      <c r="H60" s="13"/>
      <c r="I60" s="13">
        <v>1</v>
      </c>
      <c r="J60" s="13">
        <v>11</v>
      </c>
      <c r="K60" s="13">
        <v>50</v>
      </c>
      <c r="L60" s="13">
        <v>86</v>
      </c>
      <c r="M60" s="13"/>
      <c r="N60" s="13">
        <v>10</v>
      </c>
      <c r="O60" s="13"/>
      <c r="P60" s="13">
        <v>210</v>
      </c>
      <c r="R60" s="3"/>
      <c r="S60" s="3"/>
      <c r="T60" s="3"/>
      <c r="U60" s="3"/>
      <c r="V60" s="3"/>
      <c r="X60" s="3">
        <v>1</v>
      </c>
      <c r="Y60" s="15"/>
      <c r="Z60" s="16">
        <v>15</v>
      </c>
      <c r="AA60" s="16">
        <v>90</v>
      </c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37">
        <f t="shared" si="10"/>
        <v>0</v>
      </c>
      <c r="CJ60" s="27">
        <f t="shared" si="11"/>
        <v>0</v>
      </c>
      <c r="CK60" s="22">
        <v>0</v>
      </c>
      <c r="CL60" s="22">
        <f t="shared" si="12"/>
        <v>0</v>
      </c>
      <c r="CM60" s="42"/>
      <c r="CN60" s="44"/>
      <c r="CO60" s="14">
        <v>86</v>
      </c>
      <c r="CP60" s="14">
        <f t="shared" si="13"/>
        <v>86</v>
      </c>
      <c r="CQ60" s="14">
        <f t="shared" si="14"/>
        <v>86</v>
      </c>
      <c r="CR60" s="43"/>
      <c r="CS60" s="17"/>
      <c r="DC60" s="14">
        <f t="shared" si="15"/>
        <v>0</v>
      </c>
    </row>
    <row r="61" spans="1:107" x14ac:dyDescent="0.25">
      <c r="A61" s="33">
        <v>34</v>
      </c>
      <c r="B61" s="50" t="s">
        <v>84</v>
      </c>
      <c r="C61" s="56" t="s">
        <v>84</v>
      </c>
      <c r="D61" s="33" t="s">
        <v>3</v>
      </c>
      <c r="E61" s="13">
        <v>44</v>
      </c>
      <c r="F61" s="13">
        <v>226</v>
      </c>
      <c r="G61" s="13">
        <v>31</v>
      </c>
      <c r="H61" s="13">
        <v>15</v>
      </c>
      <c r="I61" s="13">
        <v>1</v>
      </c>
      <c r="J61" s="13">
        <v>57</v>
      </c>
      <c r="K61" s="13">
        <v>394</v>
      </c>
      <c r="L61" s="13">
        <v>325</v>
      </c>
      <c r="M61" s="13">
        <v>7</v>
      </c>
      <c r="N61" s="13">
        <v>75</v>
      </c>
      <c r="O61" s="13"/>
      <c r="P61" s="13">
        <v>1175</v>
      </c>
      <c r="R61" s="3"/>
      <c r="S61" s="3"/>
      <c r="T61" s="3"/>
      <c r="U61" s="3"/>
      <c r="V61" s="3"/>
      <c r="X61" s="3">
        <v>4</v>
      </c>
      <c r="Y61" s="15"/>
      <c r="Z61" s="16">
        <v>60</v>
      </c>
      <c r="AA61" s="16">
        <v>360</v>
      </c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>
        <v>7</v>
      </c>
      <c r="AN61" s="24">
        <v>4</v>
      </c>
      <c r="AO61" s="24"/>
      <c r="AP61" s="24">
        <v>10</v>
      </c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37">
        <f t="shared" si="10"/>
        <v>21</v>
      </c>
      <c r="CJ61" s="27">
        <f t="shared" si="11"/>
        <v>21</v>
      </c>
      <c r="CK61" s="22">
        <v>0</v>
      </c>
      <c r="CL61" s="22">
        <f t="shared" si="12"/>
        <v>21</v>
      </c>
      <c r="CM61" s="42"/>
      <c r="CN61" s="44"/>
      <c r="CO61" s="14">
        <f t="shared" ref="CO61:CO76" si="17">DC61</f>
        <v>32</v>
      </c>
      <c r="CP61" s="14">
        <f t="shared" si="13"/>
        <v>32</v>
      </c>
      <c r="CQ61" s="14">
        <f t="shared" si="14"/>
        <v>11</v>
      </c>
      <c r="CR61" s="43"/>
      <c r="CS61" s="17"/>
      <c r="CU61">
        <v>31</v>
      </c>
      <c r="CW61">
        <v>1</v>
      </c>
      <c r="DC61" s="14">
        <f t="shared" si="15"/>
        <v>32</v>
      </c>
    </row>
    <row r="62" spans="1:107" x14ac:dyDescent="0.25">
      <c r="A62" s="33">
        <v>35</v>
      </c>
      <c r="B62" s="50" t="s">
        <v>85</v>
      </c>
      <c r="C62" s="56" t="s">
        <v>85</v>
      </c>
      <c r="D62" s="33" t="s">
        <v>3</v>
      </c>
      <c r="E62" s="13">
        <v>40</v>
      </c>
      <c r="F62" s="13">
        <v>114</v>
      </c>
      <c r="G62" s="13">
        <v>17</v>
      </c>
      <c r="H62" s="13">
        <v>12</v>
      </c>
      <c r="I62" s="13">
        <v>12</v>
      </c>
      <c r="J62" s="13">
        <v>88</v>
      </c>
      <c r="K62" s="13">
        <v>516</v>
      </c>
      <c r="L62" s="13">
        <v>25</v>
      </c>
      <c r="M62" s="13">
        <v>13</v>
      </c>
      <c r="N62" s="13">
        <v>94</v>
      </c>
      <c r="O62" s="13"/>
      <c r="P62" s="13">
        <v>931</v>
      </c>
      <c r="R62" s="3"/>
      <c r="S62" s="3"/>
      <c r="T62" s="3"/>
      <c r="U62" s="3"/>
      <c r="V62" s="3"/>
      <c r="X62" s="3">
        <v>3</v>
      </c>
      <c r="Y62" s="15"/>
      <c r="Z62" s="16">
        <v>45</v>
      </c>
      <c r="AA62" s="16">
        <v>270</v>
      </c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37">
        <f t="shared" si="10"/>
        <v>0</v>
      </c>
      <c r="CJ62" s="27">
        <f t="shared" si="11"/>
        <v>0</v>
      </c>
      <c r="CK62" s="22">
        <v>0</v>
      </c>
      <c r="CL62" s="22">
        <f t="shared" si="12"/>
        <v>0</v>
      </c>
      <c r="CM62" s="42"/>
      <c r="CN62" s="44"/>
      <c r="CO62" s="14">
        <f t="shared" si="17"/>
        <v>0</v>
      </c>
      <c r="CP62" s="14">
        <f t="shared" si="13"/>
        <v>0</v>
      </c>
      <c r="CQ62" s="14">
        <f t="shared" si="14"/>
        <v>0</v>
      </c>
      <c r="CR62" s="43"/>
      <c r="CS62" s="17"/>
      <c r="DC62" s="14">
        <f t="shared" si="15"/>
        <v>0</v>
      </c>
    </row>
    <row r="63" spans="1:107" x14ac:dyDescent="0.25">
      <c r="A63" s="33">
        <v>36</v>
      </c>
      <c r="B63" s="50" t="s">
        <v>86</v>
      </c>
      <c r="C63" s="56" t="s">
        <v>86</v>
      </c>
      <c r="D63" s="33" t="s">
        <v>87</v>
      </c>
      <c r="E63" s="13">
        <v>14</v>
      </c>
      <c r="F63" s="13">
        <v>156</v>
      </c>
      <c r="G63" s="13"/>
      <c r="H63" s="13">
        <v>62</v>
      </c>
      <c r="I63" s="13"/>
      <c r="J63" s="13">
        <v>22</v>
      </c>
      <c r="K63" s="13">
        <v>163</v>
      </c>
      <c r="L63" s="13">
        <v>439</v>
      </c>
      <c r="M63" s="13">
        <v>1</v>
      </c>
      <c r="N63" s="13">
        <v>48</v>
      </c>
      <c r="O63" s="13"/>
      <c r="P63" s="13">
        <v>905</v>
      </c>
      <c r="R63" s="3"/>
      <c r="S63" s="3"/>
      <c r="T63" s="3"/>
      <c r="U63" s="3"/>
      <c r="V63" s="3"/>
      <c r="X63" s="3">
        <v>3</v>
      </c>
      <c r="Y63" s="15"/>
      <c r="Z63" s="16">
        <v>45</v>
      </c>
      <c r="AA63" s="16">
        <v>270</v>
      </c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37">
        <f t="shared" si="10"/>
        <v>0</v>
      </c>
      <c r="CJ63" s="27">
        <f t="shared" si="11"/>
        <v>0</v>
      </c>
      <c r="CK63" s="22">
        <v>0</v>
      </c>
      <c r="CL63" s="22">
        <f t="shared" si="12"/>
        <v>0</v>
      </c>
      <c r="CM63" s="42"/>
      <c r="CN63" s="44"/>
      <c r="CO63" s="14">
        <f t="shared" si="17"/>
        <v>0</v>
      </c>
      <c r="CP63" s="14">
        <f t="shared" si="13"/>
        <v>0</v>
      </c>
      <c r="CQ63" s="14">
        <f t="shared" si="14"/>
        <v>0</v>
      </c>
      <c r="CR63" s="43"/>
      <c r="CS63" s="17"/>
      <c r="DC63" s="14">
        <f t="shared" si="15"/>
        <v>0</v>
      </c>
    </row>
    <row r="64" spans="1:107" x14ac:dyDescent="0.25">
      <c r="A64" s="33">
        <v>37</v>
      </c>
      <c r="B64" s="50" t="s">
        <v>88</v>
      </c>
      <c r="C64" s="56" t="s">
        <v>88</v>
      </c>
      <c r="D64" s="33" t="s">
        <v>3</v>
      </c>
      <c r="E64" s="13">
        <v>26</v>
      </c>
      <c r="F64" s="13">
        <v>129</v>
      </c>
      <c r="G64" s="13"/>
      <c r="H64" s="13">
        <v>3</v>
      </c>
      <c r="I64" s="13">
        <v>17</v>
      </c>
      <c r="J64" s="13">
        <v>184</v>
      </c>
      <c r="K64" s="13">
        <v>1001</v>
      </c>
      <c r="L64" s="13"/>
      <c r="M64" s="13">
        <v>1</v>
      </c>
      <c r="N64" s="13">
        <v>103</v>
      </c>
      <c r="O64" s="13"/>
      <c r="P64" s="13">
        <v>1464</v>
      </c>
      <c r="R64" s="3"/>
      <c r="S64" s="3"/>
      <c r="T64" s="3"/>
      <c r="U64" s="3"/>
      <c r="V64" s="3"/>
      <c r="X64" s="3">
        <v>5</v>
      </c>
      <c r="Z64" s="16">
        <v>75</v>
      </c>
      <c r="AA64" s="16">
        <v>450</v>
      </c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>
        <v>10</v>
      </c>
      <c r="AO64" s="24"/>
      <c r="AP64" s="24">
        <v>22</v>
      </c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37">
        <f t="shared" si="10"/>
        <v>32</v>
      </c>
      <c r="CJ64" s="27">
        <f t="shared" si="11"/>
        <v>32</v>
      </c>
      <c r="CK64" s="22">
        <v>0</v>
      </c>
      <c r="CL64" s="22">
        <f t="shared" si="12"/>
        <v>32</v>
      </c>
      <c r="CM64" s="42"/>
      <c r="CN64" s="44"/>
      <c r="CO64" s="14">
        <f t="shared" si="17"/>
        <v>12</v>
      </c>
      <c r="CP64" s="14">
        <f t="shared" si="13"/>
        <v>12</v>
      </c>
      <c r="CQ64" s="14">
        <f t="shared" si="14"/>
        <v>-20</v>
      </c>
      <c r="CR64" s="43"/>
      <c r="CS64" s="17"/>
      <c r="CV64">
        <v>3</v>
      </c>
      <c r="DB64">
        <v>9</v>
      </c>
      <c r="DC64" s="14">
        <f t="shared" si="15"/>
        <v>12</v>
      </c>
    </row>
    <row r="65" spans="1:107" x14ac:dyDescent="0.25">
      <c r="A65" s="33">
        <v>38</v>
      </c>
      <c r="B65" s="50" t="s">
        <v>89</v>
      </c>
      <c r="C65" s="56" t="s">
        <v>89</v>
      </c>
      <c r="D65" s="33" t="s">
        <v>4</v>
      </c>
      <c r="E65" s="13">
        <v>16</v>
      </c>
      <c r="F65" s="13">
        <v>134</v>
      </c>
      <c r="G65" s="13"/>
      <c r="H65" s="13">
        <v>2</v>
      </c>
      <c r="I65" s="13">
        <v>3</v>
      </c>
      <c r="J65" s="13">
        <v>25</v>
      </c>
      <c r="K65" s="13">
        <v>240</v>
      </c>
      <c r="L65" s="13">
        <v>271</v>
      </c>
      <c r="M65" s="13">
        <v>2</v>
      </c>
      <c r="N65" s="13">
        <v>42</v>
      </c>
      <c r="O65" s="13"/>
      <c r="P65" s="13">
        <v>735</v>
      </c>
      <c r="R65" s="3"/>
      <c r="S65" s="3"/>
      <c r="T65" s="3"/>
      <c r="U65" s="3"/>
      <c r="V65" s="3"/>
      <c r="X65" s="3">
        <v>3</v>
      </c>
      <c r="Y65" s="15"/>
      <c r="Z65" s="16">
        <v>45</v>
      </c>
      <c r="AA65" s="16">
        <v>270</v>
      </c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37">
        <f t="shared" si="10"/>
        <v>0</v>
      </c>
      <c r="CJ65" s="27">
        <f t="shared" si="11"/>
        <v>0</v>
      </c>
      <c r="CK65" s="22">
        <v>0</v>
      </c>
      <c r="CL65" s="22">
        <f t="shared" si="12"/>
        <v>0</v>
      </c>
      <c r="CM65" s="42"/>
      <c r="CN65" s="44"/>
      <c r="CO65" s="14">
        <f t="shared" si="17"/>
        <v>0</v>
      </c>
      <c r="CP65" s="14">
        <f t="shared" si="13"/>
        <v>0</v>
      </c>
      <c r="CQ65" s="14">
        <f t="shared" si="14"/>
        <v>0</v>
      </c>
      <c r="CR65" s="43"/>
      <c r="CS65" s="17"/>
      <c r="DC65" s="14">
        <f t="shared" si="15"/>
        <v>0</v>
      </c>
    </row>
    <row r="66" spans="1:107" x14ac:dyDescent="0.25">
      <c r="A66" s="33">
        <v>39</v>
      </c>
      <c r="B66" s="50" t="s">
        <v>90</v>
      </c>
      <c r="C66" s="56" t="s">
        <v>90</v>
      </c>
      <c r="D66" s="33" t="s">
        <v>4</v>
      </c>
      <c r="E66" s="13">
        <v>11</v>
      </c>
      <c r="F66" s="13">
        <v>85</v>
      </c>
      <c r="G66" s="13">
        <v>1</v>
      </c>
      <c r="H66" s="13">
        <v>1</v>
      </c>
      <c r="I66" s="13">
        <v>1</v>
      </c>
      <c r="J66" s="13">
        <v>31</v>
      </c>
      <c r="K66" s="13">
        <v>352</v>
      </c>
      <c r="L66" s="13">
        <v>315</v>
      </c>
      <c r="M66" s="13">
        <v>5</v>
      </c>
      <c r="N66" s="13">
        <v>44</v>
      </c>
      <c r="O66" s="13"/>
      <c r="P66" s="13">
        <v>846</v>
      </c>
      <c r="R66" s="3"/>
      <c r="S66" s="3"/>
      <c r="T66" s="3"/>
      <c r="U66" s="3"/>
      <c r="V66" s="3"/>
      <c r="X66" s="3">
        <v>3</v>
      </c>
      <c r="Y66" s="15"/>
      <c r="Z66" s="16">
        <v>45</v>
      </c>
      <c r="AA66" s="16">
        <v>270</v>
      </c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37">
        <f t="shared" si="10"/>
        <v>0</v>
      </c>
      <c r="CJ66" s="27">
        <f t="shared" si="11"/>
        <v>0</v>
      </c>
      <c r="CK66" s="22">
        <v>0</v>
      </c>
      <c r="CL66" s="22">
        <f t="shared" si="12"/>
        <v>0</v>
      </c>
      <c r="CM66" s="42"/>
      <c r="CN66" s="44"/>
      <c r="CO66" s="14">
        <f t="shared" si="17"/>
        <v>0</v>
      </c>
      <c r="CP66" s="14">
        <f t="shared" si="13"/>
        <v>0</v>
      </c>
      <c r="CQ66" s="14">
        <f t="shared" si="14"/>
        <v>0</v>
      </c>
      <c r="CR66" s="43"/>
      <c r="CS66" s="17"/>
      <c r="DC66" s="14">
        <f t="shared" si="15"/>
        <v>0</v>
      </c>
    </row>
    <row r="67" spans="1:107" x14ac:dyDescent="0.25">
      <c r="A67" s="33">
        <v>44</v>
      </c>
      <c r="B67" s="50" t="s">
        <v>91</v>
      </c>
      <c r="C67" s="56" t="s">
        <v>91</v>
      </c>
      <c r="D67" s="33" t="s">
        <v>4</v>
      </c>
      <c r="E67" s="13">
        <v>3</v>
      </c>
      <c r="F67" s="13">
        <v>67</v>
      </c>
      <c r="G67" s="13"/>
      <c r="H67" s="13">
        <v>3</v>
      </c>
      <c r="I67" s="13"/>
      <c r="J67" s="13">
        <v>126</v>
      </c>
      <c r="K67" s="13">
        <v>544</v>
      </c>
      <c r="L67" s="13">
        <v>176</v>
      </c>
      <c r="M67" s="13"/>
      <c r="N67" s="13">
        <v>57</v>
      </c>
      <c r="O67" s="13"/>
      <c r="P67" s="13">
        <v>976</v>
      </c>
      <c r="R67" s="3"/>
      <c r="S67" s="3"/>
      <c r="T67" s="3"/>
      <c r="U67" s="3"/>
      <c r="V67" s="3"/>
      <c r="X67" s="3">
        <v>3</v>
      </c>
      <c r="Y67" s="15"/>
      <c r="Z67" s="16">
        <v>45</v>
      </c>
      <c r="AA67" s="16">
        <v>270</v>
      </c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37">
        <f t="shared" si="10"/>
        <v>0</v>
      </c>
      <c r="CJ67" s="27">
        <f t="shared" si="11"/>
        <v>0</v>
      </c>
      <c r="CK67" s="22">
        <v>0</v>
      </c>
      <c r="CL67" s="22">
        <f t="shared" si="12"/>
        <v>0</v>
      </c>
      <c r="CM67" s="42"/>
      <c r="CN67" s="44"/>
      <c r="CO67" s="14">
        <f t="shared" si="17"/>
        <v>0</v>
      </c>
      <c r="CP67" s="14">
        <f t="shared" si="13"/>
        <v>0</v>
      </c>
      <c r="CQ67" s="14">
        <f t="shared" si="14"/>
        <v>0</v>
      </c>
      <c r="CR67" s="43"/>
      <c r="CS67" s="17"/>
      <c r="DC67" s="14">
        <f t="shared" si="15"/>
        <v>0</v>
      </c>
    </row>
    <row r="68" spans="1:107" x14ac:dyDescent="0.25">
      <c r="A68" s="33">
        <v>45</v>
      </c>
      <c r="B68" s="46" t="s">
        <v>92</v>
      </c>
      <c r="C68" s="56" t="s">
        <v>92</v>
      </c>
      <c r="D68" s="33" t="s">
        <v>4</v>
      </c>
      <c r="E68" s="13">
        <v>35</v>
      </c>
      <c r="F68" s="13">
        <v>180</v>
      </c>
      <c r="G68" s="13">
        <v>5</v>
      </c>
      <c r="H68" s="13">
        <v>8</v>
      </c>
      <c r="I68" s="13">
        <v>23</v>
      </c>
      <c r="J68" s="13">
        <v>67</v>
      </c>
      <c r="K68" s="13">
        <v>884</v>
      </c>
      <c r="L68" s="13">
        <v>53</v>
      </c>
      <c r="M68" s="13">
        <v>5</v>
      </c>
      <c r="N68" s="13">
        <v>154</v>
      </c>
      <c r="O68" s="13"/>
      <c r="P68" s="13">
        <v>1414</v>
      </c>
      <c r="R68" s="3"/>
      <c r="S68" s="3"/>
      <c r="T68" s="3"/>
      <c r="U68" s="3"/>
      <c r="V68" s="3"/>
      <c r="X68" s="3">
        <v>4</v>
      </c>
      <c r="Y68" s="15"/>
      <c r="Z68" s="16">
        <v>60</v>
      </c>
      <c r="AA68" s="16">
        <v>360</v>
      </c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37">
        <f t="shared" si="10"/>
        <v>0</v>
      </c>
      <c r="CJ68" s="27">
        <f t="shared" si="11"/>
        <v>0</v>
      </c>
      <c r="CK68" s="22">
        <v>0</v>
      </c>
      <c r="CL68" s="22">
        <f t="shared" si="12"/>
        <v>0</v>
      </c>
      <c r="CM68" s="42"/>
      <c r="CN68" s="44"/>
      <c r="CO68" s="14">
        <f t="shared" si="17"/>
        <v>0</v>
      </c>
      <c r="CP68" s="14">
        <f t="shared" si="13"/>
        <v>0</v>
      </c>
      <c r="CQ68" s="14">
        <f t="shared" si="14"/>
        <v>0</v>
      </c>
      <c r="CR68" s="43"/>
      <c r="CS68" s="17"/>
      <c r="DC68" s="14">
        <f t="shared" si="15"/>
        <v>0</v>
      </c>
    </row>
    <row r="69" spans="1:107" ht="15" customHeight="1" x14ac:dyDescent="0.25">
      <c r="A69" s="33">
        <v>47</v>
      </c>
      <c r="B69" s="49" t="s">
        <v>93</v>
      </c>
      <c r="C69" s="56" t="s">
        <v>93</v>
      </c>
      <c r="D69" s="33" t="s">
        <v>3</v>
      </c>
      <c r="E69" s="13">
        <v>6</v>
      </c>
      <c r="F69" s="13">
        <v>53</v>
      </c>
      <c r="G69" s="13"/>
      <c r="H69" s="13">
        <v>1</v>
      </c>
      <c r="I69" s="13">
        <v>1</v>
      </c>
      <c r="J69" s="13">
        <v>63</v>
      </c>
      <c r="K69" s="13">
        <v>278</v>
      </c>
      <c r="L69" s="13">
        <v>35</v>
      </c>
      <c r="M69" s="13">
        <v>4</v>
      </c>
      <c r="N69" s="13">
        <v>54</v>
      </c>
      <c r="O69" s="13"/>
      <c r="P69" s="13">
        <v>495</v>
      </c>
      <c r="R69" s="3"/>
      <c r="S69" s="3"/>
      <c r="T69" s="3"/>
      <c r="U69" s="3"/>
      <c r="V69" s="3"/>
      <c r="X69" s="3">
        <v>2</v>
      </c>
      <c r="Y69" s="15"/>
      <c r="Z69" s="16">
        <v>30</v>
      </c>
      <c r="AA69" s="16">
        <v>180</v>
      </c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37">
        <f t="shared" si="10"/>
        <v>0</v>
      </c>
      <c r="CJ69" s="27">
        <f t="shared" si="11"/>
        <v>0</v>
      </c>
      <c r="CK69" s="22">
        <v>0</v>
      </c>
      <c r="CL69" s="22">
        <f t="shared" si="12"/>
        <v>0</v>
      </c>
      <c r="CM69" s="42"/>
      <c r="CN69" s="44"/>
      <c r="CO69" s="14">
        <f t="shared" si="17"/>
        <v>0</v>
      </c>
      <c r="CP69" s="14">
        <f t="shared" si="13"/>
        <v>0</v>
      </c>
      <c r="CQ69" s="14">
        <f t="shared" si="14"/>
        <v>0</v>
      </c>
      <c r="CR69" s="43"/>
      <c r="CS69" s="17"/>
      <c r="DC69" s="14">
        <f t="shared" si="15"/>
        <v>0</v>
      </c>
    </row>
    <row r="70" spans="1:107" ht="15" customHeight="1" x14ac:dyDescent="0.25">
      <c r="A70" s="33">
        <v>48</v>
      </c>
      <c r="B70" s="50" t="s">
        <v>94</v>
      </c>
      <c r="C70" s="56" t="s">
        <v>94</v>
      </c>
      <c r="D70" s="33" t="s">
        <v>3</v>
      </c>
      <c r="E70" s="13">
        <v>26</v>
      </c>
      <c r="F70" s="13">
        <v>300</v>
      </c>
      <c r="G70" s="13">
        <v>2</v>
      </c>
      <c r="H70" s="13">
        <v>12</v>
      </c>
      <c r="I70" s="13">
        <v>58</v>
      </c>
      <c r="J70" s="13">
        <v>62</v>
      </c>
      <c r="K70" s="13">
        <v>833</v>
      </c>
      <c r="L70" s="13">
        <v>123</v>
      </c>
      <c r="M70" s="13">
        <v>2</v>
      </c>
      <c r="N70" s="13">
        <v>178</v>
      </c>
      <c r="O70" s="13"/>
      <c r="P70" s="13">
        <v>1596</v>
      </c>
      <c r="R70" s="3"/>
      <c r="S70" s="3"/>
      <c r="T70" s="3"/>
      <c r="U70" s="3"/>
      <c r="V70" s="3"/>
      <c r="X70" s="3">
        <v>5</v>
      </c>
      <c r="Y70" s="15"/>
      <c r="Z70" s="16">
        <v>75</v>
      </c>
      <c r="AA70" s="16">
        <v>450</v>
      </c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37">
        <f t="shared" si="10"/>
        <v>0</v>
      </c>
      <c r="CJ70" s="27">
        <f t="shared" si="11"/>
        <v>0</v>
      </c>
      <c r="CK70" s="22">
        <v>0</v>
      </c>
      <c r="CL70" s="22">
        <f t="shared" si="12"/>
        <v>0</v>
      </c>
      <c r="CM70" s="42"/>
      <c r="CN70" s="44"/>
      <c r="CO70" s="14">
        <f t="shared" si="17"/>
        <v>2</v>
      </c>
      <c r="CP70" s="14">
        <f t="shared" si="13"/>
        <v>2</v>
      </c>
      <c r="CQ70" s="14">
        <f t="shared" si="14"/>
        <v>2</v>
      </c>
      <c r="CR70" s="43"/>
      <c r="CS70" s="17"/>
      <c r="CW70">
        <v>2</v>
      </c>
      <c r="DC70" s="14">
        <f t="shared" si="15"/>
        <v>2</v>
      </c>
    </row>
    <row r="71" spans="1:107" ht="15" customHeight="1" x14ac:dyDescent="0.25">
      <c r="A71" s="33" t="s">
        <v>95</v>
      </c>
      <c r="B71" s="50" t="s">
        <v>96</v>
      </c>
      <c r="C71" s="56" t="s">
        <v>96</v>
      </c>
      <c r="D71" s="33" t="s">
        <v>3</v>
      </c>
      <c r="E71" s="13">
        <v>63</v>
      </c>
      <c r="F71" s="13">
        <v>75</v>
      </c>
      <c r="G71" s="13"/>
      <c r="H71" s="13"/>
      <c r="I71" s="13">
        <v>1</v>
      </c>
      <c r="J71" s="13">
        <v>92</v>
      </c>
      <c r="K71" s="13">
        <v>476</v>
      </c>
      <c r="L71" s="13">
        <v>3</v>
      </c>
      <c r="M71" s="13">
        <v>11</v>
      </c>
      <c r="N71" s="13">
        <v>84</v>
      </c>
      <c r="O71" s="13"/>
      <c r="P71" s="13">
        <v>805</v>
      </c>
      <c r="R71" s="3"/>
      <c r="S71" s="3"/>
      <c r="T71" s="3"/>
      <c r="U71" s="3"/>
      <c r="V71" s="3"/>
      <c r="X71" s="3">
        <v>3</v>
      </c>
      <c r="Y71" s="15"/>
      <c r="Z71" s="16">
        <v>45</v>
      </c>
      <c r="AA71" s="16">
        <v>270</v>
      </c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37">
        <f t="shared" si="10"/>
        <v>0</v>
      </c>
      <c r="CJ71" s="27">
        <f t="shared" si="11"/>
        <v>0</v>
      </c>
      <c r="CK71" s="22">
        <v>0</v>
      </c>
      <c r="CL71" s="22">
        <f t="shared" si="12"/>
        <v>0</v>
      </c>
      <c r="CM71" s="42"/>
      <c r="CN71" s="44"/>
      <c r="CO71" s="14">
        <f t="shared" si="17"/>
        <v>1</v>
      </c>
      <c r="CP71" s="14">
        <f t="shared" si="13"/>
        <v>1</v>
      </c>
      <c r="CQ71" s="14">
        <f t="shared" si="14"/>
        <v>1</v>
      </c>
      <c r="CR71" s="43"/>
      <c r="CS71" s="17"/>
      <c r="CW71">
        <v>1</v>
      </c>
      <c r="DC71" s="14">
        <f t="shared" si="15"/>
        <v>1</v>
      </c>
    </row>
    <row r="72" spans="1:107" x14ac:dyDescent="0.25">
      <c r="A72" s="33" t="s">
        <v>95</v>
      </c>
      <c r="B72" s="50" t="s">
        <v>97</v>
      </c>
      <c r="C72" s="56" t="s">
        <v>97</v>
      </c>
      <c r="D72" s="33" t="s">
        <v>4</v>
      </c>
      <c r="E72" s="13">
        <v>25</v>
      </c>
      <c r="F72" s="13">
        <v>47</v>
      </c>
      <c r="G72" s="13">
        <v>1</v>
      </c>
      <c r="H72" s="13">
        <v>12</v>
      </c>
      <c r="I72" s="13"/>
      <c r="J72" s="13">
        <v>43</v>
      </c>
      <c r="K72" s="13">
        <v>349</v>
      </c>
      <c r="L72" s="13">
        <v>57</v>
      </c>
      <c r="M72" s="13"/>
      <c r="N72" s="13">
        <v>10</v>
      </c>
      <c r="O72" s="13"/>
      <c r="P72" s="13">
        <v>544</v>
      </c>
      <c r="R72" s="3"/>
      <c r="S72" s="3"/>
      <c r="T72" s="3"/>
      <c r="U72" s="3"/>
      <c r="V72" s="3"/>
      <c r="X72" s="3">
        <v>2</v>
      </c>
      <c r="Y72" s="15"/>
      <c r="Z72" s="16">
        <v>30</v>
      </c>
      <c r="AA72" s="16">
        <v>180</v>
      </c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37">
        <f t="shared" si="10"/>
        <v>0</v>
      </c>
      <c r="CJ72" s="27">
        <f t="shared" si="11"/>
        <v>0</v>
      </c>
      <c r="CK72" s="22">
        <v>0</v>
      </c>
      <c r="CL72" s="22">
        <f t="shared" si="12"/>
        <v>0</v>
      </c>
      <c r="CM72" s="42"/>
      <c r="CN72" s="44"/>
      <c r="CO72" s="14">
        <f t="shared" si="17"/>
        <v>0</v>
      </c>
      <c r="CP72" s="14">
        <f t="shared" si="13"/>
        <v>0</v>
      </c>
      <c r="CQ72" s="14">
        <f t="shared" si="14"/>
        <v>0</v>
      </c>
      <c r="CR72" s="43"/>
      <c r="CS72" s="17"/>
      <c r="DC72" s="14">
        <f t="shared" si="15"/>
        <v>0</v>
      </c>
    </row>
    <row r="73" spans="1:107" ht="15" customHeight="1" x14ac:dyDescent="0.25">
      <c r="A73" s="33" t="s">
        <v>95</v>
      </c>
      <c r="B73" s="50" t="s">
        <v>98</v>
      </c>
      <c r="C73" s="56" t="s">
        <v>98</v>
      </c>
      <c r="D73" s="33" t="s">
        <v>4</v>
      </c>
      <c r="E73" s="13">
        <v>20</v>
      </c>
      <c r="F73" s="13">
        <v>125</v>
      </c>
      <c r="G73" s="13">
        <v>4</v>
      </c>
      <c r="H73" s="13">
        <v>11</v>
      </c>
      <c r="I73" s="13">
        <v>1</v>
      </c>
      <c r="J73" s="13">
        <v>72</v>
      </c>
      <c r="K73" s="13">
        <v>515</v>
      </c>
      <c r="L73" s="13">
        <v>65</v>
      </c>
      <c r="M73" s="13">
        <v>2</v>
      </c>
      <c r="N73" s="13">
        <v>99</v>
      </c>
      <c r="O73" s="13"/>
      <c r="P73" s="13">
        <v>914</v>
      </c>
      <c r="R73" s="3"/>
      <c r="S73" s="3"/>
      <c r="T73" s="3"/>
      <c r="U73" s="3"/>
      <c r="V73" s="3"/>
      <c r="X73" s="3">
        <v>3</v>
      </c>
      <c r="Y73" s="15"/>
      <c r="Z73" s="16">
        <v>45</v>
      </c>
      <c r="AA73" s="16">
        <v>270</v>
      </c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37">
        <f t="shared" si="10"/>
        <v>0</v>
      </c>
      <c r="CJ73" s="27">
        <f t="shared" si="11"/>
        <v>0</v>
      </c>
      <c r="CK73" s="22">
        <v>0</v>
      </c>
      <c r="CL73" s="22">
        <f t="shared" si="12"/>
        <v>0</v>
      </c>
      <c r="CM73" s="42"/>
      <c r="CN73" s="44"/>
      <c r="CO73" s="14">
        <f t="shared" si="17"/>
        <v>0</v>
      </c>
      <c r="CP73" s="14">
        <f t="shared" si="13"/>
        <v>0</v>
      </c>
      <c r="CQ73" s="14">
        <f t="shared" si="14"/>
        <v>0</v>
      </c>
      <c r="CR73" s="43"/>
      <c r="CS73" s="17"/>
      <c r="DC73" s="14">
        <f t="shared" si="15"/>
        <v>0</v>
      </c>
    </row>
    <row r="74" spans="1:107" x14ac:dyDescent="0.25">
      <c r="A74" s="33" t="s">
        <v>95</v>
      </c>
      <c r="B74" s="50" t="s">
        <v>99</v>
      </c>
      <c r="C74" s="56" t="s">
        <v>99</v>
      </c>
      <c r="D74" s="33" t="s">
        <v>3</v>
      </c>
      <c r="E74" s="13">
        <v>14</v>
      </c>
      <c r="F74" s="13">
        <v>211</v>
      </c>
      <c r="G74" s="13"/>
      <c r="H74" s="13">
        <v>25</v>
      </c>
      <c r="I74" s="13">
        <v>19</v>
      </c>
      <c r="J74" s="13">
        <v>46</v>
      </c>
      <c r="K74" s="13">
        <v>1059</v>
      </c>
      <c r="L74" s="13">
        <v>286</v>
      </c>
      <c r="M74" s="13">
        <v>2</v>
      </c>
      <c r="N74" s="13">
        <v>104</v>
      </c>
      <c r="O74" s="13"/>
      <c r="P74" s="13">
        <v>1766</v>
      </c>
      <c r="R74" s="3"/>
      <c r="S74" s="3"/>
      <c r="T74" s="3"/>
      <c r="U74" s="3"/>
      <c r="V74" s="3"/>
      <c r="X74" s="3">
        <v>5</v>
      </c>
      <c r="Y74" s="15"/>
      <c r="Z74" s="16">
        <v>75</v>
      </c>
      <c r="AA74" s="16">
        <v>450</v>
      </c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37">
        <f t="shared" si="10"/>
        <v>0</v>
      </c>
      <c r="CJ74" s="27">
        <f t="shared" si="11"/>
        <v>0</v>
      </c>
      <c r="CK74" s="22">
        <v>0</v>
      </c>
      <c r="CL74" s="22">
        <f t="shared" si="12"/>
        <v>0</v>
      </c>
      <c r="CM74" s="42"/>
      <c r="CN74" s="44"/>
      <c r="CO74" s="14">
        <f t="shared" si="17"/>
        <v>0</v>
      </c>
      <c r="CP74" s="14">
        <f t="shared" si="13"/>
        <v>0</v>
      </c>
      <c r="CQ74" s="14">
        <f t="shared" si="14"/>
        <v>0</v>
      </c>
      <c r="CR74" s="43"/>
      <c r="CS74" s="17"/>
      <c r="DC74" s="14">
        <f t="shared" si="15"/>
        <v>0</v>
      </c>
    </row>
    <row r="75" spans="1:107" ht="15" customHeight="1" x14ac:dyDescent="0.25">
      <c r="A75" s="33" t="s">
        <v>95</v>
      </c>
      <c r="B75" s="50" t="s">
        <v>100</v>
      </c>
      <c r="C75" s="56" t="s">
        <v>100</v>
      </c>
      <c r="D75" s="33" t="s">
        <v>3</v>
      </c>
      <c r="E75" s="13">
        <v>18</v>
      </c>
      <c r="F75" s="13">
        <v>106</v>
      </c>
      <c r="G75" s="13"/>
      <c r="H75" s="13">
        <v>1</v>
      </c>
      <c r="I75" s="13">
        <v>2</v>
      </c>
      <c r="J75" s="13">
        <v>44</v>
      </c>
      <c r="K75" s="13">
        <v>289</v>
      </c>
      <c r="L75" s="13">
        <v>189</v>
      </c>
      <c r="M75" s="13">
        <v>15</v>
      </c>
      <c r="N75" s="13">
        <v>37</v>
      </c>
      <c r="O75" s="13"/>
      <c r="P75" s="13">
        <v>701</v>
      </c>
      <c r="R75" s="3"/>
      <c r="S75" s="3"/>
      <c r="T75" s="3"/>
      <c r="U75" s="3"/>
      <c r="V75" s="3"/>
      <c r="X75" s="3">
        <v>2</v>
      </c>
      <c r="Y75" s="15"/>
      <c r="Z75" s="16">
        <v>30</v>
      </c>
      <c r="AA75" s="16">
        <v>180</v>
      </c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>
        <v>1</v>
      </c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37">
        <f t="shared" si="10"/>
        <v>1</v>
      </c>
      <c r="CJ75" s="27">
        <f t="shared" si="11"/>
        <v>1</v>
      </c>
      <c r="CK75" s="22">
        <v>0</v>
      </c>
      <c r="CL75" s="22">
        <f t="shared" si="12"/>
        <v>1</v>
      </c>
      <c r="CM75" s="42"/>
      <c r="CN75" s="44"/>
      <c r="CO75" s="14">
        <f t="shared" si="17"/>
        <v>1</v>
      </c>
      <c r="CP75" s="14">
        <f t="shared" si="13"/>
        <v>1</v>
      </c>
      <c r="CQ75" s="14">
        <f t="shared" si="14"/>
        <v>0</v>
      </c>
      <c r="CR75" s="43"/>
      <c r="CS75" s="17"/>
      <c r="CV75">
        <v>1</v>
      </c>
      <c r="DC75" s="14">
        <f t="shared" si="15"/>
        <v>1</v>
      </c>
    </row>
    <row r="76" spans="1:107" ht="15" customHeight="1" thickBot="1" x14ac:dyDescent="0.3">
      <c r="A76" s="33" t="s">
        <v>95</v>
      </c>
      <c r="B76" s="50" t="s">
        <v>101</v>
      </c>
      <c r="C76" s="56" t="s">
        <v>101</v>
      </c>
      <c r="D76" s="33" t="s">
        <v>4</v>
      </c>
      <c r="E76" s="13">
        <v>51</v>
      </c>
      <c r="F76" s="13">
        <v>98</v>
      </c>
      <c r="G76" s="13">
        <v>13</v>
      </c>
      <c r="H76" s="13">
        <v>10</v>
      </c>
      <c r="I76" s="13"/>
      <c r="J76" s="13">
        <v>83</v>
      </c>
      <c r="K76" s="13">
        <v>307</v>
      </c>
      <c r="L76" s="13">
        <v>33</v>
      </c>
      <c r="M76" s="13">
        <v>1</v>
      </c>
      <c r="N76" s="13">
        <v>52</v>
      </c>
      <c r="O76" s="13"/>
      <c r="P76" s="13">
        <v>648</v>
      </c>
      <c r="R76" s="3"/>
      <c r="S76" s="3"/>
      <c r="T76" s="3"/>
      <c r="U76" s="3"/>
      <c r="V76" s="3"/>
      <c r="X76" s="3">
        <v>2</v>
      </c>
      <c r="Y76" s="15"/>
      <c r="Z76" s="16">
        <v>30</v>
      </c>
      <c r="AA76" s="16">
        <v>180</v>
      </c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37">
        <f t="shared" si="10"/>
        <v>0</v>
      </c>
      <c r="CJ76" s="27">
        <f t="shared" si="11"/>
        <v>0</v>
      </c>
      <c r="CK76" s="22">
        <v>0</v>
      </c>
      <c r="CL76" s="22">
        <f t="shared" si="12"/>
        <v>0</v>
      </c>
      <c r="CM76" s="22"/>
      <c r="CN76" s="22"/>
      <c r="CO76" s="14">
        <f t="shared" si="17"/>
        <v>0</v>
      </c>
      <c r="CP76" s="14">
        <f t="shared" si="13"/>
        <v>0</v>
      </c>
      <c r="CQ76" s="14">
        <f t="shared" si="14"/>
        <v>0</v>
      </c>
      <c r="CR76" s="43"/>
      <c r="CS76" s="17"/>
      <c r="DC76" s="14">
        <f t="shared" si="15"/>
        <v>0</v>
      </c>
    </row>
    <row r="77" spans="1:107" ht="15.75" customHeight="1" thickTop="1" x14ac:dyDescent="0.25">
      <c r="A77" s="18"/>
      <c r="B77" s="18" t="s">
        <v>29</v>
      </c>
      <c r="C77" s="18"/>
      <c r="D77" s="18"/>
      <c r="E77" s="19">
        <v>2806</v>
      </c>
      <c r="F77" s="19">
        <v>7613</v>
      </c>
      <c r="G77" s="19">
        <v>906</v>
      </c>
      <c r="H77" s="19">
        <v>1831</v>
      </c>
      <c r="I77" s="19">
        <v>508</v>
      </c>
      <c r="J77" s="19">
        <v>12735</v>
      </c>
      <c r="K77" s="19">
        <v>41025</v>
      </c>
      <c r="L77" s="19">
        <v>11566</v>
      </c>
      <c r="M77" s="19">
        <v>1072</v>
      </c>
      <c r="N77" s="19">
        <v>5966</v>
      </c>
      <c r="O77" s="19">
        <v>0</v>
      </c>
      <c r="P77" s="19">
        <v>86028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X77" s="20">
        <v>274</v>
      </c>
      <c r="Z77" s="19">
        <v>4110</v>
      </c>
      <c r="AA77" s="19">
        <v>24660</v>
      </c>
      <c r="AC77" s="25">
        <f t="shared" ref="AC77:BH77" si="18">+SUM(AC14:AC76)</f>
        <v>0</v>
      </c>
      <c r="AD77" s="25">
        <f t="shared" si="18"/>
        <v>0</v>
      </c>
      <c r="AE77" s="25">
        <f t="shared" si="18"/>
        <v>0</v>
      </c>
      <c r="AF77" s="25">
        <f t="shared" si="18"/>
        <v>0</v>
      </c>
      <c r="AG77" s="25">
        <f t="shared" si="18"/>
        <v>0</v>
      </c>
      <c r="AH77" s="25">
        <f t="shared" si="18"/>
        <v>52</v>
      </c>
      <c r="AI77" s="25">
        <f t="shared" si="18"/>
        <v>0</v>
      </c>
      <c r="AJ77" s="25">
        <f t="shared" si="18"/>
        <v>24</v>
      </c>
      <c r="AK77" s="25">
        <f t="shared" si="18"/>
        <v>54</v>
      </c>
      <c r="AL77" s="25">
        <f t="shared" si="18"/>
        <v>66</v>
      </c>
      <c r="AM77" s="25">
        <f t="shared" si="18"/>
        <v>103</v>
      </c>
      <c r="AN77" s="25">
        <f t="shared" si="18"/>
        <v>187</v>
      </c>
      <c r="AO77" s="25">
        <f t="shared" si="18"/>
        <v>122</v>
      </c>
      <c r="AP77" s="25">
        <f t="shared" si="18"/>
        <v>76</v>
      </c>
      <c r="AQ77" s="25">
        <f t="shared" si="18"/>
        <v>0</v>
      </c>
      <c r="AR77" s="25">
        <f t="shared" si="18"/>
        <v>0</v>
      </c>
      <c r="AS77" s="25">
        <f t="shared" si="18"/>
        <v>0</v>
      </c>
      <c r="AT77" s="25">
        <f t="shared" si="18"/>
        <v>0</v>
      </c>
      <c r="AU77" s="25">
        <f t="shared" si="18"/>
        <v>0</v>
      </c>
      <c r="AV77" s="25">
        <f t="shared" si="18"/>
        <v>0</v>
      </c>
      <c r="AW77" s="25">
        <f t="shared" si="18"/>
        <v>0</v>
      </c>
      <c r="AX77" s="25">
        <f t="shared" si="18"/>
        <v>0</v>
      </c>
      <c r="AY77" s="25">
        <f t="shared" si="18"/>
        <v>0</v>
      </c>
      <c r="AZ77" s="25">
        <f t="shared" si="18"/>
        <v>0</v>
      </c>
      <c r="BA77" s="25">
        <f t="shared" si="18"/>
        <v>0</v>
      </c>
      <c r="BB77" s="25">
        <f t="shared" si="18"/>
        <v>0</v>
      </c>
      <c r="BC77" s="25">
        <f t="shared" si="18"/>
        <v>0</v>
      </c>
      <c r="BD77" s="25">
        <f t="shared" si="18"/>
        <v>0</v>
      </c>
      <c r="BE77" s="25">
        <f t="shared" si="18"/>
        <v>0</v>
      </c>
      <c r="BF77" s="25">
        <f t="shared" si="18"/>
        <v>0</v>
      </c>
      <c r="BG77" s="25">
        <f t="shared" si="18"/>
        <v>0</v>
      </c>
      <c r="BH77" s="25">
        <f t="shared" si="18"/>
        <v>0</v>
      </c>
      <c r="BI77" s="25">
        <f t="shared" ref="BI77:CN77" si="19">+SUM(BI14:BI76)</f>
        <v>0</v>
      </c>
      <c r="BJ77" s="25">
        <f t="shared" si="19"/>
        <v>0</v>
      </c>
      <c r="BK77" s="25">
        <f t="shared" si="19"/>
        <v>0</v>
      </c>
      <c r="BL77" s="25">
        <f t="shared" si="19"/>
        <v>0</v>
      </c>
      <c r="BM77" s="25">
        <f t="shared" si="19"/>
        <v>0</v>
      </c>
      <c r="BN77" s="25">
        <f t="shared" si="19"/>
        <v>0</v>
      </c>
      <c r="BO77" s="25">
        <f t="shared" si="19"/>
        <v>0</v>
      </c>
      <c r="BP77" s="25">
        <f t="shared" si="19"/>
        <v>0</v>
      </c>
      <c r="BQ77" s="25">
        <f t="shared" si="19"/>
        <v>0</v>
      </c>
      <c r="BR77" s="25">
        <f t="shared" si="19"/>
        <v>0</v>
      </c>
      <c r="BS77" s="25">
        <f t="shared" si="19"/>
        <v>0</v>
      </c>
      <c r="BT77" s="25">
        <f t="shared" si="19"/>
        <v>0</v>
      </c>
      <c r="BU77" s="25">
        <f t="shared" si="19"/>
        <v>0</v>
      </c>
      <c r="BV77" s="25">
        <f t="shared" si="19"/>
        <v>0</v>
      </c>
      <c r="BW77" s="25">
        <f t="shared" si="19"/>
        <v>0</v>
      </c>
      <c r="BX77" s="25">
        <f t="shared" si="19"/>
        <v>0</v>
      </c>
      <c r="BY77" s="25">
        <f t="shared" si="19"/>
        <v>0</v>
      </c>
      <c r="BZ77" s="25">
        <f t="shared" si="19"/>
        <v>0</v>
      </c>
      <c r="CA77" s="25">
        <f t="shared" si="19"/>
        <v>0</v>
      </c>
      <c r="CB77" s="25">
        <f t="shared" si="19"/>
        <v>0</v>
      </c>
      <c r="CC77" s="25">
        <f t="shared" si="19"/>
        <v>0</v>
      </c>
      <c r="CD77" s="25">
        <f t="shared" si="19"/>
        <v>0</v>
      </c>
      <c r="CE77" s="25">
        <f t="shared" si="19"/>
        <v>0</v>
      </c>
      <c r="CF77" s="25">
        <f t="shared" si="19"/>
        <v>0</v>
      </c>
      <c r="CG77" s="25">
        <f t="shared" si="19"/>
        <v>0</v>
      </c>
      <c r="CH77" s="25">
        <f t="shared" si="19"/>
        <v>684</v>
      </c>
      <c r="CJ77" s="25">
        <f>+SUM(CJ14:CJ76)</f>
        <v>684</v>
      </c>
      <c r="CK77" s="25">
        <f>+SUM(CK14:CK76)</f>
        <v>0</v>
      </c>
      <c r="CL77" s="25">
        <f>+SUM(CL14:CL76)</f>
        <v>684</v>
      </c>
      <c r="CM77" s="25"/>
      <c r="CN77" s="25"/>
      <c r="CO77" s="25">
        <f>+SUM(CO14:CO76)</f>
        <v>2098</v>
      </c>
      <c r="CP77" s="25">
        <f>+SUM(CP14:CP76)</f>
        <v>2098</v>
      </c>
      <c r="CQ77" s="25">
        <f>+SUM(CQ14:CQ76)</f>
        <v>1414</v>
      </c>
    </row>
    <row r="78" spans="1:107" x14ac:dyDescent="0.25"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</row>
    <row r="79" spans="1:107" x14ac:dyDescent="0.25">
      <c r="B79" s="53" t="s">
        <v>103</v>
      </c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R79" s="52"/>
      <c r="S79" s="52"/>
      <c r="T79" s="52"/>
      <c r="U79" s="52"/>
      <c r="V79" s="52"/>
      <c r="X79" s="55"/>
      <c r="Z79" s="52"/>
      <c r="AA79" s="52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53" t="s">
        <v>103</v>
      </c>
      <c r="CJ79" s="53"/>
      <c r="CK79" s="53"/>
      <c r="CL79" s="53"/>
    </row>
    <row r="80" spans="1:107" x14ac:dyDescent="0.25">
      <c r="A80" s="33"/>
      <c r="B80" s="50" t="s">
        <v>104</v>
      </c>
      <c r="C80" s="47" t="s">
        <v>104</v>
      </c>
      <c r="D80" s="33" t="s">
        <v>105</v>
      </c>
      <c r="E80" s="13">
        <v>4</v>
      </c>
      <c r="F80" s="13">
        <v>5</v>
      </c>
      <c r="G80" s="13">
        <v>1</v>
      </c>
      <c r="H80" s="13">
        <v>13</v>
      </c>
      <c r="I80" s="13">
        <v>3</v>
      </c>
      <c r="J80" s="13">
        <v>37</v>
      </c>
      <c r="K80" s="13">
        <v>30</v>
      </c>
      <c r="L80" s="13">
        <v>85</v>
      </c>
      <c r="M80" s="13">
        <v>769</v>
      </c>
      <c r="N80" s="13">
        <v>15</v>
      </c>
      <c r="O80" s="13">
        <v>120</v>
      </c>
      <c r="P80" s="13">
        <v>1082</v>
      </c>
      <c r="R80" s="3"/>
      <c r="S80" s="3"/>
      <c r="T80" s="3"/>
      <c r="U80" s="3"/>
      <c r="V80" s="3"/>
      <c r="X80" s="3">
        <v>4</v>
      </c>
      <c r="Z80" s="16">
        <v>60</v>
      </c>
      <c r="AA80" s="16">
        <v>360</v>
      </c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37">
        <f>+SUM(AC80:CG80)</f>
        <v>0</v>
      </c>
      <c r="CJ80" s="27">
        <v>0</v>
      </c>
      <c r="CK80" s="22">
        <v>0</v>
      </c>
      <c r="CL80" s="22">
        <v>0</v>
      </c>
      <c r="CM80" s="42"/>
      <c r="CN80" s="44"/>
      <c r="CO80" s="14"/>
      <c r="CP80" s="14"/>
      <c r="CQ80" s="14"/>
    </row>
    <row r="81" spans="1:95" x14ac:dyDescent="0.25">
      <c r="A81" s="33"/>
      <c r="B81" s="50" t="s">
        <v>106</v>
      </c>
      <c r="C81" s="47" t="s">
        <v>106</v>
      </c>
      <c r="D81" s="33" t="s">
        <v>107</v>
      </c>
      <c r="E81" s="13"/>
      <c r="F81" s="13">
        <v>11</v>
      </c>
      <c r="G81" s="13">
        <v>7</v>
      </c>
      <c r="H81" s="13">
        <v>11</v>
      </c>
      <c r="I81" s="13"/>
      <c r="J81" s="13">
        <v>18</v>
      </c>
      <c r="K81" s="13">
        <v>49</v>
      </c>
      <c r="L81" s="13">
        <v>72</v>
      </c>
      <c r="M81" s="13">
        <v>1022</v>
      </c>
      <c r="N81" s="13">
        <v>9</v>
      </c>
      <c r="O81" s="13">
        <v>110</v>
      </c>
      <c r="P81" s="13">
        <v>1309</v>
      </c>
      <c r="R81" s="3"/>
      <c r="S81" s="3"/>
      <c r="T81" s="3"/>
      <c r="U81" s="3"/>
      <c r="V81" s="3"/>
      <c r="X81" s="3">
        <v>4</v>
      </c>
      <c r="Y81" s="15"/>
      <c r="Z81" s="16">
        <v>60</v>
      </c>
      <c r="AA81" s="16">
        <v>360</v>
      </c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37">
        <f>+SUM(AC81:CG81)</f>
        <v>0</v>
      </c>
      <c r="CJ81" s="27">
        <v>0</v>
      </c>
      <c r="CK81" s="22">
        <v>0</v>
      </c>
      <c r="CL81" s="22">
        <v>0</v>
      </c>
      <c r="CM81" s="42"/>
      <c r="CN81" s="44"/>
      <c r="CO81" s="14"/>
      <c r="CP81" s="14"/>
      <c r="CQ81" s="14"/>
    </row>
    <row r="82" spans="1:95" ht="15.75" customHeight="1" thickBot="1" x14ac:dyDescent="0.3">
      <c r="A82" s="33"/>
      <c r="B82" s="50" t="s">
        <v>108</v>
      </c>
      <c r="C82" s="47" t="s">
        <v>108</v>
      </c>
      <c r="D82" s="33" t="s">
        <v>105</v>
      </c>
      <c r="E82" s="13">
        <v>1</v>
      </c>
      <c r="F82" s="13">
        <v>15</v>
      </c>
      <c r="G82" s="13"/>
      <c r="H82" s="13">
        <v>10</v>
      </c>
      <c r="I82" s="13">
        <v>8</v>
      </c>
      <c r="J82" s="13">
        <v>74</v>
      </c>
      <c r="K82" s="13">
        <v>23</v>
      </c>
      <c r="L82" s="13">
        <v>104</v>
      </c>
      <c r="M82" s="13">
        <v>1389</v>
      </c>
      <c r="N82" s="13">
        <v>2</v>
      </c>
      <c r="O82" s="13">
        <v>158</v>
      </c>
      <c r="P82" s="13">
        <v>1784</v>
      </c>
      <c r="R82" s="3"/>
      <c r="S82" s="3"/>
      <c r="T82" s="3"/>
      <c r="U82" s="3"/>
      <c r="V82" s="3"/>
      <c r="X82" s="3">
        <v>5</v>
      </c>
      <c r="Y82" s="15"/>
      <c r="Z82" s="16">
        <v>75</v>
      </c>
      <c r="AA82" s="16">
        <v>450</v>
      </c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37">
        <f>+SUM(AC82:CG82)</f>
        <v>0</v>
      </c>
      <c r="CJ82" s="27">
        <v>0</v>
      </c>
      <c r="CK82" s="22">
        <v>0</v>
      </c>
      <c r="CL82" s="22">
        <v>0</v>
      </c>
      <c r="CM82" s="22"/>
      <c r="CN82" s="22"/>
      <c r="CO82" s="22"/>
      <c r="CP82" s="22"/>
      <c r="CQ82" s="22"/>
    </row>
    <row r="83" spans="1:95" ht="15.75" customHeight="1" thickTop="1" x14ac:dyDescent="0.25">
      <c r="A83" s="18"/>
      <c r="B83" s="18" t="s">
        <v>29</v>
      </c>
      <c r="C83" s="18"/>
      <c r="D83" s="18"/>
      <c r="E83" s="19">
        <v>5</v>
      </c>
      <c r="F83" s="19">
        <v>31</v>
      </c>
      <c r="G83" s="19">
        <v>8</v>
      </c>
      <c r="H83" s="19">
        <v>34</v>
      </c>
      <c r="I83" s="19">
        <v>11</v>
      </c>
      <c r="J83" s="19">
        <v>129</v>
      </c>
      <c r="K83" s="19">
        <v>102</v>
      </c>
      <c r="L83" s="19">
        <v>261</v>
      </c>
      <c r="M83" s="19">
        <v>3180</v>
      </c>
      <c r="N83" s="19">
        <v>26</v>
      </c>
      <c r="O83" s="19">
        <v>388</v>
      </c>
      <c r="P83" s="19">
        <v>4175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X83" s="20">
        <v>13</v>
      </c>
      <c r="Z83" s="19">
        <v>195</v>
      </c>
      <c r="AA83" s="19">
        <v>1170</v>
      </c>
      <c r="AC83" s="25">
        <f>+SUM(AC80:AC82)</f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25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 s="25">
        <v>0</v>
      </c>
      <c r="CJ83" s="25">
        <v>0</v>
      </c>
      <c r="CK83" s="25">
        <v>0</v>
      </c>
      <c r="CL83" s="25">
        <v>0</v>
      </c>
      <c r="CM83" s="25"/>
      <c r="CN83" s="25"/>
      <c r="CO83" s="25"/>
      <c r="CP83" s="25"/>
      <c r="CQ83" s="25"/>
    </row>
    <row r="84" spans="1:95" x14ac:dyDescent="0.25"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J84" s="14"/>
      <c r="CK84" s="35"/>
    </row>
    <row r="85" spans="1:95" ht="8.25" customHeight="1" x14ac:dyDescent="0.25">
      <c r="B85" s="32"/>
      <c r="C85" s="32"/>
      <c r="D85" s="32"/>
      <c r="E85" s="32"/>
      <c r="H85" s="14"/>
      <c r="I85" s="14"/>
      <c r="J85" s="14"/>
      <c r="K85" s="14"/>
      <c r="L85" s="14"/>
      <c r="M85" s="14"/>
      <c r="N85" s="14"/>
      <c r="O85" s="14"/>
    </row>
    <row r="86" spans="1:95" x14ac:dyDescent="0.25">
      <c r="B86" s="32"/>
      <c r="C86" s="32"/>
      <c r="D86" s="32"/>
      <c r="E86" s="32">
        <v>0</v>
      </c>
      <c r="F86" s="32">
        <v>0</v>
      </c>
      <c r="G86" s="32">
        <v>0</v>
      </c>
      <c r="H86" s="34" t="e">
        <v>#DIV/0!</v>
      </c>
      <c r="I86" s="14"/>
      <c r="J86" s="14"/>
      <c r="K86" s="14"/>
      <c r="L86" s="14"/>
      <c r="M86" s="14"/>
      <c r="N86" s="14"/>
      <c r="O86" s="14"/>
    </row>
    <row r="87" spans="1:95" x14ac:dyDescent="0.25">
      <c r="B87" s="32"/>
      <c r="C87" s="32"/>
      <c r="D87" s="32"/>
      <c r="E87" s="32"/>
      <c r="H87" s="14"/>
      <c r="I87" s="14"/>
      <c r="J87" s="14"/>
      <c r="K87" s="14"/>
      <c r="L87" s="14"/>
      <c r="M87" s="14"/>
      <c r="N87" s="14"/>
      <c r="O87" s="14"/>
    </row>
    <row r="88" spans="1:95" x14ac:dyDescent="0.25">
      <c r="B88" s="32"/>
      <c r="C88" s="32"/>
      <c r="D88" s="32"/>
      <c r="E88" s="32"/>
      <c r="H88" s="14"/>
      <c r="I88" s="14"/>
      <c r="J88" s="14"/>
      <c r="K88" s="14"/>
      <c r="L88" s="14"/>
      <c r="M88" s="14"/>
      <c r="N88" s="14"/>
      <c r="O88" s="14"/>
    </row>
    <row r="89" spans="1:95" x14ac:dyDescent="0.25">
      <c r="B89" s="32"/>
      <c r="C89" s="32"/>
      <c r="D89" s="32"/>
      <c r="E89" s="32"/>
      <c r="H89" s="14"/>
      <c r="I89" s="14"/>
      <c r="J89" s="14"/>
      <c r="K89" s="14"/>
      <c r="L89" s="14"/>
      <c r="M89" s="14"/>
      <c r="N89" s="14"/>
      <c r="O89" s="14"/>
    </row>
    <row r="90" spans="1:95" x14ac:dyDescent="0.25">
      <c r="B90" s="32"/>
      <c r="C90" s="32"/>
      <c r="D90" s="32"/>
      <c r="E90" s="32"/>
      <c r="H90" s="14"/>
      <c r="I90" s="14"/>
      <c r="J90" s="14"/>
      <c r="K90" s="14"/>
      <c r="L90" s="14"/>
      <c r="M90" s="14"/>
      <c r="N90" s="14"/>
      <c r="O90" s="14"/>
    </row>
    <row r="91" spans="1:95" x14ac:dyDescent="0.25">
      <c r="B91" s="32"/>
      <c r="C91" s="32"/>
      <c r="D91" s="32"/>
      <c r="E91" s="32"/>
      <c r="H91" s="14"/>
      <c r="I91" s="14"/>
      <c r="J91" s="14"/>
      <c r="K91" s="14"/>
      <c r="L91" s="14"/>
      <c r="M91" s="14"/>
      <c r="N91" s="14"/>
      <c r="O91" s="14"/>
    </row>
    <row r="92" spans="1:95" x14ac:dyDescent="0.25">
      <c r="B92" s="32"/>
      <c r="C92" s="32"/>
      <c r="D92" s="32"/>
      <c r="E92" s="32"/>
      <c r="H92" s="14"/>
      <c r="I92" s="14"/>
      <c r="J92" s="14"/>
      <c r="K92" s="14"/>
      <c r="L92" s="14"/>
      <c r="M92" s="14"/>
      <c r="N92" s="14"/>
      <c r="O92" s="14"/>
    </row>
    <row r="93" spans="1:95" x14ac:dyDescent="0.25">
      <c r="B93" s="32"/>
      <c r="C93" s="32"/>
      <c r="D93" s="32"/>
      <c r="E93" s="32"/>
      <c r="H93" s="14"/>
      <c r="I93" s="14"/>
      <c r="J93" s="14"/>
      <c r="K93" s="14"/>
      <c r="L93" s="14"/>
      <c r="M93" s="14"/>
      <c r="N93" s="14"/>
      <c r="O93" s="14"/>
    </row>
    <row r="94" spans="1:95" x14ac:dyDescent="0.25">
      <c r="B94" s="32"/>
      <c r="C94" s="32"/>
      <c r="D94" s="32"/>
      <c r="E94" s="32"/>
      <c r="H94" s="14"/>
      <c r="I94" s="14"/>
      <c r="J94" s="14"/>
      <c r="K94" s="14"/>
      <c r="L94" s="14"/>
      <c r="M94" s="14"/>
      <c r="N94" s="14"/>
      <c r="O94" s="14"/>
    </row>
    <row r="95" spans="1:95" x14ac:dyDescent="0.25">
      <c r="B95" s="32"/>
      <c r="C95" s="32"/>
      <c r="D95" s="32"/>
      <c r="E95" s="32"/>
      <c r="H95" s="14"/>
      <c r="I95" s="14"/>
      <c r="J95" s="14"/>
      <c r="K95" s="14"/>
      <c r="L95" s="14"/>
      <c r="M95" s="14"/>
      <c r="N95" s="14"/>
      <c r="O95" s="14"/>
    </row>
    <row r="96" spans="1:95" x14ac:dyDescent="0.25">
      <c r="B96" s="32"/>
      <c r="C96" s="32"/>
      <c r="D96" s="32"/>
      <c r="E96" s="32"/>
      <c r="H96" s="14"/>
      <c r="I96" s="14"/>
      <c r="J96" s="14"/>
      <c r="K96" s="14"/>
      <c r="L96" s="14"/>
      <c r="M96" s="14"/>
      <c r="N96" s="14"/>
      <c r="O96" s="14"/>
    </row>
    <row r="97" spans="2:15" x14ac:dyDescent="0.25">
      <c r="B97" s="32"/>
      <c r="C97" s="32"/>
      <c r="D97" s="32"/>
      <c r="E97" s="32"/>
      <c r="H97" s="14"/>
      <c r="I97" s="14"/>
      <c r="J97" s="14"/>
      <c r="K97" s="14"/>
      <c r="L97" s="14"/>
      <c r="M97" s="14"/>
      <c r="N97" s="14"/>
      <c r="O97" s="14"/>
    </row>
    <row r="98" spans="2:15" x14ac:dyDescent="0.25">
      <c r="B98" s="32"/>
      <c r="C98" s="32"/>
      <c r="D98" s="32"/>
      <c r="E98" s="32"/>
      <c r="H98" s="14"/>
      <c r="I98" s="14"/>
      <c r="J98" s="14"/>
      <c r="K98" s="14"/>
      <c r="L98" s="14"/>
      <c r="M98" s="14"/>
      <c r="N98" s="14"/>
      <c r="O98" s="14"/>
    </row>
  </sheetData>
  <mergeCells count="3">
    <mergeCell ref="AC11:CH11"/>
    <mergeCell ref="E10:H10"/>
    <mergeCell ref="E12:P12"/>
  </mergeCells>
  <conditionalFormatting sqref="CM14:CM75">
    <cfRule type="iconSet" priority="465">
      <iconSet iconSet="3Symbols2">
        <cfvo type="percent" val="0"/>
        <cfvo type="num" val="0.5"/>
        <cfvo type="num" val="0.8"/>
      </iconSet>
    </cfRule>
  </conditionalFormatting>
  <conditionalFormatting sqref="CM80:CM81">
    <cfRule type="iconSet" priority="467">
      <iconSet iconSet="3Symbols2">
        <cfvo type="percent" val="0"/>
        <cfvo type="num" val="0.5"/>
        <cfvo type="num" val="0.8"/>
      </iconSet>
    </cfRule>
  </conditionalFormatting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Programa CASETAS REPORTE DIARIO</vt:lpstr>
      <vt:lpstr>Programa CAJAS REPORTE DIARIO</vt:lpstr>
      <vt:lpstr>'Programa CAJAS REPORTE DIARIO'!Área_de_impresión</vt:lpstr>
      <vt:lpstr>'Programa CASETAS REPORTE DIARIO'!Área_de_impresión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ghernanm</dc:creator>
  <cp:lastModifiedBy>pci</cp:lastModifiedBy>
  <cp:lastPrinted>2022-12-12T17:28:42Z</cp:lastPrinted>
  <dcterms:created xsi:type="dcterms:W3CDTF">2022-06-04T00:39:55Z</dcterms:created>
  <dcterms:modified xsi:type="dcterms:W3CDTF">2026-10-26T15:43:04Z</dcterms:modified>
</cp:coreProperties>
</file>