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667E24E2-2AB6-4D19-A6D4-FB45F9EB83F1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DD17" i="2"/>
  <c r="CU17" i="2" s="1"/>
  <c r="CP17" i="2"/>
  <c r="CR17" i="2" s="1"/>
  <c r="CN17" i="2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CQ67" i="3" l="1"/>
  <c r="CQ44" i="3"/>
  <c r="CQ31" i="3"/>
  <c r="CQ17" i="3"/>
  <c r="CN85" i="2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AH13" i="3"/>
  <c r="CH77" i="3"/>
  <c r="CJ33" i="3"/>
  <c r="CJ77" i="3" s="1"/>
  <c r="CP32" i="3"/>
  <c r="CO77" i="3"/>
  <c r="CQ14" i="3"/>
  <c r="CL14" i="3"/>
  <c r="AM13" i="2"/>
  <c r="D22" i="1"/>
  <c r="AL13" i="2"/>
  <c r="D21" i="1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P18" i="2"/>
  <c r="CN79" i="2"/>
  <c r="CU79" i="2"/>
  <c r="CV17" i="2"/>
  <c r="CW14" i="2"/>
  <c r="CR14" i="2"/>
  <c r="CP79" i="2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3" i="3"/>
  <c r="CQ42" i="3"/>
  <c r="CQ41" i="3"/>
  <c r="CQ37" i="3"/>
  <c r="CQ34" i="3"/>
  <c r="CQ29" i="3"/>
  <c r="CQ24" i="3"/>
  <c r="CQ36" i="3"/>
  <c r="CQ28" i="3"/>
  <c r="CQ25" i="3"/>
  <c r="CQ21" i="3"/>
  <c r="CQ16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6" i="2"/>
  <c r="CW15" i="2"/>
  <c r="CQ76" i="3"/>
  <c r="CQ75" i="3"/>
  <c r="CQ74" i="3"/>
  <c r="CQ73" i="3"/>
  <c r="CQ72" i="3"/>
  <c r="CQ71" i="3"/>
  <c r="CQ70" i="3"/>
  <c r="CQ69" i="3"/>
  <c r="CQ68" i="3"/>
  <c r="CQ40" i="3"/>
  <c r="CQ39" i="3"/>
  <c r="CQ38" i="3"/>
  <c r="CQ35" i="3"/>
  <c r="CQ30" i="3"/>
  <c r="CQ27" i="3"/>
  <c r="CQ26" i="3"/>
  <c r="CQ23" i="3"/>
  <c r="CQ22" i="3"/>
  <c r="CQ20" i="3"/>
  <c r="CQ19" i="3"/>
  <c r="CQ18" i="3"/>
  <c r="CQ15" i="3"/>
  <c r="CW17" i="2" l="1"/>
  <c r="CV79" i="2"/>
  <c r="E23" i="1"/>
  <c r="I3" i="2"/>
  <c r="E6" i="1"/>
  <c r="D3" i="3"/>
  <c r="CH13" i="3"/>
  <c r="CQ33" i="3"/>
  <c r="CL33" i="3"/>
  <c r="CL77" i="3" s="1"/>
  <c r="F11" i="1"/>
  <c r="D23" i="1"/>
  <c r="CW18" i="2"/>
  <c r="CW79" i="2" s="1"/>
  <c r="CR18" i="2"/>
  <c r="CR79" i="2" s="1"/>
  <c r="D3" i="2"/>
  <c r="CN13" i="2"/>
  <c r="B6" i="1"/>
  <c r="I3" i="3"/>
  <c r="F22" i="1"/>
  <c r="F21" i="1"/>
  <c r="F20" i="1"/>
  <c r="F19" i="1"/>
  <c r="F18" i="1"/>
  <c r="F17" i="1"/>
  <c r="F16" i="1"/>
  <c r="F15" i="1"/>
  <c r="F14" i="1"/>
  <c r="F13" i="1"/>
  <c r="F12" i="1"/>
  <c r="CQ32" i="3"/>
  <c r="CQ77" i="3" s="1"/>
  <c r="CP77" i="3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<sst xmlns="http://schemas.openxmlformats.org/spreadsheetml/2006/main" count="586" uniqueCount="174">
  <si>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</si>
  <si>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</si>
  <si>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</si>
  <si>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</si>
  <si>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</si>
  <si>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</si>
  <si>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</si>
  <si>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</si>
  <si>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</si>
  <si>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</si>
  <si>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</si>
  <si>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</si>
  <si>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</si>
  <si>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</si>
  <si>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</si>
  <si>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</si>
  <si>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</si>
  <si>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</si>
  <si>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</si>
  <si>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</si>
  <si>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</si>
  <si>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</si>
  <si>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</si>
  <si>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</si>
  <si>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</si>
  <si>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</si>
  <si>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</si>
  <si>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</si>
  <si>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</si>
  <si>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</si>
  <si>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</si>
  <si>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</si>
  <si>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</si>
  <si>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</si>
  <si>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</si>
  <si>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</si>
  <si>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</si>
  <si>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</si>
  <si>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</si>
  <si>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</si>
  <si>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</si>
  <si>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</si>
  <si>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</si>
  <si>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</si>
  <si>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</si>
  <si>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</si>
  <si>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</si>
  <si>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</si>
  <si>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</si>
  <si>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</si>
  <si>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</si>
  <si>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</si>
  <si>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</si>
  <si>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</si>
  <si>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</si>
  <si>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</si>
  <si>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</si>
  <si>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</si>
  <si>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</si>
  <si>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</si>
  <si>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</si>
  <si>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</si>
  <si>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</si>
  <si>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</si>
  <si>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</si>
  <si>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</si>
  <si>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</si>
  <si>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</si>
  <si>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</si>
  <si>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</si>
  <si>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</si>
  <si>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</si>
  <si>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</si>
  <si>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</si>
  <si>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</si>
  <si>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</si>
  <si>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</si>
  <si>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</si>
  <si>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</si>
  <si>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</si>
  <si>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</si>
  <si>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</si>
  <si>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</si>
  <si>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</si>
  <si>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</si>
  <si>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</si>
  <si>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</si>
  <si>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</si>
  <si>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</si>
  <si>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</si>
  <si>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</si>
  <si>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</si>
  <si>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</si>
  <si>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</si>
  <si>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</si>
  <si>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</si>
  <si>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</si>
  <si>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</si>
  <si>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</si>
  <si>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</si>
  <si>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</si>
  <si>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</si>
  <si>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</si>
  <si>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</si>
  <si>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</si>
  <si>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</si>
  <si>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</si>
  <si>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</si>
  <si>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</si>
  <si>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</si>
  <si>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</si>
  <si>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</si>
  <si>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19:19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</si>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</sst>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633</v>
      </c>
      <c r="C6" s="89"/>
      <c r="E6" s="88">
        <f>'Programa CAJAS REPORTE DIARIO'!CH77</f>
        <v>1678</v>
      </c>
      <c r="F6" s="89"/>
      <c r="H6" s="101">
        <f>B6+E6</f>
        <v>2311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151</v>
      </c>
      <c r="E22" s="72">
        <f>'Programa CAJAS REPORTE DIARIO'!AS77</f>
        <v>353</v>
      </c>
      <c r="F22" s="72">
        <f t="shared" si="0"/>
        <v>504</v>
      </c>
      <c r="G22" s="72">
        <f t="shared" si="1"/>
        <v>2311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633</v>
      </c>
      <c r="E23" s="75">
        <f>SUM(E11:E22)</f>
        <v>1678</v>
      </c>
      <c r="F23" s="75">
        <f>SUM(F11:F22)</f>
        <v>2311</v>
      </c>
      <c r="G23" s="75">
        <f>F23</f>
        <v>2311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633</v>
      </c>
      <c r="F3" s="79" t="s">
        <v>1</v>
      </c>
      <c r="I3" s="80">
        <f>'Programa CAJAS REPORTE DIARIO'!CH77+CN79</f>
        <v>2311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151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633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68</v>
      </c>
      <c r="CP42" s="27">
        <f t="shared" si="4"/>
        <v>68</v>
      </c>
      <c r="CQ42" s="22">
        <v>0</v>
      </c>
      <c r="CR42" s="22">
        <f t="shared" si="5"/>
        <v>68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151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633</v>
      </c>
      <c r="CP79" s="25">
        <f>+SUM(CP14:CP78)</f>
        <v>633</v>
      </c>
      <c r="CQ79" s="25">
        <f>+SUM(CQ14:CQ78)</f>
        <v>0</v>
      </c>
      <c r="CR79" s="25">
        <f>+SUM(CR14:CR78)</f>
        <v>633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6449.5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1678</v>
      </c>
      <c r="F3" s="79" t="s">
        <v>1</v>
      </c>
      <c r="I3" s="80">
        <f>'Programa CASETAS REPORTE DIARIO'!CN79+CH77</f>
        <v>2311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353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1678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9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22</v>
      </c>
      <c r="CJ41" s="27">
        <f t="shared" si="3"/>
        <v>22</v>
      </c>
      <c r="CK41" s="22">
        <v>0</v>
      </c>
      <c r="CL41" s="22">
        <f t="shared" si="4"/>
        <v>22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-9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50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219</v>
      </c>
      <c r="CJ46" s="27">
        <f t="shared" ref="CJ46:CJ76" si="11">CH46</f>
        <v>219</v>
      </c>
      <c r="CK46" s="22">
        <v>0</v>
      </c>
      <c r="CL46" s="22">
        <f t="shared" ref="CL46:CL77" si="12">CJ46+CK46</f>
        <v>219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1285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353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1678</v>
      </c>
      <c r="CJ77" s="25">
        <f>+SUM(CJ14:CJ76)</f>
        <v>1678</v>
      </c>
      <c r="CK77" s="25">
        <f>+SUM(CK14:CK76)</f>
        <v>0</v>
      </c>
      <c r="CL77" s="25">
        <f>+SUM(CL14:CL76)</f>
        <v>1678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6829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2026-10-29T01:19:16Z</dcterms:modified>
</cp:coreProperties>
</file>