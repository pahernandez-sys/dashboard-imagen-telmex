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6B3AE21-E3B1-4868-8215-071151BE85F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C13" i="3" s="1"/>
  <c r="CB77" i="3"/>
  <c r="CB13" i="3" s="1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W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8" i="2" l="1"/>
  <c r="CQ76" i="3"/>
  <c r="CW70" i="2"/>
  <c r="CW18" i="2"/>
  <c r="CQ70" i="3"/>
  <c r="CW20" i="2"/>
  <c r="CQ17" i="3"/>
  <c r="CW44" i="2"/>
  <c r="CW42" i="2"/>
  <c r="CW41" i="2"/>
  <c r="CW36" i="2"/>
  <c r="CW35" i="2"/>
  <c r="CW34" i="2"/>
  <c r="CW32" i="2"/>
  <c r="CW31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E12" i="1"/>
  <c r="F12" i="1" s="1"/>
  <c r="AI13" i="3"/>
  <c r="AH13" i="3"/>
  <c r="E11" i="1"/>
  <c r="CQ38" i="3"/>
  <c r="CL38" i="3"/>
  <c r="CO77" i="3"/>
  <c r="CP14" i="3"/>
  <c r="CJ14" i="3"/>
  <c r="CH77" i="3"/>
  <c r="F11" i="1"/>
  <c r="D23" i="1"/>
  <c r="CU79" i="2"/>
  <c r="CV30" i="2"/>
  <c r="CP17" i="2"/>
  <c r="CN79" i="2"/>
  <c r="CW14" i="2"/>
  <c r="CR14" i="2"/>
  <c r="CP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W76" i="2"/>
  <c r="CW73" i="2"/>
  <c r="CW72" i="2"/>
  <c r="CW71" i="2"/>
  <c r="CW69" i="2"/>
  <c r="CW67" i="2"/>
  <c r="CW66" i="2"/>
  <c r="CW63" i="2"/>
  <c r="CW62" i="2"/>
  <c r="CW43" i="2"/>
  <c r="CW40" i="2"/>
  <c r="CW39" i="2"/>
  <c r="CW37" i="2"/>
  <c r="CW29" i="2"/>
  <c r="CW28" i="2"/>
  <c r="CW24" i="2"/>
  <c r="CW23" i="2"/>
  <c r="CW19" i="2"/>
  <c r="CQ75" i="3"/>
  <c r="CQ74" i="3"/>
  <c r="CQ73" i="3"/>
  <c r="CQ72" i="3"/>
  <c r="CQ71" i="3"/>
  <c r="CQ66" i="3"/>
  <c r="CQ65" i="3"/>
  <c r="CQ64" i="3"/>
  <c r="CQ62" i="3"/>
  <c r="CQ61" i="3"/>
  <c r="CQ60" i="3"/>
  <c r="CQ15" i="3"/>
  <c r="CW75" i="2"/>
  <c r="CW65" i="2"/>
  <c r="CW33" i="2"/>
  <c r="CW26" i="2"/>
  <c r="CW21" i="2"/>
  <c r="CQ69" i="3"/>
  <c r="CQ68" i="3"/>
  <c r="CQ63" i="3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38" i="2"/>
  <c r="CW27" i="2"/>
  <c r="CW25" i="2"/>
  <c r="CW22" i="2"/>
  <c r="CQ67" i="3"/>
  <c r="CQ16" i="3"/>
  <c r="E23" i="1" l="1"/>
  <c r="CW30" i="2"/>
  <c r="CV79" i="2"/>
  <c r="CQ14" i="3"/>
  <c r="CQ77" i="3" s="1"/>
  <c r="CP77" i="3"/>
  <c r="CL14" i="3"/>
  <c r="CL77" i="3" s="1"/>
  <c r="CJ77" i="3"/>
  <c r="I3" i="2"/>
  <c r="E6" i="1"/>
  <c r="D3" i="3"/>
  <c r="CH13" i="3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CW17" i="2"/>
  <c r="CR17" i="2"/>
  <c r="CR79" i="2" s="1"/>
  <c r="B6" i="1"/>
  <c r="D3" i="2"/>
  <c r="CN13" i="2"/>
  <c r="I3" i="3"/>
  <c r="CW79" i="2" l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<sst xmlns="http://schemas.openxmlformats.org/spreadsheetml/2006/main" count="586" uniqueCount="174">
  <si>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</si>
  <si>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</si>
  <si>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</si>
  <si>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</si>
  <si>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</si>
  <si>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</si>
  <si>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</si>
  <si>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</si>
  <si>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</si>
  <si>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</si>
  <si>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</si>
  <si>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</si>
  <si>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</si>
  <si>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</si>
  <si>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</si>
  <si>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</si>
  <si>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</si>
  <si>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</si>
  <si>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</si>
  <si>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</si>
  <si>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</si>
  <si>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</si>
  <si>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</si>
  <si>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</si>
  <si>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</si>
  <si>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</si>
  <si>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</si>
  <si>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</si>
  <si>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</si>
  <si>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</si>
  <si>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</si>
  <si>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</si>
  <si>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</si>
  <si>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</si>
  <si>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</si>
  <si>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</si>
  <si>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</si>
  <si>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</si>
  <si>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</si>
  <si>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</si>
  <si>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</si>
  <si>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</si>
  <si>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</si>
  <si>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</si>
  <si>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</si>
  <si>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</si>
  <si>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</si>
  <si>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</si>
  <si>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</si>
  <si>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</si>
  <si>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</si>
  <si>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</si>
  <si>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</si>
  <si>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</si>
  <si>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</si>
  <si>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</si>
  <si>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</si>
  <si>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</si>
  <si>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</si>
  <si>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</si>
  <si>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</si>
  <si>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</si>
  <si>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</si>
  <si>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</si>
  <si>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</si>
  <si>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</si>
  <si>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</si>
  <si>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</si>
  <si>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</si>
  <si>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</si>
  <si>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</si>
  <si>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</si>
  <si>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</si>
  <si>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</si>
  <si>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</si>
  <si>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</si>
  <si>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</si>
  <si>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</si>
  <si>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</si>
  <si>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</si>
  <si>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</si>
  <si>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</si>
  <si>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</si>
  <si>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</si>
  <si>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</si>
  <si>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</si>
  <si>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</si>
  <si>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</si>
  <si>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</si>
  <si>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</si>
  <si>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</si>
  <si>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</si>
  <si>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</si>
  <si>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</si>
  <si>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</si>
  <si>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</si>
  <si>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</si>
  <si>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</si>
  <si>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</si>
  <si>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</si>
  <si>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</si>
  <si>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</si>
  <si>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</si>
  <si>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</si>
  <si>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</si>
  <si>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</si>
  <si>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</si>
  <si>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</si>
  <si>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</si>
  <si>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</si>
  <si>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</si>
  <si>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</si>
  <si>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17:58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</si>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</sst>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1655</v>
      </c>
      <c r="F6" s="89"/>
      <c r="H6" s="101">
        <f>B6+E6</f>
        <v>2287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330</v>
      </c>
      <c r="F22" s="72">
        <f t="shared" si="0"/>
        <v>480</v>
      </c>
      <c r="G22" s="72">
        <f t="shared" si="1"/>
        <v>2287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1655</v>
      </c>
      <c r="F23" s="75">
        <f>SUM(F11:F22)</f>
        <v>2287</v>
      </c>
      <c r="G23" s="75">
        <f>F23</f>
        <v>2287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1655</v>
      </c>
      <c r="F3" s="79" t="s">
        <v>1</v>
      </c>
      <c r="I3" s="80">
        <f>'Programa CASETAS REPORTE DIARIO'!CN79+CH77</f>
        <v>2287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10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92</v>
      </c>
      <c r="CJ35" s="27">
        <f t="shared" si="3"/>
        <v>92</v>
      </c>
      <c r="CK35" s="22">
        <v>0</v>
      </c>
      <c r="CL35" s="22">
        <f t="shared" si="4"/>
        <v>92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1655</v>
      </c>
      <c r="CJ77" s="25">
        <f>+SUM(CJ14:CJ76)</f>
        <v>1655</v>
      </c>
      <c r="CK77" s="25">
        <f>+SUM(CK14:CK76)</f>
        <v>0</v>
      </c>
      <c r="CL77" s="25">
        <f>+SUM(CL14:CL76)</f>
        <v>1655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2026-10-28T23:58:41Z</dcterms:modified>
</cp:coreProperties>
</file>