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4D6A068-CEEA-47EC-BFD7-BAD044C76499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Q69" i="3" l="1"/>
  <c r="CQ75" i="3"/>
  <c r="CQ74" i="3"/>
  <c r="CQ42" i="3"/>
  <c r="CQ33" i="3"/>
  <c r="CQ21" i="3"/>
  <c r="CQ17" i="3"/>
  <c r="CW51" i="2"/>
  <c r="CW30" i="2"/>
  <c r="CW23" i="2"/>
  <c r="CW19" i="2"/>
  <c r="CW27" i="2"/>
  <c r="CW26" i="2"/>
  <c r="CW21" i="2"/>
  <c r="E20" i="1"/>
  <c r="AQ13" i="3"/>
  <c r="E19" i="1"/>
  <c r="AP13" i="3"/>
  <c r="AO13" i="3"/>
  <c r="E18" i="1"/>
  <c r="E17" i="1"/>
  <c r="AN13" i="3"/>
  <c r="AM13" i="3"/>
  <c r="E16" i="1"/>
  <c r="AL13" i="3"/>
  <c r="E15" i="1"/>
  <c r="AK13" i="3"/>
  <c r="E14" i="1"/>
  <c r="AJ13" i="3"/>
  <c r="E13" i="1"/>
  <c r="E12" i="1"/>
  <c r="AI13" i="3"/>
  <c r="AH13" i="3"/>
  <c r="E11" i="1"/>
  <c r="CP19" i="3"/>
  <c r="CO77" i="3"/>
  <c r="CH77" i="3"/>
  <c r="CJ19" i="3"/>
  <c r="CL19" i="3" s="1"/>
  <c r="CQ14" i="3"/>
  <c r="CP77" i="3"/>
  <c r="CL14" i="3"/>
  <c r="CL77" i="3" s="1"/>
  <c r="CJ77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D15" i="1"/>
  <c r="F15" i="1" s="1"/>
  <c r="AF13" i="2"/>
  <c r="D14" i="1"/>
  <c r="AE13" i="2"/>
  <c r="AD13" i="2"/>
  <c r="D13" i="1"/>
  <c r="D12" i="1"/>
  <c r="AC13" i="2"/>
  <c r="D11" i="1"/>
  <c r="AB13" i="2"/>
  <c r="CU79" i="2"/>
  <c r="CV14" i="2"/>
  <c r="CP14" i="2"/>
  <c r="CN79" i="2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Q40" i="3"/>
  <c r="CQ39" i="3"/>
  <c r="CQ38" i="3"/>
  <c r="CQ36" i="3"/>
  <c r="CQ35" i="3"/>
  <c r="CQ34" i="3"/>
  <c r="CQ32" i="3"/>
  <c r="CQ31" i="3"/>
  <c r="CQ18" i="3"/>
  <c r="CQ76" i="3"/>
  <c r="CQ37" i="3"/>
  <c r="CQ22" i="3"/>
  <c r="CQ29" i="3"/>
  <c r="CQ28" i="3"/>
  <c r="CQ27" i="3"/>
  <c r="CQ26" i="3"/>
  <c r="CQ25" i="3"/>
  <c r="CQ24" i="3"/>
  <c r="CQ23" i="3"/>
  <c r="CQ20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29" i="2"/>
  <c r="CW28" i="2"/>
  <c r="CW25" i="2"/>
  <c r="CW24" i="2"/>
  <c r="CW22" i="2"/>
  <c r="CW18" i="2"/>
  <c r="CW17" i="2"/>
  <c r="CW16" i="2"/>
  <c r="CW15" i="2"/>
  <c r="CQ73" i="3"/>
  <c r="CQ71" i="3"/>
  <c r="CQ68" i="3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0" i="2"/>
  <c r="CQ72" i="3"/>
  <c r="CQ70" i="3"/>
  <c r="I3" i="2" l="1"/>
  <c r="E6" i="1"/>
  <c r="D3" i="3"/>
  <c r="CH13" i="3"/>
  <c r="F11" i="1"/>
  <c r="D21" i="1"/>
  <c r="CW14" i="2"/>
  <c r="CW79" i="2" s="1"/>
  <c r="CV79" i="2"/>
  <c r="CR14" i="2"/>
  <c r="CR79" i="2" s="1"/>
  <c r="CP79" i="2"/>
  <c r="B6" i="1"/>
  <c r="H6" i="1" s="1"/>
  <c r="I3" i="3"/>
  <c r="D3" i="2"/>
  <c r="CN13" i="2"/>
  <c r="F14" i="1"/>
  <c r="F13" i="1"/>
  <c r="F12" i="1"/>
  <c r="E21" i="1"/>
  <c r="CQ19" i="3"/>
  <c r="CQ77" i="3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<sst xmlns="http://schemas.openxmlformats.org/spreadsheetml/2006/main" count="580" uniqueCount="171">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</sst>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458</v>
      </c>
      <c r="C6" s="89"/>
      <c r="E6" s="88">
        <f>'Programa CAJAS REPORTE DIARIO'!CH77</f>
        <v>1285</v>
      </c>
      <c r="F6" s="89"/>
      <c r="H6" s="101">
        <f>B6+E6</f>
        <v>1743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458</v>
      </c>
      <c r="F3" s="79" t="s">
        <v>1</v>
      </c>
      <c r="I3" s="80">
        <f>'Programa CAJAS REPORTE DIARIO'!CH77+CN79</f>
        <v>1743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24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33</v>
      </c>
      <c r="CP42" s="27">
        <f t="shared" si="4"/>
        <v>33</v>
      </c>
      <c r="CQ42" s="22">
        <v>0</v>
      </c>
      <c r="CR42" s="22">
        <f t="shared" si="5"/>
        <v>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458</v>
      </c>
      <c r="CP79" s="25">
        <f>+SUM(CP14:CP78)</f>
        <v>458</v>
      </c>
      <c r="CQ79" s="25">
        <f>+SUM(CQ14:CQ78)</f>
        <v>0</v>
      </c>
      <c r="CR79" s="25">
        <f>+SUM(CR14:CR78)</f>
        <v>458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1285</v>
      </c>
      <c r="F3" s="79" t="s">
        <v>1</v>
      </c>
      <c r="I3" s="80">
        <f>'Programa CASETAS REPORTE DIARIO'!CN79+CH77</f>
        <v>1743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426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1285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3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5</v>
      </c>
      <c r="CJ75" s="27">
        <f t="shared" si="11"/>
        <v>5</v>
      </c>
      <c r="CK75" s="22">
        <v>0</v>
      </c>
      <c r="CL75" s="22">
        <f t="shared" si="12"/>
        <v>5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-4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426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1285</v>
      </c>
      <c r="CJ77" s="25">
        <f>+SUM(CJ14:CJ76)</f>
        <v>1285</v>
      </c>
      <c r="CK77" s="25">
        <f>+SUM(CK14:CK76)</f>
        <v>0</v>
      </c>
      <c r="CL77" s="25">
        <f>+SUM(CL14:CL76)</f>
        <v>1285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5702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2026-10-28T00:50:04Z</dcterms:modified>
</cp:coreProperties>
</file>