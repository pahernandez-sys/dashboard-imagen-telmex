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41D6CBB-377C-4FED-8FFC-7B6099DB56C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Z13" i="2" s="1"/>
  <c r="AY79" i="2"/>
  <c r="AX79" i="2"/>
  <c r="AW79" i="2"/>
  <c r="AW13" i="2" s="1"/>
  <c r="AV79" i="2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Y13" i="2"/>
  <c r="AX13" i="2"/>
  <c r="AV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75" i="3" l="1"/>
  <c r="CQ16" i="3"/>
  <c r="CW69" i="2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3" i="1" s="1"/>
  <c r="AH13" i="3"/>
  <c r="CW17" i="2"/>
  <c r="CP14" i="3"/>
  <c r="CO77" i="3"/>
  <c r="CH77" i="3"/>
  <c r="CJ14" i="3"/>
  <c r="F11" i="1"/>
  <c r="D23" i="1"/>
  <c r="CU79" i="2"/>
  <c r="CV14" i="2"/>
  <c r="CN79" i="2"/>
  <c r="CP14" i="2"/>
  <c r="CQ76" i="3"/>
  <c r="CQ1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W78" i="2"/>
  <c r="CW77" i="2"/>
  <c r="CW76" i="2"/>
  <c r="CW75" i="2"/>
  <c r="CW74" i="2"/>
  <c r="CW73" i="2"/>
  <c r="CW72" i="2"/>
  <c r="CW71" i="2"/>
  <c r="CW70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14" i="3" l="1"/>
  <c r="CQ77" i="3" s="1"/>
  <c r="CP77" i="3"/>
  <c r="I3" i="2"/>
  <c r="CH13" i="3"/>
  <c r="E6" i="1"/>
  <c r="D3" i="3"/>
  <c r="CJ77" i="3"/>
  <c r="CL14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B6" i="1"/>
  <c r="I3" i="3"/>
  <c r="D3" i="2"/>
  <c r="CN1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<sst xmlns="http://schemas.openxmlformats.org/spreadsheetml/2006/main" count="586" uniqueCount="174">
  <si>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</si>
  <si>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</si>
  <si>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</si>
  <si>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</si>
  <si>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</si>
  <si>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</si>
  <si>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</si>
  <si>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</si>
  <si>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</si>
  <si>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</si>
  <si>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</si>
  <si>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</si>
  <si>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</si>
  <si>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</si>
  <si>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</si>
  <si>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</si>
  <si>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</si>
  <si>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</si>
  <si>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</si>
  <si>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</si>
  <si>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</si>
  <si>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</si>
  <si>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</si>
  <si>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</si>
  <si>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</si>
  <si>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</si>
  <si>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</si>
  <si>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</si>
  <si>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</si>
  <si>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</si>
  <si>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</si>
  <si>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</si>
  <si>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</si>
  <si>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</si>
  <si>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</si>
  <si>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</si>
  <si>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</si>
  <si>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</si>
  <si>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</si>
  <si>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</si>
  <si>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</si>
  <si>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</si>
  <si>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</si>
  <si>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</si>
  <si>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</si>
  <si>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</si>
  <si>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</si>
  <si>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</si>
  <si>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</si>
  <si>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</si>
  <si>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</si>
  <si>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</si>
  <si>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</si>
  <si>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</si>
  <si>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</si>
  <si>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</si>
  <si>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</si>
  <si>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</si>
  <si>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</si>
  <si>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</si>
  <si>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</si>
  <si>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</si>
  <si>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</si>
  <si>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</si>
  <si>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</si>
  <si>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</si>
  <si>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</si>
  <si>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</si>
  <si>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</si>
  <si>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</si>
  <si>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</si>
  <si>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</si>
  <si>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</si>
  <si>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</si>
  <si>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</si>
  <si>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</si>
  <si>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</si>
  <si>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</si>
  <si>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</si>
  <si>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</si>
  <si>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</si>
  <si>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</si>
  <si>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</si>
  <si>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</si>
  <si>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</si>
  <si>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</si>
  <si>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</si>
  <si>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</si>
  <si>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</si>
  <si>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</si>
  <si>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</si>
  <si>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</si>
  <si>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</si>
  <si>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</si>
  <si>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</si>
  <si>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</si>
  <si>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</si>
  <si>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</si>
  <si>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</si>
  <si>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</si>
  <si>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</si>
  <si>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</si>
  <si>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</si>
  <si>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</si>
  <si>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</si>
  <si>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</si>
  <si>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</si>
  <si>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</si>
  <si>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</si>
  <si>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</si>
  <si>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</si>
  <si>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</si>
  <si>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14:36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</si>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</sst>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584</v>
      </c>
      <c r="C6" s="89"/>
      <c r="E6" s="88">
        <f>'Programa CAJAS REPORTE DIARIO'!CH77</f>
        <v>1499</v>
      </c>
      <c r="F6" s="89"/>
      <c r="H6" s="101">
        <f>B6+E6</f>
        <v>2083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102</v>
      </c>
      <c r="E22" s="72">
        <f>'Programa CAJAS REPORTE DIARIO'!AS77</f>
        <v>174</v>
      </c>
      <c r="F22" s="72">
        <f t="shared" si="0"/>
        <v>276</v>
      </c>
      <c r="G22" s="72">
        <f t="shared" si="1"/>
        <v>2083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584</v>
      </c>
      <c r="E23" s="75">
        <f>SUM(E11:E22)</f>
        <v>1499</v>
      </c>
      <c r="F23" s="75">
        <f>SUM(F11:F22)</f>
        <v>2083</v>
      </c>
      <c r="G23" s="75">
        <f>F23</f>
        <v>2083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584</v>
      </c>
      <c r="F3" s="79" t="s">
        <v>1</v>
      </c>
      <c r="I3" s="80">
        <f>'Programa CAJAS REPORTE DIARIO'!CH77+CN79</f>
        <v>2083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102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584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25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175</v>
      </c>
      <c r="CP27" s="27">
        <f t="shared" si="4"/>
        <v>175</v>
      </c>
      <c r="CQ27" s="22">
        <v>0</v>
      </c>
      <c r="CR27" s="22">
        <f t="shared" si="5"/>
        <v>175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195.5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24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139</v>
      </c>
      <c r="CP28" s="27">
        <f t="shared" si="4"/>
        <v>139</v>
      </c>
      <c r="CQ28" s="22">
        <v>0</v>
      </c>
      <c r="CR28" s="22">
        <f t="shared" si="5"/>
        <v>139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1238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2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16</v>
      </c>
      <c r="CP51" s="27">
        <f t="shared" si="11"/>
        <v>16</v>
      </c>
      <c r="CQ51" s="22">
        <v>0</v>
      </c>
      <c r="CR51" s="22">
        <f t="shared" si="12"/>
        <v>16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734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1663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102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584</v>
      </c>
      <c r="CP79" s="25">
        <f>+SUM(CP14:CP78)</f>
        <v>584</v>
      </c>
      <c r="CQ79" s="25">
        <f>+SUM(CQ14:CQ78)</f>
        <v>0</v>
      </c>
      <c r="CR79" s="25">
        <f>+SUM(CR14:CR78)</f>
        <v>584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6498.5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1499</v>
      </c>
      <c r="F3" s="79" t="s">
        <v>1</v>
      </c>
      <c r="I3" s="80">
        <f>'Programa CASETAS REPORTE DIARIO'!CN79+CH77</f>
        <v>2083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174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1499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24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356</v>
      </c>
      <c r="CJ27" s="27">
        <f t="shared" si="3"/>
        <v>356</v>
      </c>
      <c r="CK27" s="22">
        <v>0</v>
      </c>
      <c r="CL27" s="22">
        <f t="shared" si="4"/>
        <v>356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37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249</v>
      </c>
      <c r="CJ28" s="27">
        <f t="shared" si="3"/>
        <v>249</v>
      </c>
      <c r="CK28" s="22">
        <v>0</v>
      </c>
      <c r="CL28" s="22">
        <f t="shared" si="4"/>
        <v>249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41</v>
      </c>
      <c r="CJ36" s="27">
        <f t="shared" si="3"/>
        <v>41</v>
      </c>
      <c r="CK36" s="22">
        <v>0</v>
      </c>
      <c r="CL36" s="22">
        <f t="shared" si="4"/>
        <v>41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12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72</v>
      </c>
      <c r="CJ43" s="27">
        <f t="shared" si="3"/>
        <v>72</v>
      </c>
      <c r="CK43" s="22">
        <v>0</v>
      </c>
      <c r="CL43" s="22">
        <f t="shared" si="4"/>
        <v>72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-52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173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34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77</v>
      </c>
      <c r="CJ55" s="27">
        <f t="shared" si="11"/>
        <v>77</v>
      </c>
      <c r="CK55" s="22">
        <v>0</v>
      </c>
      <c r="CL55" s="22">
        <f t="shared" si="12"/>
        <v>77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-47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207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11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42</v>
      </c>
      <c r="CJ61" s="27">
        <f t="shared" si="11"/>
        <v>42</v>
      </c>
      <c r="CK61" s="22">
        <v>0</v>
      </c>
      <c r="CL61" s="22">
        <f t="shared" si="12"/>
        <v>42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174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1499</v>
      </c>
      <c r="CJ77" s="25">
        <f>+SUM(CJ14:CJ76)</f>
        <v>1499</v>
      </c>
      <c r="CK77" s="25">
        <f>+SUM(CK14:CK76)</f>
        <v>0</v>
      </c>
      <c r="CL77" s="25">
        <f>+SUM(CL14:CL76)</f>
        <v>1499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7008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2026-10-28T20:36:24Z</dcterms:modified>
</cp:coreProperties>
</file>