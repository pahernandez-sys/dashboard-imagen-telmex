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46694E9-5B44-41BE-964D-BFE407B8840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N85" i="2" l="1"/>
  <c r="CW20" i="2"/>
  <c r="CW55" i="2"/>
  <c r="CQ37" i="3"/>
  <c r="CW62" i="2"/>
  <c r="CQ24" i="3"/>
  <c r="CW25" i="2"/>
  <c r="CW50" i="2"/>
  <c r="CW46" i="2"/>
  <c r="CW45" i="2"/>
  <c r="CW44" i="2"/>
  <c r="CW40" i="2"/>
  <c r="CW34" i="2"/>
  <c r="CW30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3" i="1" s="1"/>
  <c r="AH13" i="3"/>
  <c r="CO77" i="3"/>
  <c r="CP14" i="3"/>
  <c r="CJ14" i="3"/>
  <c r="CH77" i="3"/>
  <c r="AM13" i="2"/>
  <c r="D22" i="1"/>
  <c r="F22" i="1" s="1"/>
  <c r="AL13" i="2"/>
  <c r="D21" i="1"/>
  <c r="F21" i="1" s="1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AF13" i="2"/>
  <c r="D15" i="1"/>
  <c r="F15" i="1" s="1"/>
  <c r="D14" i="1"/>
  <c r="F14" i="1" s="1"/>
  <c r="AE13" i="2"/>
  <c r="D13" i="1"/>
  <c r="F13" i="1" s="1"/>
  <c r="AD13" i="2"/>
  <c r="D12" i="1"/>
  <c r="F12" i="1" s="1"/>
  <c r="AC13" i="2"/>
  <c r="AB13" i="2"/>
  <c r="D11" i="1"/>
  <c r="CN79" i="2"/>
  <c r="CP18" i="2"/>
  <c r="CU79" i="2"/>
  <c r="CV17" i="2"/>
  <c r="CW14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W59" i="2"/>
  <c r="CW58" i="2"/>
  <c r="CW56" i="2"/>
  <c r="CW54" i="2"/>
  <c r="CW53" i="2"/>
  <c r="CW52" i="2"/>
  <c r="CW51" i="2"/>
  <c r="CW49" i="2"/>
  <c r="CW48" i="2"/>
  <c r="CW47" i="2"/>
  <c r="CW43" i="2"/>
  <c r="CW42" i="2"/>
  <c r="CW39" i="2"/>
  <c r="CW38" i="2"/>
  <c r="CW37" i="2"/>
  <c r="CW36" i="2"/>
  <c r="CW33" i="2"/>
  <c r="CW32" i="2"/>
  <c r="CW31" i="2"/>
  <c r="CW29" i="2"/>
  <c r="CW28" i="2"/>
  <c r="CW27" i="2"/>
  <c r="CW26" i="2"/>
  <c r="CW24" i="2"/>
  <c r="CW23" i="2"/>
  <c r="CW21" i="2"/>
  <c r="CW19" i="2"/>
  <c r="CW16" i="2"/>
  <c r="CW15" i="2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1" i="2"/>
  <c r="CW41" i="2"/>
  <c r="CW35" i="2"/>
  <c r="CQ14" i="3" l="1"/>
  <c r="CQ77" i="3" s="1"/>
  <c r="CP77" i="3"/>
  <c r="CL14" i="3"/>
  <c r="CL77" i="3" s="1"/>
  <c r="CJ77" i="3"/>
  <c r="I3" i="2"/>
  <c r="CH13" i="3"/>
  <c r="E6" i="1"/>
  <c r="D3" i="3"/>
  <c r="F11" i="1"/>
  <c r="D23" i="1"/>
  <c r="B6" i="1"/>
  <c r="H6" i="1" s="1"/>
  <c r="I3" i="3"/>
  <c r="CN13" i="2"/>
  <c r="D3" i="2"/>
  <c r="CW18" i="2"/>
  <c r="CR18" i="2"/>
  <c r="CR79" i="2" s="1"/>
  <c r="CW17" i="2"/>
  <c r="CV79" i="2"/>
  <c r="CW79" i="2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<sst xmlns="http://schemas.openxmlformats.org/spreadsheetml/2006/main" count="586" uniqueCount="174">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</sst>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653</v>
      </c>
      <c r="C6" s="89"/>
      <c r="E6" s="88">
        <f>'Programa CAJAS REPORTE DIARIO'!CH77</f>
        <v>1699</v>
      </c>
      <c r="F6" s="89"/>
      <c r="H6" s="101">
        <f>B6+E6</f>
        <v>2352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171</v>
      </c>
      <c r="E22" s="72">
        <f>'Programa CAJAS REPORTE DIARIO'!AS77</f>
        <v>374</v>
      </c>
      <c r="F22" s="72">
        <f t="shared" si="0"/>
        <v>545</v>
      </c>
      <c r="G22" s="72">
        <f t="shared" si="1"/>
        <v>2352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653</v>
      </c>
      <c r="E23" s="75">
        <f>SUM(E11:E22)</f>
        <v>1699</v>
      </c>
      <c r="F23" s="75">
        <f>SUM(F11:F22)</f>
        <v>2352</v>
      </c>
      <c r="G23" s="75">
        <f>F23</f>
        <v>2352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653</v>
      </c>
      <c r="F3" s="79" t="s">
        <v>1</v>
      </c>
      <c r="I3" s="80">
        <f>'Programa CAJAS REPORTE DIARIO'!CH77+CN79</f>
        <v>2352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653</v>
      </c>
      <c r="CP79" s="25">
        <f>+SUM(CP14:CP78)</f>
        <v>653</v>
      </c>
      <c r="CQ79" s="25">
        <f>+SUM(CQ14:CQ78)</f>
        <v>0</v>
      </c>
      <c r="CR79" s="25">
        <f>+SUM(CR14:CR78)</f>
        <v>653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1699</v>
      </c>
      <c r="F3" s="79" t="s">
        <v>1</v>
      </c>
      <c r="I3" s="80">
        <f>'Programa CASETAS REPORTE DIARIO'!CN79+CH77</f>
        <v>2352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374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1699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17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30</v>
      </c>
      <c r="CJ41" s="27">
        <f t="shared" si="3"/>
        <v>30</v>
      </c>
      <c r="CK41" s="22">
        <v>0</v>
      </c>
      <c r="CL41" s="22">
        <f t="shared" si="4"/>
        <v>30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-17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374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1699</v>
      </c>
      <c r="CJ77" s="25">
        <f>+SUM(CJ14:CJ76)</f>
        <v>1699</v>
      </c>
      <c r="CK77" s="25">
        <f>+SUM(CK14:CK76)</f>
        <v>0</v>
      </c>
      <c r="CL77" s="25">
        <f>+SUM(CL14:CL76)</f>
        <v>1699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6808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2026-10-29T02:08:37Z</dcterms:modified>
</cp:coreProperties>
</file>