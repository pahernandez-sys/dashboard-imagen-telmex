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54985CF-3042-44E3-AC87-01B52B3F88F2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Q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G13" i="2" s="1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W16" i="2" s="1"/>
  <c r="CN16" i="2"/>
  <c r="CP16" i="2" s="1"/>
  <c r="CR16" i="2" s="1"/>
  <c r="DD15" i="2"/>
  <c r="CU15" i="2" s="1"/>
  <c r="CV15" i="2" s="1"/>
  <c r="CW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76" i="3" l="1"/>
  <c r="CQ75" i="3"/>
  <c r="CW36" i="2"/>
  <c r="CW31" i="2"/>
  <c r="CW29" i="2"/>
  <c r="CW24" i="2"/>
  <c r="CQ64" i="3"/>
  <c r="CQ63" i="3"/>
  <c r="CQ62" i="3"/>
  <c r="CQ58" i="3"/>
  <c r="CQ57" i="3"/>
  <c r="CQ56" i="3"/>
  <c r="CW32" i="2"/>
  <c r="CW38" i="2"/>
  <c r="CW26" i="2"/>
  <c r="CW30" i="2"/>
  <c r="CQ70" i="3"/>
  <c r="CW55" i="2"/>
  <c r="AS13" i="3"/>
  <c r="E22" i="1"/>
  <c r="F22" i="1" s="1"/>
  <c r="E21" i="1"/>
  <c r="F21" i="1" s="1"/>
  <c r="AR13" i="3"/>
  <c r="AQ13" i="3"/>
  <c r="E20" i="1"/>
  <c r="F20" i="1" s="1"/>
  <c r="E19" i="1"/>
  <c r="F19" i="1" s="1"/>
  <c r="AP13" i="3"/>
  <c r="AO13" i="3"/>
  <c r="E18" i="1"/>
  <c r="F18" i="1" s="1"/>
  <c r="E17" i="1"/>
  <c r="F17" i="1" s="1"/>
  <c r="AN13" i="3"/>
  <c r="AM13" i="3"/>
  <c r="E16" i="1"/>
  <c r="F16" i="1" s="1"/>
  <c r="AL13" i="3"/>
  <c r="E15" i="1"/>
  <c r="F15" i="1" s="1"/>
  <c r="E14" i="1"/>
  <c r="F14" i="1" s="1"/>
  <c r="AK13" i="3"/>
  <c r="AJ13" i="3"/>
  <c r="E13" i="1"/>
  <c r="F13" i="1" s="1"/>
  <c r="E12" i="1"/>
  <c r="F12" i="1" s="1"/>
  <c r="AI13" i="3"/>
  <c r="E11" i="1"/>
  <c r="AH13" i="3"/>
  <c r="CP32" i="3"/>
  <c r="CQ32" i="3" s="1"/>
  <c r="CO77" i="3"/>
  <c r="CJ19" i="3"/>
  <c r="CH77" i="3"/>
  <c r="CQ14" i="3"/>
  <c r="CP77" i="3"/>
  <c r="CJ77" i="3"/>
  <c r="CL14" i="3"/>
  <c r="F11" i="1"/>
  <c r="D23" i="1"/>
  <c r="CV14" i="2"/>
  <c r="CU79" i="2"/>
  <c r="CP14" i="2"/>
  <c r="CN79" i="2"/>
  <c r="CQ69" i="3"/>
  <c r="CQ67" i="3"/>
  <c r="CQ60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Q73" i="3"/>
  <c r="CQ65" i="3"/>
  <c r="CQ61" i="3"/>
  <c r="CQ59" i="3"/>
  <c r="CW67" i="2"/>
  <c r="CW66" i="2"/>
  <c r="CW65" i="2"/>
  <c r="CW64" i="2"/>
  <c r="CW63" i="2"/>
  <c r="CW62" i="2"/>
  <c r="CW61" i="2"/>
  <c r="CW60" i="2"/>
  <c r="CW59" i="2"/>
  <c r="CW58" i="2"/>
  <c r="CW57" i="2"/>
  <c r="CW56" i="2"/>
  <c r="CW28" i="2"/>
  <c r="CW27" i="2"/>
  <c r="CW25" i="2"/>
  <c r="CW22" i="2"/>
  <c r="CW21" i="2"/>
  <c r="CW20" i="2"/>
  <c r="CW19" i="2"/>
  <c r="CW18" i="2"/>
  <c r="CW17" i="2"/>
  <c r="CQ74" i="3"/>
  <c r="CQ72" i="3"/>
  <c r="CQ66" i="3"/>
  <c r="CQ55" i="3"/>
  <c r="CQ54" i="3"/>
  <c r="CW54" i="2"/>
  <c r="CW53" i="2"/>
  <c r="CW52" i="2"/>
  <c r="CW51" i="2"/>
  <c r="CW50" i="2"/>
  <c r="CW49" i="2"/>
  <c r="CW48" i="2"/>
  <c r="CW47" i="2"/>
  <c r="CW46" i="2"/>
  <c r="CW45" i="2"/>
  <c r="CW44" i="2"/>
  <c r="CW43" i="2"/>
  <c r="CW41" i="2"/>
  <c r="CW40" i="2"/>
  <c r="CW39" i="2"/>
  <c r="CW37" i="2"/>
  <c r="CW35" i="2"/>
  <c r="CW34" i="2"/>
  <c r="CW33" i="2"/>
  <c r="CW42" i="2"/>
  <c r="CW23" i="2"/>
  <c r="CQ71" i="3"/>
  <c r="CQ19" i="3" l="1"/>
  <c r="CQ77" i="3" s="1"/>
  <c r="CL19" i="3"/>
  <c r="CL77" i="3" s="1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CR14" i="2"/>
  <c r="CR79" i="2" s="1"/>
  <c r="CP79" i="2"/>
  <c r="B6" i="1"/>
  <c r="I3" i="3"/>
  <c r="D3" i="2"/>
  <c r="CN13" i="2"/>
  <c r="E23" i="1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<sst xmlns="http://schemas.openxmlformats.org/spreadsheetml/2006/main" count="586" uniqueCount="174">
  <si>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</si>
  <si>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</si>
  <si>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</si>
  <si>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</si>
  <si>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</si>
  <si>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</si>
  <si>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</si>
  <si>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</si>
  <si>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</si>
  <si>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</si>
  <si>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</si>
  <si>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</si>
  <si>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</si>
  <si>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</si>
  <si>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</si>
  <si>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</si>
  <si>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</si>
  <si>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</si>
  <si>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</si>
  <si>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</si>
  <si>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</si>
  <si>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</si>
  <si>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</si>
  <si>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</si>
  <si>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</si>
  <si>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</si>
  <si>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</si>
  <si>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</si>
  <si>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</si>
  <si>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</si>
  <si>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</si>
  <si>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</si>
  <si>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</si>
  <si>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</si>
  <si>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</si>
  <si>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</si>
  <si>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</si>
  <si>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</si>
  <si>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</si>
  <si>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</si>
  <si>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</si>
  <si>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</si>
  <si>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</si>
  <si>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</si>
  <si>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</si>
  <si>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</si>
  <si>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</si>
  <si>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</si>
  <si>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</si>
  <si>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</si>
  <si>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</si>
  <si>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</si>
  <si>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</si>
  <si>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</si>
  <si>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</si>
  <si>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</si>
  <si>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</si>
  <si>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</si>
  <si>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</si>
  <si>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</si>
  <si>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</si>
  <si>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</si>
  <si>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</si>
  <si>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</si>
  <si>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</si>
  <si>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</si>
  <si>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</si>
  <si>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</si>
  <si>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</si>
  <si>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</si>
  <si>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</si>
  <si>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</si>
  <si>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</si>
  <si>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</si>
  <si>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</si>
  <si>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</si>
  <si>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</si>
  <si>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</si>
  <si>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</si>
  <si>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</si>
  <si>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</si>
  <si>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</si>
  <si>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</si>
  <si>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</si>
  <si>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</si>
  <si>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</si>
  <si>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</si>
  <si>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</si>
  <si>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</si>
  <si>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</si>
  <si>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</si>
  <si>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</si>
  <si>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</si>
  <si>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</si>
  <si>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</si>
  <si>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</si>
  <si>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</si>
  <si>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</si>
  <si>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</si>
  <si>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</si>
  <si>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</si>
  <si>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</si>
  <si>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</si>
  <si>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</si>
  <si>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</si>
  <si>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</si>
  <si>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</si>
  <si>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</si>
  <si>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</si>
  <si>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</si>
  <si>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</si>
  <si>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</si>
  <si>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21:04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</si>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</sst>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1722</v>
      </c>
      <c r="F6" s="89"/>
      <c r="H6" s="101">
        <f>B6+E6</f>
        <v>2381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397</v>
      </c>
      <c r="F22" s="72">
        <f t="shared" si="0"/>
        <v>574</v>
      </c>
      <c r="G22" s="72">
        <f t="shared" si="1"/>
        <v>2381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659</v>
      </c>
      <c r="E23" s="75">
        <f>SUM(E11:E22)</f>
        <v>1722</v>
      </c>
      <c r="F23" s="75">
        <f>SUM(F11:F22)</f>
        <v>2381</v>
      </c>
      <c r="G23" s="75">
        <f>F23</f>
        <v>2381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2381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1722</v>
      </c>
      <c r="F3" s="79" t="s">
        <v>1</v>
      </c>
      <c r="I3" s="80">
        <f>'Programa CASETAS REPORTE DIARIO'!CN79+CH77</f>
        <v>2381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397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1722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24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37</v>
      </c>
      <c r="CJ41" s="27">
        <f t="shared" si="3"/>
        <v>37</v>
      </c>
      <c r="CK41" s="22">
        <v>0</v>
      </c>
      <c r="CL41" s="22">
        <f t="shared" si="4"/>
        <v>37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397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1722</v>
      </c>
      <c r="CJ77" s="25">
        <f>+SUM(CJ14:CJ76)</f>
        <v>1722</v>
      </c>
      <c r="CK77" s="25">
        <f>+SUM(CK14:CK76)</f>
        <v>0</v>
      </c>
      <c r="CL77" s="25">
        <f>+SUM(CL14:CL76)</f>
        <v>1722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6785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2026-10-29T03:04:16Z</dcterms:modified>
</cp:coreProperties>
</file>