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C4F9100-55F7-4272-87CF-B20DB702C4EA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CW21" i="2" l="1"/>
  <c r="CQ42" i="3"/>
  <c r="CQ35" i="3"/>
  <c r="CQ32" i="3"/>
  <c r="CQ31" i="3"/>
  <c r="CQ30" i="3"/>
  <c r="CQ16" i="3"/>
  <c r="CQ15" i="3"/>
  <c r="CQ27" i="3"/>
  <c r="CQ26" i="3"/>
  <c r="CQ24" i="3"/>
  <c r="CW44" i="2"/>
  <c r="CW35" i="2"/>
  <c r="CW28" i="2"/>
  <c r="CW26" i="2"/>
  <c r="E23" i="1"/>
  <c r="F23" i="1" s="1"/>
  <c r="AT13" i="3"/>
  <c r="AS13" i="3"/>
  <c r="E22" i="1"/>
  <c r="F22" i="1" s="1"/>
  <c r="AR13" i="3"/>
  <c r="E21" i="1"/>
  <c r="F21" i="1" s="1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AH13" i="3"/>
  <c r="CJ20" i="3"/>
  <c r="CH77" i="3"/>
  <c r="CP19" i="3"/>
  <c r="CQ19" i="3" s="1"/>
  <c r="CO77" i="3"/>
  <c r="CQ14" i="3"/>
  <c r="CP77" i="3"/>
  <c r="CL14" i="3"/>
  <c r="CJ77" i="3"/>
  <c r="D24" i="1"/>
  <c r="F11" i="1"/>
  <c r="CV30" i="2"/>
  <c r="CU79" i="2"/>
  <c r="CP30" i="2"/>
  <c r="CR30" i="2" s="1"/>
  <c r="CN79" i="2"/>
  <c r="CW14" i="2"/>
  <c r="CV79" i="2"/>
  <c r="CR14" i="2"/>
  <c r="CR79" i="2" s="1"/>
  <c r="CP79" i="2"/>
  <c r="CQ69" i="3"/>
  <c r="CQ68" i="3"/>
  <c r="CQ67" i="3"/>
  <c r="CQ34" i="3"/>
  <c r="CQ22" i="3"/>
  <c r="CQ76" i="3"/>
  <c r="CQ75" i="3"/>
  <c r="CQ74" i="3"/>
  <c r="CQ73" i="3"/>
  <c r="CQ72" i="3"/>
  <c r="CQ71" i="3"/>
  <c r="CQ70" i="3"/>
  <c r="CQ28" i="3"/>
  <c r="CQ23" i="3"/>
  <c r="CQ21" i="3"/>
  <c r="CQ18" i="3"/>
  <c r="CW15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Q40" i="3"/>
  <c r="CQ39" i="3"/>
  <c r="CQ38" i="3"/>
  <c r="CQ37" i="3"/>
  <c r="CQ36" i="3"/>
  <c r="CQ33" i="3"/>
  <c r="CQ29" i="3"/>
  <c r="CQ25" i="3"/>
  <c r="CQ1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43" i="2"/>
  <c r="CW42" i="2"/>
  <c r="CW41" i="2"/>
  <c r="CW25" i="2"/>
  <c r="CW24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0" i="2"/>
  <c r="CW39" i="2"/>
  <c r="CW38" i="2"/>
  <c r="CW37" i="2"/>
  <c r="CW36" i="2"/>
  <c r="CW27" i="2"/>
  <c r="CW23" i="2"/>
  <c r="CW19" i="2"/>
  <c r="CW34" i="2"/>
  <c r="CW33" i="2"/>
  <c r="CW32" i="2"/>
  <c r="CW31" i="2"/>
  <c r="CW29" i="2"/>
  <c r="E24" i="1" l="1"/>
  <c r="CQ20" i="3"/>
  <c r="CQ77" i="3" s="1"/>
  <c r="CL20" i="3"/>
  <c r="CL77" i="3" s="1"/>
  <c r="I3" i="2"/>
  <c r="D3" i="3"/>
  <c r="CH13" i="3"/>
  <c r="E6" i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D3" i="2"/>
  <c r="CN13" i="2"/>
  <c r="I3" i="3"/>
  <c r="B6" i="1"/>
  <c r="CW30" i="2"/>
  <c r="CW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<sst xmlns="http://schemas.openxmlformats.org/spreadsheetml/2006/main" count="589" uniqueCount="175">
  <si>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</si>
  <si>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</si>
  <si>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</si>
  <si>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</si>
  <si>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</si>
  <si>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</si>
  <si>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</si>
  <si>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</si>
  <si>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</si>
  <si>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</si>
  <si>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</si>
  <si>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</si>
  <si>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</si>
  <si>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</si>
  <si>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</si>
  <si>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</si>
  <si>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</si>
  <si>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</si>
  <si>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</si>
  <si>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</si>
  <si>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</si>
  <si>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</si>
  <si>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</si>
  <si>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</si>
  <si>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</si>
  <si>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</si>
  <si>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</si>
  <si>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</si>
  <si>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</si>
  <si>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</si>
  <si>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</si>
  <si>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</si>
  <si>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</si>
  <si>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</si>
  <si>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</si>
  <si>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</si>
  <si>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</si>
  <si>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</si>
  <si>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</si>
  <si>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</si>
  <si>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</si>
  <si>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</si>
  <si>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</si>
  <si>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</si>
  <si>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</si>
  <si>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</si>
  <si>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</si>
  <si>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</si>
  <si>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</si>
  <si>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</si>
  <si>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</si>
  <si>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</si>
  <si>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</si>
  <si>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</si>
  <si>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</si>
  <si>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</si>
  <si>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</si>
  <si>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</si>
  <si>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</si>
  <si>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</si>
  <si>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</si>
  <si>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</si>
  <si>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</si>
  <si>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</si>
  <si>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</si>
  <si>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</si>
  <si>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</si>
  <si>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</si>
  <si>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</si>
  <si>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</si>
  <si>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</si>
  <si>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</si>
  <si>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</si>
  <si>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</si>
  <si>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</si>
  <si>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</si>
  <si>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</si>
  <si>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</si>
  <si>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</si>
  <si>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</si>
  <si>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</si>
  <si>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</si>
  <si>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</si>
  <si>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</si>
  <si>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</si>
  <si>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</si>
  <si>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</si>
  <si>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</si>
  <si>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</si>
  <si>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</si>
  <si>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</si>
  <si>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</si>
  <si>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</si>
  <si>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</si>
  <si>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</si>
  <si>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</si>
  <si>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</si>
  <si>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</si>
  <si>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</si>
  <si>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</si>
  <si>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</si>
  <si>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</si>
  <si>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</si>
  <si>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</si>
  <si>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</si>
  <si>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</si>
  <si>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</si>
  <si>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</si>
  <si>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</si>
  <si>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</si>
  <si>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</si>
  <si>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</si>
  <si>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18:47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</si>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</sst>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892</v>
      </c>
      <c r="C6" s="89"/>
      <c r="E6" s="88">
        <f>'Programa CAJAS REPORTE DIARIO'!CH77</f>
        <v>2374</v>
      </c>
      <c r="F6" s="89"/>
      <c r="H6" s="101">
        <f>B6+E6</f>
        <v>3266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233</v>
      </c>
      <c r="E23" s="70">
        <f>'Programa CAJAS REPORTE DIARIO'!AT77</f>
        <v>645</v>
      </c>
      <c r="F23" s="70">
        <f t="shared" si="0"/>
        <v>878</v>
      </c>
      <c r="G23" s="70">
        <f t="shared" si="1"/>
        <v>3266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892</v>
      </c>
      <c r="E24" s="75">
        <f>SUM(E11:E23)</f>
        <v>2374</v>
      </c>
      <c r="F24" s="75">
        <f>SUM(F11:F23)</f>
        <v>3266</v>
      </c>
      <c r="G24" s="75">
        <f>F24</f>
        <v>3266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892</v>
      </c>
      <c r="F3" s="79" t="s">
        <v>1</v>
      </c>
      <c r="I3" s="80">
        <f>'Programa CAJAS REPORTE DIARIO'!CH77+CN79</f>
        <v>3266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131</v>
      </c>
      <c r="CP42" s="27">
        <f t="shared" si="4"/>
        <v>131</v>
      </c>
      <c r="CQ42" s="22">
        <v>0</v>
      </c>
      <c r="CR42" s="22">
        <f t="shared" si="5"/>
        <v>131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-131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892</v>
      </c>
      <c r="CP79" s="25">
        <f>+SUM(CP14:CP78)</f>
        <v>892</v>
      </c>
      <c r="CQ79" s="25">
        <f>+SUM(CQ14:CQ78)</f>
        <v>0</v>
      </c>
      <c r="CR79" s="25">
        <f>+SUM(CR14:CR78)</f>
        <v>892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2374</v>
      </c>
      <c r="F3" s="79" t="s">
        <v>1</v>
      </c>
      <c r="I3" s="80">
        <f>'Programa CASETAS REPORTE DIARIO'!CN79+CH77</f>
        <v>3266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54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419</v>
      </c>
      <c r="CJ27" s="27">
        <f t="shared" si="3"/>
        <v>419</v>
      </c>
      <c r="CK27" s="22">
        <v>0</v>
      </c>
      <c r="CL27" s="22">
        <f t="shared" si="4"/>
        <v>419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2374</v>
      </c>
      <c r="CJ77" s="25">
        <f>+SUM(CJ14:CJ76)</f>
        <v>2374</v>
      </c>
      <c r="CK77" s="25">
        <f>+SUM(CK14:CK76)</f>
        <v>0</v>
      </c>
      <c r="CL77" s="25">
        <f>+SUM(CL14:CL76)</f>
        <v>2374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8858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2026-10-30T00:47:28Z</dcterms:modified>
</cp:coreProperties>
</file>