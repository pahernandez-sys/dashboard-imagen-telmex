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064780E-D284-49BC-8FA1-4268B364A1D1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Q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E22" i="1"/>
  <c r="E21" i="1"/>
  <c r="E20" i="1"/>
  <c r="E19" i="1"/>
  <c r="E18" i="1"/>
  <c r="E17" i="1"/>
  <c r="E16" i="1"/>
  <c r="E15" i="1"/>
  <c r="E14" i="1"/>
  <c r="E13" i="1"/>
  <c r="E12" i="1"/>
  <c r="E11" i="1"/>
  <c r="E23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F22" i="1" s="1"/>
  <c r="AL79" i="2"/>
  <c r="D21" i="1" s="1"/>
  <c r="F21" i="1" s="1"/>
  <c r="AK79" i="2"/>
  <c r="D20" i="1" s="1"/>
  <c r="F20" i="1" s="1"/>
  <c r="AJ79" i="2"/>
  <c r="D19" i="1" s="1"/>
  <c r="F19" i="1" s="1"/>
  <c r="AI79" i="2"/>
  <c r="D18" i="1" s="1"/>
  <c r="F18" i="1" s="1"/>
  <c r="AH79" i="2"/>
  <c r="D17" i="1" s="1"/>
  <c r="F17" i="1" s="1"/>
  <c r="AG79" i="2"/>
  <c r="D16" i="1" s="1"/>
  <c r="F16" i="1" s="1"/>
  <c r="AF79" i="2"/>
  <c r="D15" i="1" s="1"/>
  <c r="F15" i="1" s="1"/>
  <c r="AE79" i="2"/>
  <c r="D14" i="1" s="1"/>
  <c r="F14" i="1" s="1"/>
  <c r="AD79" i="2"/>
  <c r="D13" i="1" s="1"/>
  <c r="F13" i="1" s="1"/>
  <c r="AC79" i="2"/>
  <c r="D12" i="1" s="1"/>
  <c r="F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57" i="2" l="1"/>
  <c r="CQ57" i="3"/>
  <c r="CQ56" i="3"/>
  <c r="CW76" i="2"/>
  <c r="CW75" i="2"/>
  <c r="CW70" i="2"/>
  <c r="CW69" i="2"/>
  <c r="CQ75" i="3"/>
  <c r="CQ74" i="3"/>
  <c r="CQ72" i="3"/>
  <c r="CQ71" i="3"/>
  <c r="CQ67" i="3"/>
  <c r="CQ65" i="3"/>
  <c r="CQ64" i="3"/>
  <c r="CQ63" i="3"/>
  <c r="CQ62" i="3"/>
  <c r="CQ60" i="3"/>
  <c r="CW72" i="2"/>
  <c r="CW30" i="2"/>
  <c r="CO77" i="3"/>
  <c r="CP14" i="3"/>
  <c r="CH77" i="3"/>
  <c r="CJ14" i="3"/>
  <c r="F11" i="1"/>
  <c r="D23" i="1"/>
  <c r="CU79" i="2"/>
  <c r="CV14" i="2"/>
  <c r="CN79" i="2"/>
  <c r="CP14" i="2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68" i="2"/>
  <c r="CW67" i="2"/>
  <c r="CW66" i="2"/>
  <c r="CW65" i="2"/>
  <c r="CW64" i="2"/>
  <c r="CW63" i="2"/>
  <c r="CW62" i="2"/>
  <c r="CW61" i="2"/>
  <c r="CW60" i="2"/>
  <c r="CW59" i="2"/>
  <c r="CW58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17" i="2"/>
  <c r="CW16" i="2"/>
  <c r="CW15" i="2"/>
  <c r="CQ76" i="3"/>
  <c r="CQ66" i="3"/>
  <c r="CQ58" i="3"/>
  <c r="CQ55" i="3"/>
  <c r="CQ54" i="3"/>
  <c r="CQ48" i="3"/>
  <c r="CQ47" i="3"/>
  <c r="CW74" i="2"/>
  <c r="CW73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Q70" i="3"/>
  <c r="CQ69" i="3"/>
  <c r="CQ68" i="3"/>
  <c r="CQ61" i="3"/>
  <c r="CQ59" i="3"/>
  <c r="CQ53" i="3"/>
  <c r="CQ52" i="3"/>
  <c r="CQ51" i="3"/>
  <c r="CQ50" i="3"/>
  <c r="CQ49" i="3"/>
  <c r="CW71" i="2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V79" i="2"/>
  <c r="CW14" i="2"/>
  <c r="CW79" i="2" s="1"/>
  <c r="B6" i="1"/>
  <c r="I3" i="3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<sst xmlns="http://schemas.openxmlformats.org/spreadsheetml/2006/main" count="586" uniqueCount="174">
  <si>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</si>
  <si>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</si>
  <si>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</si>
  <si>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</si>
  <si>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</si>
  <si>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</si>
  <si>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</si>
  <si>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</si>
  <si>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</si>
  <si>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</si>
  <si>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</si>
  <si>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</si>
  <si>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</si>
  <si>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</si>
  <si>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</si>
  <si>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</si>
  <si>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</si>
  <si>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</si>
  <si>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</si>
  <si>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</si>
  <si>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</si>
  <si>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</si>
  <si>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</si>
  <si>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</si>
  <si>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</si>
  <si>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</si>
  <si>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</si>
  <si>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</si>
  <si>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</si>
  <si>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</si>
  <si>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</si>
  <si>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</si>
  <si>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</si>
  <si>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</si>
  <si>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</si>
  <si>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</si>
  <si>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</si>
  <si>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</si>
  <si>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</si>
  <si>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</si>
  <si>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</si>
  <si>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</si>
  <si>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</si>
  <si>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</si>
  <si>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</si>
  <si>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</si>
  <si>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</si>
  <si>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</si>
  <si>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</si>
  <si>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</si>
  <si>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</si>
  <si>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</si>
  <si>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</si>
  <si>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</si>
  <si>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</si>
  <si>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</si>
  <si>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</si>
  <si>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</si>
  <si>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</si>
  <si>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</si>
  <si>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</si>
  <si>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</si>
  <si>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</si>
  <si>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</si>
  <si>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</si>
  <si>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</si>
  <si>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</si>
  <si>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</si>
  <si>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</si>
  <si>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</si>
  <si>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</si>
  <si>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</si>
  <si>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</si>
  <si>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</si>
  <si>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</si>
  <si>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</si>
  <si>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</si>
  <si>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</si>
  <si>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</si>
  <si>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</si>
  <si>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</si>
  <si>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</si>
  <si>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</si>
  <si>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</si>
  <si>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</si>
  <si>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</si>
  <si>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</si>
  <si>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</si>
  <si>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</si>
  <si>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</si>
  <si>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</si>
  <si>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</si>
  <si>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</si>
  <si>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</si>
  <si>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</si>
  <si>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</si>
  <si>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</si>
  <si>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</si>
  <si>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</si>
  <si>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</si>
  <si>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</si>
  <si>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</si>
  <si>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</si>
  <si>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</si>
  <si>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</si>
  <si>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</si>
  <si>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</si>
  <si>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</si>
  <si>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</si>
  <si>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</si>
  <si>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</si>
  <si>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</si>
  <si>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20:45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</si>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</sst>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1720</v>
      </c>
      <c r="F6" s="89"/>
      <c r="H6" s="101">
        <f>B6+E6</f>
        <v>2379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395</v>
      </c>
      <c r="F22" s="72">
        <f t="shared" si="0"/>
        <v>572</v>
      </c>
      <c r="G22" s="72">
        <f t="shared" si="1"/>
        <v>2379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1720</v>
      </c>
      <c r="F23" s="75">
        <f>SUM(F11:F22)</f>
        <v>2379</v>
      </c>
      <c r="G23" s="75">
        <f>F23</f>
        <v>2379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2379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1720</v>
      </c>
      <c r="F3" s="79" t="s">
        <v>1</v>
      </c>
      <c r="I3" s="80">
        <f>'Programa CASETAS REPORTE DIARIO'!CN79+CH77</f>
        <v>2379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395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22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35</v>
      </c>
      <c r="CJ41" s="27">
        <f t="shared" si="3"/>
        <v>35</v>
      </c>
      <c r="CK41" s="22">
        <v>0</v>
      </c>
      <c r="CL41" s="22">
        <f t="shared" si="4"/>
        <v>35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-22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395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1720</v>
      </c>
      <c r="CJ77" s="25">
        <f>+SUM(CJ14:CJ76)</f>
        <v>1720</v>
      </c>
      <c r="CK77" s="25">
        <f>+SUM(CK14:CK76)</f>
        <v>0</v>
      </c>
      <c r="CL77" s="25">
        <f>+SUM(CL14:CL76)</f>
        <v>1720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2026-10-29T02:45:43Z</dcterms:modified>
</cp:coreProperties>
</file>