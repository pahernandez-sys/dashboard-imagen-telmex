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0A5ABAE-5874-4F9D-B2CF-0612ABF7DA41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W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59" i="3" l="1"/>
  <c r="AU13" i="3"/>
  <c r="E24" i="1"/>
  <c r="F24" i="1" s="1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AI13" i="3"/>
  <c r="E12" i="1"/>
  <c r="F12" i="1" s="1"/>
  <c r="AH13" i="3"/>
  <c r="E11" i="1"/>
  <c r="CO77" i="3"/>
  <c r="CP14" i="3"/>
  <c r="CH77" i="3"/>
  <c r="CJ14" i="3"/>
  <c r="F11" i="1"/>
  <c r="D25" i="1"/>
  <c r="CU79" i="2"/>
  <c r="CV14" i="2"/>
  <c r="CP14" i="2"/>
  <c r="CN79" i="2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22" i="3"/>
  <c r="CQ21" i="3"/>
  <c r="CQ20" i="3"/>
  <c r="CQ19" i="3"/>
  <c r="CQ18" i="3"/>
  <c r="CQ17" i="3"/>
  <c r="CQ16" i="3"/>
  <c r="CQ15" i="3"/>
  <c r="CQ60" i="3"/>
  <c r="E25" i="1" l="1"/>
  <c r="CQ14" i="3"/>
  <c r="CQ77" i="3" s="1"/>
  <c r="CP77" i="3"/>
  <c r="E6" i="1"/>
  <c r="I3" i="2"/>
  <c r="D3" i="3"/>
  <c r="CH13" i="3"/>
  <c r="CL14" i="3"/>
  <c r="CL77" i="3" s="1"/>
  <c r="CJ77" i="3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CV79" i="2"/>
  <c r="CW14" i="2"/>
  <c r="CW79" i="2" s="1"/>
  <c r="CR14" i="2"/>
  <c r="CR79" i="2" s="1"/>
  <c r="CP79" i="2"/>
  <c r="CN13" i="2"/>
  <c r="B6" i="1"/>
  <c r="I3" i="3"/>
  <c r="D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<sst xmlns="http://schemas.openxmlformats.org/spreadsheetml/2006/main" count="592" uniqueCount="176">
  <si>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</si>
  <si>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</si>
  <si>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</si>
  <si>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</si>
  <si>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</si>
  <si>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</si>
  <si>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</si>
  <si>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</si>
  <si>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</si>
  <si>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</si>
  <si>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</si>
  <si>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</si>
  <si>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</si>
  <si>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</si>
  <si>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</si>
  <si>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</si>
  <si>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</si>
  <si>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</si>
  <si>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</si>
  <si>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</si>
  <si>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</si>
  <si>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</si>
  <si>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</si>
  <si>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</si>
  <si>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</si>
  <si>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</si>
  <si>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</si>
  <si>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</si>
  <si>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</si>
  <si>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</si>
  <si>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</si>
  <si>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</si>
  <si>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</si>
  <si>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</si>
  <si>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</si>
  <si>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</si>
  <si>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</si>
  <si>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</si>
  <si>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</si>
  <si>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</si>
  <si>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</si>
  <si>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</si>
  <si>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</si>
  <si>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</si>
  <si>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</si>
  <si>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</si>
  <si>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</si>
  <si>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</si>
  <si>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</si>
  <si>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</si>
  <si>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</si>
  <si>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</si>
  <si>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</si>
  <si>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</si>
  <si>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</si>
  <si>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</si>
  <si>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</si>
  <si>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</si>
  <si>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</si>
  <si>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</si>
  <si>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</si>
  <si>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</si>
  <si>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</si>
  <si>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</si>
  <si>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</si>
  <si>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</si>
  <si>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</si>
  <si>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</si>
  <si>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</si>
  <si>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</si>
  <si>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</si>
  <si>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</si>
  <si>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</si>
  <si>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</si>
  <si>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</si>
  <si>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</si>
  <si>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</si>
  <si>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</si>
  <si>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</si>
  <si>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</si>
  <si>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</si>
  <si>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</si>
  <si>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</si>
  <si>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</si>
  <si>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</si>
  <si>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</si>
  <si>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</si>
  <si>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</si>
  <si>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</si>
  <si>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</si>
  <si>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</si>
  <si>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</si>
  <si>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</si>
  <si>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</si>
  <si>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</si>
  <si>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</si>
  <si>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</si>
  <si>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</si>
  <si>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</si>
  <si>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</si>
  <si>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</si>
  <si>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</si>
  <si>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</si>
  <si>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</si>
  <si>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</si>
  <si>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</si>
  <si>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</si>
  <si>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</si>
  <si>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</si>
  <si>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</si>
  <si>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</si>
  <si>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</si>
  <si>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15:11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</si>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</sst>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1027</v>
      </c>
      <c r="C6" s="89"/>
      <c r="E6" s="88">
        <f>'Programa CAJAS REPORTE DIARIO'!CH77</f>
        <v>3020</v>
      </c>
      <c r="F6" s="89"/>
      <c r="H6" s="101">
        <f>B6+E6</f>
        <v>4047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119</v>
      </c>
      <c r="E24" s="72">
        <f>'Programa CAJAS REPORTE DIARIO'!AU77</f>
        <v>545</v>
      </c>
      <c r="F24" s="72">
        <f t="shared" si="0"/>
        <v>664</v>
      </c>
      <c r="G24" s="72">
        <f t="shared" si="1"/>
        <v>4047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1027</v>
      </c>
      <c r="E25" s="75">
        <f>SUM(E11:E24)</f>
        <v>3020</v>
      </c>
      <c r="F25" s="75">
        <f>SUM(F11:F24)</f>
        <v>4047</v>
      </c>
      <c r="G25" s="75">
        <f>F25</f>
        <v>4047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1027</v>
      </c>
      <c r="F3" s="79" t="s">
        <v>1</v>
      </c>
      <c r="I3" s="80">
        <f>'Programa CAJAS REPORTE DIARIO'!CH77+CN79</f>
        <v>4047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119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1027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17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130</v>
      </c>
      <c r="CP29" s="27">
        <f t="shared" si="4"/>
        <v>130</v>
      </c>
      <c r="CQ29" s="22">
        <v>0</v>
      </c>
      <c r="CR29" s="22">
        <f t="shared" si="5"/>
        <v>130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37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170</v>
      </c>
      <c r="CP42" s="27">
        <f t="shared" si="4"/>
        <v>170</v>
      </c>
      <c r="CQ42" s="22">
        <v>0</v>
      </c>
      <c r="CR42" s="22">
        <f t="shared" si="5"/>
        <v>170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44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106</v>
      </c>
      <c r="CP56" s="27">
        <f t="shared" si="11"/>
        <v>106</v>
      </c>
      <c r="CQ56" s="22">
        <v>0</v>
      </c>
      <c r="CR56" s="22">
        <f t="shared" si="12"/>
        <v>106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119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1027</v>
      </c>
      <c r="CP79" s="25">
        <f>+SUM(CP14:CP78)</f>
        <v>1027</v>
      </c>
      <c r="CQ79" s="25">
        <f>+SUM(CQ14:CQ78)</f>
        <v>0</v>
      </c>
      <c r="CR79" s="25">
        <f>+SUM(CR14:CR78)</f>
        <v>1027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6239.5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3020</v>
      </c>
      <c r="F3" s="79" t="s">
        <v>1</v>
      </c>
      <c r="I3" s="80">
        <f>'Programa CASETAS REPORTE DIARIO'!CN79+CH77</f>
        <v>4047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545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3020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44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481</v>
      </c>
      <c r="CJ27" s="27">
        <f t="shared" si="3"/>
        <v>481</v>
      </c>
      <c r="CK27" s="22">
        <v>0</v>
      </c>
      <c r="CL27" s="22">
        <f t="shared" si="4"/>
        <v>481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22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349</v>
      </c>
      <c r="CJ28" s="27">
        <f t="shared" si="3"/>
        <v>349</v>
      </c>
      <c r="CK28" s="22">
        <v>0</v>
      </c>
      <c r="CL28" s="22">
        <f t="shared" si="4"/>
        <v>349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-169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28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133</v>
      </c>
      <c r="CJ29" s="27">
        <f t="shared" si="3"/>
        <v>133</v>
      </c>
      <c r="CK29" s="22">
        <v>0</v>
      </c>
      <c r="CL29" s="22">
        <f t="shared" si="4"/>
        <v>133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85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171</v>
      </c>
      <c r="CJ37" s="27">
        <f t="shared" si="3"/>
        <v>171</v>
      </c>
      <c r="CK37" s="22">
        <v>0</v>
      </c>
      <c r="CL37" s="22">
        <f t="shared" si="4"/>
        <v>171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404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34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93</v>
      </c>
      <c r="CJ41" s="27">
        <f t="shared" si="3"/>
        <v>93</v>
      </c>
      <c r="CK41" s="22">
        <v>0</v>
      </c>
      <c r="CL41" s="22">
        <f t="shared" si="4"/>
        <v>93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487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396</v>
      </c>
      <c r="CJ53" s="27">
        <f t="shared" si="11"/>
        <v>396</v>
      </c>
      <c r="CK53" s="22">
        <v>0</v>
      </c>
      <c r="CL53" s="22">
        <f t="shared" si="12"/>
        <v>396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-328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17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100</v>
      </c>
      <c r="CJ55" s="27">
        <f t="shared" si="11"/>
        <v>100</v>
      </c>
      <c r="CK55" s="22">
        <v>0</v>
      </c>
      <c r="CL55" s="22">
        <f t="shared" si="12"/>
        <v>100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69</v>
      </c>
      <c r="CJ61" s="27">
        <f t="shared" si="11"/>
        <v>69</v>
      </c>
      <c r="CK61" s="22">
        <v>0</v>
      </c>
      <c r="CL61" s="22">
        <f t="shared" si="12"/>
        <v>69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545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3020</v>
      </c>
      <c r="CJ77" s="25">
        <f>+SUM(CJ14:CJ76)</f>
        <v>3020</v>
      </c>
      <c r="CK77" s="25">
        <f>+SUM(CK14:CK76)</f>
        <v>0</v>
      </c>
      <c r="CL77" s="25">
        <f>+SUM(CL14:CL76)</f>
        <v>3020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8374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2026-10-30T21:11:27Z</dcterms:modified>
</cp:coreProperties>
</file>