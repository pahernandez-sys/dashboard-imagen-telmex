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965E61C8-E11C-4964-B589-08B482279AF9}" xr6:coauthVersionLast="47" xr6:coauthVersionMax="47" xr10:uidLastSave="{00000000-0000-0000-0000-000000000000}"/>
  <bookViews>
    <workbookView xWindow="760" yWindow="760" windowWidth="4800" windowHeight="281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N77" i="3"/>
  <c r="BM77" i="3"/>
  <c r="BL77" i="3"/>
  <c r="BK77" i="3"/>
  <c r="BJ77" i="3"/>
  <c r="BI77" i="3"/>
  <c r="BH77" i="3"/>
  <c r="BG77" i="3"/>
  <c r="BF77" i="3"/>
  <c r="BE77" i="3"/>
  <c r="BD77" i="3"/>
  <c r="BC77" i="3"/>
  <c r="BB77" i="3"/>
  <c r="BA77" i="3"/>
  <c r="AZ77" i="3"/>
  <c r="AY77" i="3"/>
  <c r="AX77" i="3"/>
  <c r="AW77" i="3"/>
  <c r="AV77" i="3"/>
  <c r="AU77" i="3"/>
  <c r="AT77" i="3"/>
  <c r="AS77" i="3"/>
  <c r="AR77" i="3"/>
  <c r="AQ77" i="3"/>
  <c r="E20" i="1" s="1"/>
  <c r="AP77" i="3"/>
  <c r="E19" i="1" s="1"/>
  <c r="AO77" i="3"/>
  <c r="E18" i="1" s="1"/>
  <c r="AN77" i="3"/>
  <c r="E17" i="1" s="1"/>
  <c r="AM77" i="3"/>
  <c r="E16" i="1" s="1"/>
  <c r="AL77" i="3"/>
  <c r="E15" i="1" s="1"/>
  <c r="AK77" i="3"/>
  <c r="E14" i="1" s="1"/>
  <c r="AJ77" i="3"/>
  <c r="E13" i="1" s="1"/>
  <c r="AI77" i="3"/>
  <c r="E12" i="1" s="1"/>
  <c r="AH77" i="3"/>
  <c r="E11" i="1" s="1"/>
  <c r="E21" i="1" s="1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 s="1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 s="1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 s="1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BN13" i="3"/>
  <c r="BM13" i="3"/>
  <c r="BL13" i="3"/>
  <c r="BK13" i="3"/>
  <c r="BJ13" i="3"/>
  <c r="BI13" i="3"/>
  <c r="BH13" i="3"/>
  <c r="BG13" i="3"/>
  <c r="BF13" i="3"/>
  <c r="BE13" i="3"/>
  <c r="BD13" i="3"/>
  <c r="BC13" i="3"/>
  <c r="BB13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AJ13" i="3"/>
  <c r="AI13" i="3"/>
  <c r="AH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M13" i="2" s="1"/>
  <c r="AL79" i="2"/>
  <c r="AL13" i="2" s="1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CW29" i="2" l="1"/>
  <c r="CW57" i="2"/>
  <c r="CQ49" i="3"/>
  <c r="CQ25" i="3"/>
  <c r="CW36" i="2"/>
  <c r="CW32" i="2"/>
  <c r="CW30" i="2"/>
  <c r="CW24" i="2"/>
  <c r="CW22" i="2"/>
  <c r="CW21" i="2"/>
  <c r="CW19" i="2"/>
  <c r="CW18" i="2"/>
  <c r="CW15" i="2"/>
  <c r="D20" i="1"/>
  <c r="AK13" i="2"/>
  <c r="D19" i="1"/>
  <c r="AJ13" i="2"/>
  <c r="D18" i="1"/>
  <c r="AI13" i="2"/>
  <c r="D17" i="1"/>
  <c r="AH13" i="2"/>
  <c r="D16" i="1"/>
  <c r="AG13" i="2"/>
  <c r="D15" i="1"/>
  <c r="AF13" i="2"/>
  <c r="D14" i="1"/>
  <c r="AE13" i="2"/>
  <c r="D13" i="1"/>
  <c r="AD13" i="2"/>
  <c r="D12" i="1"/>
  <c r="F12" i="1" s="1"/>
  <c r="AC13" i="2"/>
  <c r="D11" i="1"/>
  <c r="AB13" i="2"/>
  <c r="CP14" i="3"/>
  <c r="CO77" i="3"/>
  <c r="CJ14" i="3"/>
  <c r="CH77" i="3"/>
  <c r="F11" i="1"/>
  <c r="D21" i="1"/>
  <c r="CU79" i="2"/>
  <c r="CV14" i="2"/>
  <c r="CN79" i="2"/>
  <c r="CP14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W28" i="2"/>
  <c r="CW27" i="2"/>
  <c r="CW26" i="2"/>
  <c r="CW25" i="2"/>
  <c r="CW20" i="2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2" i="3"/>
  <c r="CQ31" i="3"/>
  <c r="CQ30" i="3"/>
  <c r="CQ29" i="3"/>
  <c r="CQ28" i="3"/>
  <c r="CQ27" i="3"/>
  <c r="CQ26" i="3"/>
  <c r="CQ24" i="3"/>
  <c r="CQ23" i="3"/>
  <c r="CQ22" i="3"/>
  <c r="CQ21" i="3"/>
  <c r="CQ20" i="3"/>
  <c r="CQ19" i="3"/>
  <c r="CQ18" i="3"/>
  <c r="CQ17" i="3"/>
  <c r="CQ16" i="3"/>
  <c r="CQ15" i="3"/>
  <c r="F20" i="1"/>
  <c r="F19" i="1"/>
  <c r="F18" i="1"/>
  <c r="F17" i="1"/>
  <c r="F16" i="1"/>
  <c r="F15" i="1"/>
  <c r="F14" i="1"/>
  <c r="F13" i="1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5" i="2"/>
  <c r="CW34" i="2"/>
  <c r="CW33" i="2"/>
  <c r="CW31" i="2"/>
  <c r="CW23" i="2"/>
  <c r="CW16" i="2"/>
  <c r="CW17" i="2"/>
  <c r="CP77" i="3" l="1"/>
  <c r="CQ14" i="3"/>
  <c r="CQ77" i="3" s="1"/>
  <c r="CJ77" i="3"/>
  <c r="CL14" i="3"/>
  <c r="CL77" i="3" s="1"/>
  <c r="I3" i="2"/>
  <c r="CH13" i="3"/>
  <c r="E6" i="1"/>
  <c r="D3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F21" i="1"/>
  <c r="G21" i="1" s="1"/>
  <c r="CW14" i="2"/>
  <c r="CW79" i="2" s="1"/>
  <c r="CV79" i="2"/>
  <c r="B6" i="1"/>
  <c r="I3" i="3"/>
  <c r="CN13" i="2"/>
  <c r="D3" i="2"/>
  <c r="CR14" i="2"/>
  <c r="CR79" i="2" s="1"/>
  <c r="CP79" i="2"/>
  <c r="H6" i="1" l="1"/>
</calcChain>
</file>

<file path=xl/sharedStrings.xml><?xml version="1.0" encoding="utf-8"?>
<sst xmlns="http://schemas.openxmlformats.org/spreadsheetml/2006/main" count="580" uniqueCount="171">
  <si>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</si>
  <si>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</si>
  <si>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</si>
  <si>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</si>
  <si>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</si>
  <si>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</si>
  <si>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</si>
  <si>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</si>
  <si>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</si>
  <si>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</si>
  <si>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</si>
  <si>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</si>
  <si>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</si>
  <si>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</si>
  <si>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</si>
  <si>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</si>
  <si>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</si>
  <si>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</si>
  <si>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</si>
  <si>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</si>
  <si>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</si>
  <si>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</si>
  <si>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</si>
  <si>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</si>
  <si>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</si>
  <si>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</si>
  <si>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</si>
  <si>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</si>
  <si>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</si>
  <si>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</si>
  <si>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</si>
  <si>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</si>
  <si>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</si>
  <si>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</si>
  <si>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</si>
  <si>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</si>
  <si>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</si>
  <si>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</si>
  <si>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</si>
  <si>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</si>
  <si>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</si>
  <si>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</si>
  <si>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</si>
  <si>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</si>
  <si>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</si>
  <si>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</si>
  <si>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</si>
  <si>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</si>
  <si>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</si>
  <si>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</si>
  <si>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</si>
  <si>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</si>
  <si>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</si>
  <si>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</si>
  <si>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</si>
  <si>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</si>
  <si>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</si>
  <si>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</si>
  <si>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</si>
  <si>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</si>
  <si>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</si>
  <si>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</si>
  <si>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</si>
  <si>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</si>
  <si>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</si>
  <si>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</si>
  <si>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</si>
  <si>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</si>
  <si>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</si>
  <si>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</si>
  <si>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</si>
  <si>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</si>
  <si>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</si>
  <si>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</si>
  <si>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</si>
  <si>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</si>
  <si>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</si>
  <si>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</si>
  <si>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</si>
  <si>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</si>
  <si>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</si>
  <si>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</si>
  <si>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</si>
  <si>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</si>
  <si>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</si>
  <si>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</si>
  <si>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</si>
  <si>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</si>
  <si>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</si>
  <si>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</si>
  <si>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</si>
  <si>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</si>
  <si>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</si>
  <si>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</si>
  <si>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</si>
  <si>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</si>
  <si>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</si>
  <si>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</si>
  <si>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</si>
  <si>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</si>
  <si>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</si>
  <si>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</si>
  <si>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</si>
  <si>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</si>
  <si>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</si>
  <si>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</si>
  <si>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</si>
  <si>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</si>
  <si>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</si>
  <si>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</si>
  <si>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</si>
  <si>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</si>
  <si>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(27/10/2026, 21:21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</si>
  <si>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</si>
  <si>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</si>
  <si>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</si>
  <si>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</si>
  <si>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</si>
  <si>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</si>
  <si>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</si>
  <si>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</si>
  <si>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</si>
  <si>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</si>
  <si>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</si>
  <si>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</si>
  <si>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</si>
  <si>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</si>
  <si>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</si>
  <si>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</si>
  <si>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</si>
  <si>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</si>
  <si>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</si>
  <si>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</si>
  <si>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</si>
  <si>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</si>
  <si>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</si>
  <si>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</si>
  <si>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</si>
  <si>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</si>
  <si>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</si>
  <si>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</si>
  <si>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</si>
  <si>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</si>
  <si>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</si>
  <si>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</si>
  <si>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En Proceso (7:00 AM)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</si>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</sst>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21" fillId="14" borderId="0" xfId="0" applyFont="1" applyFill="1" applyAlignment="1">
      <alignment horizontal="center" vertical="center"/>
    </xf>
    <xf numFmtId="0" fontId="0" fillId="0" borderId="0" xfId="0"/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30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7"/>
  <sheetViews>
    <sheetView workbookViewId="0"/>
  </sheetViews>
  <sheetFormatPr baseColWidth="10" defaultColWidth="8.7265625" defaultRowHeight="14.5" x14ac:dyDescent="0.35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" customHeight="1" x14ac:dyDescent="0.35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20" customHeight="1" x14ac:dyDescent="0.35">
      <c r="B3" s="90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5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2" customHeight="1" x14ac:dyDescent="0.35">
      <c r="B6" s="88">
        <f>'Programa CASETAS REPORTE DIARIO'!CN79</f>
        <v>475</v>
      </c>
      <c r="C6" s="89"/>
      <c r="E6" s="88">
        <f>'Programa CAJAS REPORTE DIARIO'!CH77</f>
        <v>1325</v>
      </c>
      <c r="F6" s="89"/>
      <c r="H6" s="101">
        <f>B6+E6</f>
        <v>1800</v>
      </c>
      <c r="I6" s="97"/>
      <c r="J6" s="97"/>
    </row>
    <row r="7" spans="2:10" ht="16" customHeight="1" x14ac:dyDescent="0.35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5" x14ac:dyDescent="0.35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5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20" customHeight="1" x14ac:dyDescent="0.35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0" si="0">D11+E11</f>
        <v>76</v>
      </c>
      <c r="G11" s="70">
        <f>F11</f>
        <v>76</v>
      </c>
      <c r="H11" s="69" t="s">
        <v>129</v>
      </c>
    </row>
    <row r="12" spans="2:10" ht="20" customHeight="1" x14ac:dyDescent="0.35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0" si="1">G11+F12</f>
        <v>76</v>
      </c>
      <c r="H12" s="71" t="s">
        <v>129</v>
      </c>
    </row>
    <row r="13" spans="2:10" ht="20" customHeight="1" x14ac:dyDescent="0.35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20" customHeight="1" x14ac:dyDescent="0.35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20" customHeight="1" x14ac:dyDescent="0.35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20" customHeight="1" x14ac:dyDescent="0.35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20" customHeight="1" x14ac:dyDescent="0.35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20" customHeight="1" x14ac:dyDescent="0.35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20" customHeight="1" x14ac:dyDescent="0.35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20" customHeight="1" x14ac:dyDescent="0.35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4" customHeight="1" x14ac:dyDescent="0.35">
      <c r="B21" s="73" t="s">
        <v>146</v>
      </c>
      <c r="C21" s="74"/>
      <c r="D21" s="75">
        <f>SUM(D11:D20)</f>
        <v>344</v>
      </c>
      <c r="E21" s="75">
        <f>SUM(E11:E20)</f>
        <v>859</v>
      </c>
      <c r="F21" s="75">
        <f>SUM(F11:F20)</f>
        <v>1203</v>
      </c>
      <c r="G21" s="75">
        <f>F21</f>
        <v>1203</v>
      </c>
      <c r="H21" s="76" t="s">
        <v>147</v>
      </c>
    </row>
    <row r="23" spans="2:8" x14ac:dyDescent="0.35">
      <c r="B23" s="92" t="s">
        <v>148</v>
      </c>
      <c r="C23" s="91"/>
      <c r="D23" s="91"/>
      <c r="E23" s="91"/>
      <c r="F23" s="91"/>
      <c r="G23" s="91"/>
      <c r="H23" s="91"/>
    </row>
    <row r="24" spans="2:8" ht="18" customHeight="1" x14ac:dyDescent="0.35">
      <c r="B24" s="94" t="s">
        <v>149</v>
      </c>
      <c r="C24" s="91"/>
      <c r="D24" s="91"/>
      <c r="E24" s="91"/>
      <c r="F24" s="91"/>
      <c r="G24" s="91"/>
      <c r="H24" s="91"/>
    </row>
    <row r="25" spans="2:8" ht="18" customHeight="1" x14ac:dyDescent="0.35">
      <c r="B25" s="94" t="s">
        <v>150</v>
      </c>
      <c r="C25" s="91"/>
      <c r="D25" s="91"/>
      <c r="E25" s="91"/>
      <c r="F25" s="91"/>
      <c r="G25" s="91"/>
      <c r="H25" s="91"/>
    </row>
    <row r="26" spans="2:8" ht="18" customHeight="1" x14ac:dyDescent="0.35">
      <c r="B26" s="94" t="s">
        <v>151</v>
      </c>
      <c r="C26" s="91"/>
      <c r="D26" s="91"/>
      <c r="E26" s="91"/>
      <c r="F26" s="91"/>
      <c r="G26" s="91"/>
      <c r="H26" s="91"/>
    </row>
    <row r="27" spans="2:8" ht="18" customHeight="1" x14ac:dyDescent="0.35">
      <c r="B27" s="94" t="s">
        <v>152</v>
      </c>
      <c r="C27" s="91"/>
      <c r="D27" s="91"/>
      <c r="E27" s="91"/>
      <c r="F27" s="91"/>
      <c r="G27" s="91"/>
      <c r="H27" s="91"/>
    </row>
  </sheetData>
  <mergeCells count="17">
    <mergeCell ref="B2:J2"/>
    <mergeCell ref="H6:J6"/>
    <mergeCell ref="B26:H26"/>
    <mergeCell ref="E7:F7"/>
    <mergeCell ref="B27:H27"/>
    <mergeCell ref="B5:C5"/>
    <mergeCell ref="H5:J5"/>
    <mergeCell ref="E5:F5"/>
    <mergeCell ref="B9:J9"/>
    <mergeCell ref="B24:H24"/>
    <mergeCell ref="B25:H25"/>
    <mergeCell ref="H7:J7"/>
    <mergeCell ref="B6:C6"/>
    <mergeCell ref="B3:J3"/>
    <mergeCell ref="E6:F6"/>
    <mergeCell ref="B23:H23"/>
    <mergeCell ref="B7:C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9.54296875" bestFit="1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9" width="13.453125" customWidth="1"/>
    <col min="10" max="10" width="15.453125" customWidth="1"/>
    <col min="11" max="11" width="2.7265625" customWidth="1"/>
    <col min="12" max="12" width="7.54296875" hidden="1" customWidth="1"/>
    <col min="13" max="15" width="7.1796875" hidden="1" customWidth="1"/>
    <col min="16" max="16" width="9" hidden="1" customWidth="1"/>
    <col min="17" max="17" width="1.81640625" hidden="1" customWidth="1"/>
    <col min="18" max="18" width="13.54296875" style="3" customWidth="1"/>
    <col min="19" max="19" width="1.54296875" style="3" customWidth="1"/>
    <col min="20" max="21" width="12.81640625" customWidth="1"/>
    <col min="22" max="22" width="3.54296875" customWidth="1"/>
    <col min="23" max="26" width="13.7265625" customWidth="1" outlineLevel="1"/>
    <col min="27" max="27" width="13.54296875" customWidth="1" outlineLevel="1"/>
    <col min="28" max="35" width="13.7265625" customWidth="1" outlineLevel="1"/>
    <col min="36" max="36" width="13.54296875" customWidth="1" outlineLevel="1"/>
    <col min="37" max="37" width="13.453125" customWidth="1" outlineLevel="1"/>
    <col min="38" max="38" width="13.54296875" customWidth="1" outlineLevel="1"/>
    <col min="39" max="39" width="13.7265625" customWidth="1" outlineLevel="1"/>
    <col min="40" max="40" width="13.54296875" customWidth="1" outlineLevel="1"/>
    <col min="41" max="42" width="13.7265625" customWidth="1" outlineLevel="1"/>
    <col min="43" max="91" width="13.54296875" customWidth="1" outlineLevel="1"/>
    <col min="92" max="92" width="14" customWidth="1"/>
    <col min="93" max="93" width="2.453125" customWidth="1"/>
    <col min="94" max="95" width="13.81640625" customWidth="1"/>
    <col min="96" max="96" width="14" customWidth="1"/>
    <col min="97" max="97" width="15.7265625" customWidth="1"/>
    <col min="98" max="100" width="11.453125" customWidth="1"/>
    <col min="101" max="101" width="11.81640625" customWidth="1"/>
    <col min="102" max="103" width="11.453125" customWidth="1"/>
  </cols>
  <sheetData>
    <row r="3" spans="1:108" ht="21" x14ac:dyDescent="0.35">
      <c r="B3" s="77" t="s">
        <v>0</v>
      </c>
      <c r="D3" s="78">
        <f>+CN79</f>
        <v>475</v>
      </c>
      <c r="F3" s="79" t="s">
        <v>1</v>
      </c>
      <c r="I3" s="80">
        <f>'Programa CAJAS REPORTE DIARIO'!CH77+CN79</f>
        <v>1800</v>
      </c>
    </row>
    <row r="10" spans="1:108" x14ac:dyDescent="0.35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5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5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3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131</v>
      </c>
      <c r="AM13" s="23">
        <f t="shared" si="0"/>
        <v>0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475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5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5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5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5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5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5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5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5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5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5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5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5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5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5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150</v>
      </c>
      <c r="CP27" s="27">
        <f t="shared" si="4"/>
        <v>150</v>
      </c>
      <c r="CQ27" s="22">
        <v>0</v>
      </c>
      <c r="CR27" s="22">
        <f t="shared" si="5"/>
        <v>150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220.5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5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115</v>
      </c>
      <c r="CP28" s="27">
        <f t="shared" si="4"/>
        <v>115</v>
      </c>
      <c r="CQ28" s="22">
        <v>0</v>
      </c>
      <c r="CR28" s="22">
        <f t="shared" si="5"/>
        <v>115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1262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5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7</v>
      </c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68</v>
      </c>
      <c r="CP29" s="27">
        <f t="shared" si="4"/>
        <v>68</v>
      </c>
      <c r="CQ29" s="22">
        <v>0</v>
      </c>
      <c r="CR29" s="22">
        <f t="shared" si="5"/>
        <v>68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338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5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35</v>
      </c>
      <c r="CP30" s="27">
        <f t="shared" si="4"/>
        <v>35</v>
      </c>
      <c r="CQ30" s="22">
        <v>0</v>
      </c>
      <c r="CR30" s="22">
        <f t="shared" si="5"/>
        <v>35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-33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5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5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188</v>
      </c>
      <c r="CV32" s="14">
        <f t="shared" si="7"/>
        <v>94</v>
      </c>
      <c r="CW32" s="14">
        <f t="shared" si="8"/>
        <v>83</v>
      </c>
      <c r="CX32" s="43"/>
      <c r="CY32" s="17">
        <v>188</v>
      </c>
      <c r="DD32" s="14">
        <f t="shared" si="9"/>
        <v>188</v>
      </c>
    </row>
    <row r="33" spans="1:108" x14ac:dyDescent="0.35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5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5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5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14</v>
      </c>
      <c r="CP36" s="27">
        <f t="shared" si="4"/>
        <v>14</v>
      </c>
      <c r="CQ36" s="22">
        <v>0</v>
      </c>
      <c r="CR36" s="22">
        <f t="shared" si="5"/>
        <v>14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-14</v>
      </c>
      <c r="CX36" s="43"/>
      <c r="CY36" s="17"/>
      <c r="DD36" s="14">
        <f t="shared" si="9"/>
        <v>0</v>
      </c>
    </row>
    <row r="37" spans="1:108" ht="15.75" customHeight="1" x14ac:dyDescent="0.35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5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5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5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7</v>
      </c>
      <c r="CP40" s="27">
        <f t="shared" si="4"/>
        <v>7</v>
      </c>
      <c r="CQ40" s="22">
        <v>0</v>
      </c>
      <c r="CR40" s="22">
        <f t="shared" si="5"/>
        <v>7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-7</v>
      </c>
      <c r="CX40" s="43"/>
      <c r="CY40" s="17"/>
      <c r="DD40" s="14">
        <f t="shared" si="9"/>
        <v>0</v>
      </c>
    </row>
    <row r="41" spans="1:108" x14ac:dyDescent="0.35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5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30</v>
      </c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39</v>
      </c>
      <c r="CP42" s="27">
        <f t="shared" si="4"/>
        <v>39</v>
      </c>
      <c r="CQ42" s="22">
        <v>0</v>
      </c>
      <c r="CR42" s="22">
        <f t="shared" si="5"/>
        <v>39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-39</v>
      </c>
      <c r="CX42" s="43"/>
      <c r="CY42" s="17"/>
      <c r="DD42" s="14">
        <f t="shared" si="9"/>
        <v>0</v>
      </c>
    </row>
    <row r="43" spans="1:108" x14ac:dyDescent="0.35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5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5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5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5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5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266</v>
      </c>
      <c r="CV48" s="14">
        <f t="shared" si="14"/>
        <v>133</v>
      </c>
      <c r="CW48" s="14">
        <f t="shared" si="15"/>
        <v>133</v>
      </c>
      <c r="CX48" s="43"/>
      <c r="CY48" s="17"/>
      <c r="CZ48">
        <v>266</v>
      </c>
      <c r="DD48" s="14">
        <f t="shared" si="16"/>
        <v>266</v>
      </c>
    </row>
    <row r="49" spans="1:108" x14ac:dyDescent="0.35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5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5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14</v>
      </c>
      <c r="CP51" s="27">
        <f t="shared" si="11"/>
        <v>14</v>
      </c>
      <c r="CQ51" s="22">
        <v>0</v>
      </c>
      <c r="CR51" s="22">
        <f t="shared" si="12"/>
        <v>14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736</v>
      </c>
      <c r="CX51" s="43"/>
      <c r="CY51" s="17"/>
      <c r="CZ51">
        <v>1500</v>
      </c>
      <c r="DD51" s="14">
        <f t="shared" si="16"/>
        <v>1500</v>
      </c>
    </row>
    <row r="52" spans="1:108" x14ac:dyDescent="0.35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2</v>
      </c>
      <c r="CP52" s="27">
        <f t="shared" si="11"/>
        <v>2</v>
      </c>
      <c r="CQ52" s="22">
        <v>0</v>
      </c>
      <c r="CR52" s="22">
        <f t="shared" si="12"/>
        <v>2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-2</v>
      </c>
      <c r="CX52" s="43"/>
      <c r="CY52" s="17"/>
      <c r="DD52" s="14">
        <f t="shared" si="16"/>
        <v>0</v>
      </c>
    </row>
    <row r="53" spans="1:108" x14ac:dyDescent="0.35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5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5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5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5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5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2</v>
      </c>
      <c r="CP58" s="27">
        <f t="shared" si="11"/>
        <v>2</v>
      </c>
      <c r="CQ58" s="22">
        <v>0</v>
      </c>
      <c r="CR58" s="22">
        <f t="shared" si="12"/>
        <v>2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-2</v>
      </c>
      <c r="CX58" s="43"/>
      <c r="CY58" s="17"/>
      <c r="DD58" s="14">
        <f t="shared" si="16"/>
        <v>0</v>
      </c>
    </row>
    <row r="59" spans="1:108" x14ac:dyDescent="0.35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5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5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5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5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5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5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5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5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5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5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5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5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5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5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5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5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/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1</v>
      </c>
      <c r="CP75" s="27">
        <f t="shared" si="11"/>
        <v>1</v>
      </c>
      <c r="CQ75" s="22">
        <v>0</v>
      </c>
      <c r="CR75" s="22">
        <f t="shared" si="12"/>
        <v>1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-1</v>
      </c>
      <c r="CX75" s="43"/>
      <c r="CY75" s="17"/>
      <c r="DD75" s="14">
        <f t="shared" si="16"/>
        <v>0</v>
      </c>
    </row>
    <row r="76" spans="1:108" ht="15" customHeight="1" x14ac:dyDescent="0.35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5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4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5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131</v>
      </c>
      <c r="AM79" s="25">
        <f t="shared" si="22"/>
        <v>0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475</v>
      </c>
      <c r="CP79" s="25">
        <f>+SUM(CP14:CP78)</f>
        <v>475</v>
      </c>
      <c r="CQ79" s="25">
        <f>+SUM(CQ14:CQ78)</f>
        <v>0</v>
      </c>
      <c r="CR79" s="25">
        <f>+SUM(CR14:CR78)</f>
        <v>475</v>
      </c>
      <c r="CS79" s="25"/>
      <c r="CT79" s="25"/>
      <c r="CU79" s="25">
        <f>+SUM(CU14:CU78)</f>
        <v>6265</v>
      </c>
      <c r="CV79" s="25">
        <f>+SUM(CV14:CV78)</f>
        <v>3132.5</v>
      </c>
      <c r="CW79" s="25">
        <f>+SUM(CW14:CW78)</f>
        <v>2657.5</v>
      </c>
    </row>
    <row r="80" spans="1:108" hidden="1" x14ac:dyDescent="0.35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5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5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5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5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5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5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5">
      <c r="B87" s="32"/>
      <c r="C87" s="32"/>
      <c r="D87" s="32"/>
      <c r="E87" s="32"/>
      <c r="H87" s="14"/>
      <c r="I87" s="14"/>
    </row>
    <row r="88" spans="1:101" x14ac:dyDescent="0.35">
      <c r="B88" s="32"/>
      <c r="C88" s="32"/>
      <c r="D88" s="32"/>
      <c r="E88" s="32"/>
      <c r="H88" s="14"/>
      <c r="I88" s="14"/>
    </row>
    <row r="89" spans="1:101" x14ac:dyDescent="0.35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5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5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4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5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2.54296875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15" width="13.453125" customWidth="1"/>
    <col min="16" max="16" width="15.453125" customWidth="1"/>
    <col min="17" max="17" width="2.7265625" customWidth="1"/>
    <col min="18" max="18" width="7.54296875" hidden="1" customWidth="1"/>
    <col min="19" max="21" width="7.1796875" hidden="1" customWidth="1"/>
    <col min="22" max="22" width="9" hidden="1" customWidth="1"/>
    <col min="23" max="23" width="1.81640625" hidden="1" customWidth="1"/>
    <col min="24" max="24" width="13.54296875" style="3" customWidth="1"/>
    <col min="25" max="25" width="1.54296875" style="3" customWidth="1"/>
    <col min="26" max="27" width="12.81640625" customWidth="1"/>
    <col min="28" max="28" width="3.54296875" style="6" customWidth="1"/>
    <col min="29" max="32" width="13.7265625" customWidth="1" outlineLevel="1"/>
    <col min="33" max="33" width="13.54296875" customWidth="1" outlineLevel="1"/>
    <col min="34" max="34" width="13.453125" customWidth="1" outlineLevel="1"/>
    <col min="35" max="35" width="13.54296875" customWidth="1" outlineLevel="1"/>
    <col min="36" max="36" width="13.7265625" customWidth="1" outlineLevel="1"/>
    <col min="37" max="37" width="13.54296875" customWidth="1" outlineLevel="1"/>
    <col min="38" max="39" width="13.7265625" customWidth="1" outlineLevel="1"/>
    <col min="40" max="85" width="13.54296875" customWidth="1" outlineLevel="1"/>
    <col min="86" max="86" width="14" customWidth="1"/>
    <col min="87" max="87" width="4.26953125" customWidth="1"/>
    <col min="88" max="88" width="13.81640625" customWidth="1"/>
    <col min="89" max="89" width="15.7265625" customWidth="1"/>
    <col min="90" max="90" width="14" customWidth="1"/>
    <col min="91" max="91" width="15.7265625" customWidth="1"/>
    <col min="92" max="94" width="11.453125" customWidth="1"/>
    <col min="95" max="95" width="11.81640625" customWidth="1"/>
    <col min="96" max="97" width="11.453125" customWidth="1"/>
  </cols>
  <sheetData>
    <row r="3" spans="1:107" ht="21" x14ac:dyDescent="0.35">
      <c r="B3" s="77" t="s">
        <v>153</v>
      </c>
      <c r="D3" s="78">
        <f>+CH77</f>
        <v>1325</v>
      </c>
      <c r="F3" s="79" t="s">
        <v>1</v>
      </c>
      <c r="I3" s="80">
        <f>'Programa CASETAS REPORTE DIARIO'!CN79+CH77</f>
        <v>1800</v>
      </c>
    </row>
    <row r="10" spans="1:107" x14ac:dyDescent="0.35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5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154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5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155</v>
      </c>
      <c r="CQ12" s="29" t="s">
        <v>21</v>
      </c>
      <c r="CS12" s="29" t="s">
        <v>156</v>
      </c>
      <c r="CT12" s="29" t="s">
        <v>156</v>
      </c>
      <c r="CU12" s="29" t="s">
        <v>156</v>
      </c>
      <c r="CV12" s="29" t="s">
        <v>156</v>
      </c>
      <c r="CW12" s="29" t="s">
        <v>156</v>
      </c>
      <c r="CX12" s="29" t="s">
        <v>157</v>
      </c>
      <c r="CY12" s="29" t="s">
        <v>157</v>
      </c>
      <c r="CZ12" s="29" t="s">
        <v>157</v>
      </c>
      <c r="DA12" s="29" t="s">
        <v>157</v>
      </c>
      <c r="DB12" s="29" t="s">
        <v>157</v>
      </c>
    </row>
    <row r="13" spans="1:107" s="12" customFormat="1" ht="51.75" customHeight="1" x14ac:dyDescent="0.3">
      <c r="A13" s="10" t="s">
        <v>22</v>
      </c>
      <c r="B13" s="10" t="s">
        <v>158</v>
      </c>
      <c r="C13" s="10" t="s">
        <v>24</v>
      </c>
      <c r="D13" s="57" t="s">
        <v>25</v>
      </c>
      <c r="E13" s="57" t="s">
        <v>159</v>
      </c>
      <c r="F13" s="57" t="s">
        <v>160</v>
      </c>
      <c r="G13" s="57" t="s">
        <v>161</v>
      </c>
      <c r="H13" s="57" t="s">
        <v>162</v>
      </c>
      <c r="I13" s="57" t="s">
        <v>163</v>
      </c>
      <c r="J13" s="57" t="s">
        <v>164</v>
      </c>
      <c r="K13" s="57" t="s">
        <v>165</v>
      </c>
      <c r="L13" s="57" t="s">
        <v>166</v>
      </c>
      <c r="M13" s="57" t="s">
        <v>167</v>
      </c>
      <c r="N13" s="57" t="s">
        <v>168</v>
      </c>
      <c r="O13" s="57" t="s">
        <v>169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0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1325</v>
      </c>
      <c r="CJ13" s="39"/>
      <c r="CK13" s="40"/>
      <c r="CL13" s="40"/>
      <c r="CM13" s="41"/>
      <c r="CN13" s="29"/>
      <c r="CO13" s="29"/>
      <c r="CP13" s="29"/>
      <c r="CQ13" s="29"/>
      <c r="CS13" s="67" t="s">
        <v>159</v>
      </c>
      <c r="CT13" s="67" t="s">
        <v>160</v>
      </c>
      <c r="CU13" s="67" t="s">
        <v>161</v>
      </c>
      <c r="CV13" s="67" t="s">
        <v>162</v>
      </c>
      <c r="CW13" s="67" t="s">
        <v>163</v>
      </c>
      <c r="CX13" s="67" t="s">
        <v>164</v>
      </c>
      <c r="CY13" s="67" t="s">
        <v>165</v>
      </c>
      <c r="CZ13" s="67" t="s">
        <v>166</v>
      </c>
      <c r="DA13" s="67" t="s">
        <v>167</v>
      </c>
      <c r="DB13" s="67" t="s">
        <v>168</v>
      </c>
      <c r="DC13" s="66" t="s">
        <v>32</v>
      </c>
    </row>
    <row r="14" spans="1:107" ht="15" customHeight="1" x14ac:dyDescent="0.35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5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5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5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5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5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5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5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5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5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5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5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5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5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332</v>
      </c>
      <c r="CJ27" s="27">
        <f t="shared" si="3"/>
        <v>332</v>
      </c>
      <c r="CK27" s="22">
        <v>0</v>
      </c>
      <c r="CL27" s="22">
        <f t="shared" si="4"/>
        <v>332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454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5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212</v>
      </c>
      <c r="CJ28" s="27">
        <f t="shared" si="3"/>
        <v>212</v>
      </c>
      <c r="CK28" s="22">
        <v>0</v>
      </c>
      <c r="CL28" s="22">
        <f t="shared" si="4"/>
        <v>212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-34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5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5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5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5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4332</v>
      </c>
      <c r="CP32" s="14">
        <f t="shared" si="6"/>
        <v>4332</v>
      </c>
      <c r="CQ32" s="14">
        <f t="shared" si="7"/>
        <v>4248</v>
      </c>
      <c r="CR32" s="43"/>
      <c r="CS32" s="17"/>
      <c r="CT32">
        <v>12</v>
      </c>
      <c r="CY32">
        <v>4200</v>
      </c>
      <c r="DA32">
        <v>2</v>
      </c>
      <c r="DB32">
        <v>118</v>
      </c>
      <c r="DC32" s="14">
        <f t="shared" si="8"/>
        <v>4332</v>
      </c>
    </row>
    <row r="33" spans="1:107" x14ac:dyDescent="0.35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5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5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82</v>
      </c>
      <c r="CJ35" s="27">
        <f t="shared" si="3"/>
        <v>82</v>
      </c>
      <c r="CK35" s="22">
        <v>0</v>
      </c>
      <c r="CL35" s="22">
        <f t="shared" si="4"/>
        <v>82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17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5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30</v>
      </c>
      <c r="CJ36" s="27">
        <f t="shared" si="3"/>
        <v>30</v>
      </c>
      <c r="CK36" s="22">
        <v>0</v>
      </c>
      <c r="CL36" s="22">
        <f t="shared" si="4"/>
        <v>30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-30</v>
      </c>
      <c r="CR36" s="43"/>
      <c r="CS36" s="17"/>
      <c r="DC36" s="14">
        <f t="shared" si="8"/>
        <v>0</v>
      </c>
    </row>
    <row r="37" spans="1:107" x14ac:dyDescent="0.35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5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5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5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5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13</v>
      </c>
      <c r="CJ41" s="27">
        <f t="shared" si="3"/>
        <v>13</v>
      </c>
      <c r="CK41" s="22">
        <v>0</v>
      </c>
      <c r="CL41" s="22">
        <f t="shared" si="4"/>
        <v>13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0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5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5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60</v>
      </c>
      <c r="CJ43" s="27">
        <f t="shared" si="3"/>
        <v>60</v>
      </c>
      <c r="CK43" s="22">
        <v>0</v>
      </c>
      <c r="CL43" s="22">
        <f t="shared" si="4"/>
        <v>60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-40</v>
      </c>
      <c r="CR43" s="43"/>
      <c r="CS43" s="17"/>
      <c r="DC43" s="14">
        <f t="shared" si="8"/>
        <v>0</v>
      </c>
    </row>
    <row r="44" spans="1:107" x14ac:dyDescent="0.35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5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5">
      <c r="A46" s="33">
        <v>20</v>
      </c>
      <c r="B46" s="58" t="s">
        <v>170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169</v>
      </c>
      <c r="CJ46" s="27">
        <f t="shared" ref="CJ46:CJ76" si="11">CH46</f>
        <v>169</v>
      </c>
      <c r="CK46" s="22">
        <v>0</v>
      </c>
      <c r="CL46" s="22">
        <f t="shared" ref="CL46:CL77" si="12">CJ46+CK46</f>
        <v>169</v>
      </c>
      <c r="CM46" s="42"/>
      <c r="CN46" s="44"/>
      <c r="CO46" s="14">
        <f t="shared" si="9"/>
        <v>331</v>
      </c>
      <c r="CP46" s="14">
        <f t="shared" ref="CP46:CP77" si="13">CO46</f>
        <v>331</v>
      </c>
      <c r="CQ46" s="14">
        <f t="shared" ref="CQ46:CQ77" si="14">CP46-CJ46</f>
        <v>162</v>
      </c>
      <c r="CR46" s="43"/>
      <c r="CS46" s="17"/>
      <c r="CT46">
        <v>289</v>
      </c>
      <c r="CV46">
        <v>42</v>
      </c>
      <c r="DC46" s="14">
        <f t="shared" ref="DC46:DC77" si="15">SUM(CS46:DB46)</f>
        <v>331</v>
      </c>
    </row>
    <row r="47" spans="1:107" x14ac:dyDescent="0.35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5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5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5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117</v>
      </c>
      <c r="CP50" s="14">
        <f t="shared" si="13"/>
        <v>117</v>
      </c>
      <c r="CQ50" s="14">
        <f t="shared" si="14"/>
        <v>88</v>
      </c>
      <c r="CR50" s="43"/>
      <c r="CS50" s="17"/>
      <c r="CT50">
        <v>117</v>
      </c>
      <c r="DC50" s="14">
        <f t="shared" si="15"/>
        <v>117</v>
      </c>
    </row>
    <row r="51" spans="1:107" x14ac:dyDescent="0.35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5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5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5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1</v>
      </c>
      <c r="CJ54" s="27">
        <f t="shared" si="11"/>
        <v>1</v>
      </c>
      <c r="CK54" s="22">
        <v>0</v>
      </c>
      <c r="CL54" s="22">
        <f t="shared" si="12"/>
        <v>1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25</v>
      </c>
      <c r="CR54" s="43"/>
      <c r="CS54" s="17">
        <v>26</v>
      </c>
      <c r="DC54" s="14">
        <f t="shared" si="15"/>
        <v>26</v>
      </c>
    </row>
    <row r="55" spans="1:107" x14ac:dyDescent="0.35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43</v>
      </c>
      <c r="CJ55" s="27">
        <f t="shared" si="11"/>
        <v>43</v>
      </c>
      <c r="CK55" s="22">
        <v>0</v>
      </c>
      <c r="CL55" s="22">
        <f t="shared" si="12"/>
        <v>43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-13</v>
      </c>
      <c r="CR55" s="43"/>
      <c r="CS55" s="17"/>
      <c r="CV55">
        <v>30</v>
      </c>
      <c r="DC55" s="14">
        <f t="shared" si="15"/>
        <v>30</v>
      </c>
    </row>
    <row r="56" spans="1:107" x14ac:dyDescent="0.35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5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41</v>
      </c>
      <c r="CJ57" s="27">
        <f t="shared" si="11"/>
        <v>41</v>
      </c>
      <c r="CK57" s="22">
        <v>0</v>
      </c>
      <c r="CL57" s="22">
        <f t="shared" si="12"/>
        <v>41</v>
      </c>
      <c r="CM57" s="42"/>
      <c r="CN57" s="44"/>
      <c r="CO57" s="14">
        <f t="shared" si="9"/>
        <v>92</v>
      </c>
      <c r="CP57" s="14">
        <f t="shared" si="13"/>
        <v>92</v>
      </c>
      <c r="CQ57" s="14">
        <f t="shared" si="14"/>
        <v>51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35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5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5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5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31</v>
      </c>
      <c r="CJ61" s="27">
        <f t="shared" si="11"/>
        <v>31</v>
      </c>
      <c r="CK61" s="22">
        <v>0</v>
      </c>
      <c r="CL61" s="22">
        <f t="shared" si="12"/>
        <v>31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1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5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5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5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12</v>
      </c>
      <c r="CP64" s="14">
        <f t="shared" si="13"/>
        <v>12</v>
      </c>
      <c r="CQ64" s="14">
        <f t="shared" si="14"/>
        <v>-35</v>
      </c>
      <c r="CR64" s="43"/>
      <c r="CS64" s="17"/>
      <c r="CV64">
        <v>3</v>
      </c>
      <c r="DB64">
        <v>9</v>
      </c>
      <c r="DC64" s="14">
        <f t="shared" si="15"/>
        <v>12</v>
      </c>
    </row>
    <row r="65" spans="1:107" x14ac:dyDescent="0.35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5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5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5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5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5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45</v>
      </c>
      <c r="CJ70" s="27">
        <f t="shared" si="11"/>
        <v>45</v>
      </c>
      <c r="CK70" s="22">
        <v>0</v>
      </c>
      <c r="CL70" s="22">
        <f t="shared" si="12"/>
        <v>45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-31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5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5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5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5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5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1</v>
      </c>
      <c r="CP75" s="14">
        <f t="shared" si="13"/>
        <v>1</v>
      </c>
      <c r="CQ75" s="14">
        <f t="shared" si="14"/>
        <v>-6</v>
      </c>
      <c r="CR75" s="43"/>
      <c r="CS75" s="17"/>
      <c r="CV75">
        <v>1</v>
      </c>
      <c r="DC75" s="14">
        <f t="shared" si="15"/>
        <v>1</v>
      </c>
    </row>
    <row r="76" spans="1:107" ht="15" customHeight="1" thickBot="1" x14ac:dyDescent="0.4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5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0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1325</v>
      </c>
      <c r="CJ77" s="25">
        <f>+SUM(CJ14:CJ76)</f>
        <v>1325</v>
      </c>
      <c r="CK77" s="25">
        <f>+SUM(CK14:CK76)</f>
        <v>0</v>
      </c>
      <c r="CL77" s="25">
        <f>+SUM(CL14:CL76)</f>
        <v>1325</v>
      </c>
      <c r="CM77" s="25"/>
      <c r="CN77" s="25"/>
      <c r="CO77" s="25">
        <f>+SUM(CO14:CO76)</f>
        <v>6987</v>
      </c>
      <c r="CP77" s="25">
        <f>+SUM(CP14:CP76)</f>
        <v>6987</v>
      </c>
      <c r="CQ77" s="25">
        <f>+SUM(CQ14:CQ76)</f>
        <v>5662</v>
      </c>
    </row>
    <row r="78" spans="1:107" x14ac:dyDescent="0.35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5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5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5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4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5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5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5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5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5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5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5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5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5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5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5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5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5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5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5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5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2026-10-28T03:21:08Z</dcterms:modified>
</cp:coreProperties>
</file>