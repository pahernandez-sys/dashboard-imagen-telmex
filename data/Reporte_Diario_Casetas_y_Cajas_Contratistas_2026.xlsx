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D12EA46C-D981-428B-B336-B58B54D9DD22}" xr6:coauthVersionLast="47" xr6:coauthVersionMax="47" xr10:uidLastSave="{00000000-0000-0000-0000-000000000000}"/>
  <bookViews>
    <workbookView xWindow="760" yWindow="0" windowWidth="5400" windowHeight="408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 s="1"/>
  <c r="CP54" i="3" s="1"/>
  <c r="CQ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 s="1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 s="1"/>
  <c r="CP45" i="3" s="1"/>
  <c r="CH45" i="3"/>
  <c r="CJ45" i="3" s="1"/>
  <c r="CL45" i="3" s="1"/>
  <c r="DC44" i="3"/>
  <c r="CO44" i="3" s="1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/>
  <c r="CP19" i="3" s="1"/>
  <c r="CH19" i="3"/>
  <c r="DC18" i="3"/>
  <c r="CO18" i="3" s="1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 s="1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I13" i="2" s="1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D23" i="1" s="1"/>
  <c r="AM79" i="2"/>
  <c r="D22" i="1" s="1"/>
  <c r="AL79" i="2"/>
  <c r="D21" i="1" s="1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 s="1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 s="1"/>
  <c r="CV68" i="2" s="1"/>
  <c r="CW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W63" i="2" s="1"/>
  <c r="CN63" i="2"/>
  <c r="CP63" i="2" s="1"/>
  <c r="CR63" i="2" s="1"/>
  <c r="DD62" i="2"/>
  <c r="CU62" i="2" s="1"/>
  <c r="CV62" i="2" s="1"/>
  <c r="CW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 s="1"/>
  <c r="CV59" i="2" s="1"/>
  <c r="CW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 s="1"/>
  <c r="CV57" i="2" s="1"/>
  <c r="CW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W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 s="1"/>
  <c r="CV45" i="2" s="1"/>
  <c r="CW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Q67" i="3" l="1"/>
  <c r="CW44" i="2"/>
  <c r="CW39" i="2"/>
  <c r="CW33" i="2"/>
  <c r="CW32" i="2"/>
  <c r="CW31" i="2"/>
  <c r="CW30" i="2"/>
  <c r="CW29" i="2"/>
  <c r="AH13" i="3"/>
  <c r="E11" i="1"/>
  <c r="F11" i="1" s="1"/>
  <c r="CW52" i="2"/>
  <c r="CQ66" i="3"/>
  <c r="CQ62" i="3"/>
  <c r="CQ61" i="3"/>
  <c r="CQ59" i="3"/>
  <c r="CQ55" i="3"/>
  <c r="CQ52" i="3"/>
  <c r="CQ51" i="3"/>
  <c r="CQ50" i="3"/>
  <c r="CQ48" i="3"/>
  <c r="CQ46" i="3"/>
  <c r="CQ44" i="3"/>
  <c r="CQ42" i="3"/>
  <c r="CQ41" i="3"/>
  <c r="CW35" i="2"/>
  <c r="CW61" i="2"/>
  <c r="CW27" i="2"/>
  <c r="CW26" i="2"/>
  <c r="CW25" i="2"/>
  <c r="CW24" i="2"/>
  <c r="CW23" i="2"/>
  <c r="CW21" i="2"/>
  <c r="CW19" i="2"/>
  <c r="CW18" i="2"/>
  <c r="CW17" i="2"/>
  <c r="CW15" i="2"/>
  <c r="CW55" i="2"/>
  <c r="CW38" i="2"/>
  <c r="AT13" i="3"/>
  <c r="E23" i="1"/>
  <c r="F23" i="1" s="1"/>
  <c r="E22" i="1"/>
  <c r="F22" i="1" s="1"/>
  <c r="AS13" i="3"/>
  <c r="E21" i="1"/>
  <c r="F21" i="1" s="1"/>
  <c r="AR13" i="3"/>
  <c r="AQ13" i="3"/>
  <c r="E20" i="1"/>
  <c r="F20" i="1" s="1"/>
  <c r="E19" i="1"/>
  <c r="F19" i="1" s="1"/>
  <c r="AP13" i="3"/>
  <c r="AO13" i="3"/>
  <c r="E18" i="1"/>
  <c r="F18" i="1" s="1"/>
  <c r="E17" i="1"/>
  <c r="F17" i="1" s="1"/>
  <c r="AN13" i="3"/>
  <c r="E16" i="1"/>
  <c r="F16" i="1" s="1"/>
  <c r="AM13" i="3"/>
  <c r="E15" i="1"/>
  <c r="F15" i="1" s="1"/>
  <c r="AL13" i="3"/>
  <c r="AK13" i="3"/>
  <c r="E14" i="1"/>
  <c r="F14" i="1" s="1"/>
  <c r="AJ13" i="3"/>
  <c r="E13" i="1"/>
  <c r="F13" i="1" s="1"/>
  <c r="AI13" i="3"/>
  <c r="E12" i="1"/>
  <c r="CP32" i="3"/>
  <c r="CO77" i="3"/>
  <c r="CH77" i="3"/>
  <c r="CJ19" i="3"/>
  <c r="CQ14" i="3"/>
  <c r="CL14" i="3"/>
  <c r="CJ77" i="3"/>
  <c r="D24" i="1"/>
  <c r="CV14" i="2"/>
  <c r="CU79" i="2"/>
  <c r="CN79" i="2"/>
  <c r="CP14" i="2"/>
  <c r="CQ76" i="3"/>
  <c r="CQ75" i="3"/>
  <c r="CQ74" i="3"/>
  <c r="CQ73" i="3"/>
  <c r="CQ72" i="3"/>
  <c r="CQ71" i="3"/>
  <c r="CQ70" i="3"/>
  <c r="CQ69" i="3"/>
  <c r="CQ68" i="3"/>
  <c r="CQ64" i="3"/>
  <c r="CQ63" i="3"/>
  <c r="CQ40" i="3"/>
  <c r="CQ39" i="3"/>
  <c r="CQ38" i="3"/>
  <c r="CQ37" i="3"/>
  <c r="CQ36" i="3"/>
  <c r="CQ35" i="3"/>
  <c r="CQ34" i="3"/>
  <c r="CQ33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8" i="3"/>
  <c r="CQ17" i="3"/>
  <c r="CQ16" i="3"/>
  <c r="CQ15" i="3"/>
  <c r="CW41" i="2"/>
  <c r="CW36" i="2"/>
  <c r="CW34" i="2"/>
  <c r="CQ49" i="3"/>
  <c r="CQ45" i="3"/>
  <c r="CQ43" i="3"/>
  <c r="CQ47" i="3"/>
  <c r="CW78" i="2"/>
  <c r="CW77" i="2"/>
  <c r="CW76" i="2"/>
  <c r="CW75" i="2"/>
  <c r="CW74" i="2"/>
  <c r="CW73" i="2"/>
  <c r="CW72" i="2"/>
  <c r="CW71" i="2"/>
  <c r="CW70" i="2"/>
  <c r="CW69" i="2"/>
  <c r="CW66" i="2"/>
  <c r="CW65" i="2"/>
  <c r="CW64" i="2"/>
  <c r="CW56" i="2"/>
  <c r="CW54" i="2"/>
  <c r="CW53" i="2"/>
  <c r="CW50" i="2"/>
  <c r="CW49" i="2"/>
  <c r="CW48" i="2"/>
  <c r="CW47" i="2"/>
  <c r="CW40" i="2"/>
  <c r="CW22" i="2"/>
  <c r="CW20" i="2"/>
  <c r="CQ60" i="3"/>
  <c r="CQ58" i="3"/>
  <c r="CW67" i="2"/>
  <c r="CW60" i="2"/>
  <c r="CW58" i="2"/>
  <c r="CW46" i="2"/>
  <c r="CW43" i="2"/>
  <c r="CW42" i="2"/>
  <c r="CW37" i="2"/>
  <c r="CW28" i="2"/>
  <c r="CW16" i="2"/>
  <c r="CQ65" i="3"/>
  <c r="CQ57" i="3"/>
  <c r="CQ56" i="3"/>
  <c r="CQ53" i="3"/>
  <c r="E24" i="1" l="1"/>
  <c r="F12" i="1"/>
  <c r="F24" i="1" s="1"/>
  <c r="G24" i="1" s="1"/>
  <c r="I3" i="2"/>
  <c r="D3" i="3"/>
  <c r="E6" i="1"/>
  <c r="CH13" i="3"/>
  <c r="CQ19" i="3"/>
  <c r="CL19" i="3"/>
  <c r="CL77" i="3" s="1"/>
  <c r="G11" i="1"/>
  <c r="CW14" i="2"/>
  <c r="CW79" i="2" s="1"/>
  <c r="CV79" i="2"/>
  <c r="I3" i="3"/>
  <c r="B6" i="1"/>
  <c r="CN13" i="2"/>
  <c r="D3" i="2"/>
  <c r="CR14" i="2"/>
  <c r="CR79" i="2" s="1"/>
  <c r="CP79" i="2"/>
  <c r="CQ32" i="3"/>
  <c r="CP77" i="3"/>
  <c r="H6" i="1" l="1"/>
  <c r="CQ77" i="3"/>
  <c r="G12" i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<sst xmlns="http://schemas.openxmlformats.org/spreadsheetml/2006/main" count="589" uniqueCount="175">
  <si>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</si>
  <si>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</si>
  <si>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</si>
  <si>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</si>
  <si>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</si>
  <si>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</si>
  <si>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</si>
  <si>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</si>
  <si>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</si>
  <si>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</si>
  <si>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</si>
  <si>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</si>
  <si>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</si>
  <si>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</si>
  <si>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</si>
  <si>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</si>
  <si>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</si>
  <si>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</si>
  <si>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</si>
  <si>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</si>
  <si>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</si>
  <si>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</si>
  <si>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</si>
  <si>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</si>
  <si>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</si>
  <si>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</si>
  <si>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</si>
  <si>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</si>
  <si>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</si>
  <si>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</si>
  <si>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</si>
  <si>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</si>
  <si>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</si>
  <si>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</si>
  <si>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</si>
  <si>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</si>
  <si>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</si>
  <si>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</si>
  <si>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</si>
  <si>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</si>
  <si>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</si>
  <si>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</si>
  <si>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</si>
  <si>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</si>
  <si>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</si>
  <si>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</si>
  <si>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</si>
  <si>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</si>
  <si>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</si>
  <si>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</si>
  <si>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</si>
  <si>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</si>
  <si>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</si>
  <si>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</si>
  <si>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</si>
  <si>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</si>
  <si>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</si>
  <si>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</si>
  <si>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</si>
  <si>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</si>
  <si>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</si>
  <si>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</si>
  <si>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</si>
  <si>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</si>
  <si>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</si>
  <si>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</si>
  <si>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</si>
  <si>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</si>
  <si>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</si>
  <si>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</si>
  <si>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</si>
  <si>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</si>
  <si>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</si>
  <si>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</si>
  <si>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</si>
  <si>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</si>
  <si>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</si>
  <si>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</si>
  <si>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</si>
  <si>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</si>
  <si>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</si>
  <si>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</si>
  <si>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</si>
  <si>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</si>
  <si>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</si>
  <si>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</si>
  <si>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</si>
  <si>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</si>
  <si>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</si>
  <si>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</si>
  <si>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</si>
  <si>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</si>
  <si>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</si>
  <si>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</si>
  <si>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</si>
  <si>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</si>
  <si>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</si>
  <si>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</si>
  <si>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</si>
  <si>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</si>
  <si>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</si>
  <si>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</si>
  <si>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</si>
  <si>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</si>
  <si>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</si>
  <si>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</si>
  <si>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</si>
  <si>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</si>
  <si>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</si>
  <si>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</si>
  <si>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</si>
  <si>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</si>
  <si>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21:01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</si>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</sst>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7265625" defaultRowHeight="14.5" x14ac:dyDescent="0.35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" customHeight="1" x14ac:dyDescent="0.35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20" customHeight="1" x14ac:dyDescent="0.35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5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2" customHeight="1" x14ac:dyDescent="0.35">
      <c r="B6" s="88">
        <f>'Programa CASETAS REPORTE DIARIO'!CN79</f>
        <v>908</v>
      </c>
      <c r="C6" s="89"/>
      <c r="E6" s="88">
        <f>'Programa CAJAS REPORTE DIARIO'!CH77</f>
        <v>2470</v>
      </c>
      <c r="F6" s="89"/>
      <c r="H6" s="101">
        <f>B6+E6</f>
        <v>3378</v>
      </c>
      <c r="I6" s="97"/>
      <c r="J6" s="97"/>
    </row>
    <row r="7" spans="2:10" ht="16" customHeight="1" x14ac:dyDescent="0.35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5" x14ac:dyDescent="0.35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5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20" customHeight="1" x14ac:dyDescent="0.35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20" customHeight="1" x14ac:dyDescent="0.35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20" customHeight="1" x14ac:dyDescent="0.35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20" customHeight="1" x14ac:dyDescent="0.35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20" customHeight="1" x14ac:dyDescent="0.35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20" customHeight="1" x14ac:dyDescent="0.35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20" customHeight="1" x14ac:dyDescent="0.35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20" customHeight="1" x14ac:dyDescent="0.35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20" customHeight="1" x14ac:dyDescent="0.35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20" customHeight="1" x14ac:dyDescent="0.35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0" customHeight="1" x14ac:dyDescent="0.35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20" customHeight="1" x14ac:dyDescent="0.35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20" customHeight="1" x14ac:dyDescent="0.35">
      <c r="B23" s="69" t="s">
        <v>148</v>
      </c>
      <c r="C23" s="69" t="s">
        <v>139</v>
      </c>
      <c r="D23" s="70">
        <f>'Programa CASETAS REPORTE DIARIO'!AN79</f>
        <v>249</v>
      </c>
      <c r="E23" s="70">
        <f>'Programa CAJAS REPORTE DIARIO'!AT77</f>
        <v>741</v>
      </c>
      <c r="F23" s="70">
        <f t="shared" si="0"/>
        <v>990</v>
      </c>
      <c r="G23" s="70">
        <f t="shared" si="1"/>
        <v>3378</v>
      </c>
      <c r="H23" s="69" t="s">
        <v>149</v>
      </c>
    </row>
    <row r="24" spans="2:8" ht="24" customHeight="1" x14ac:dyDescent="0.35">
      <c r="B24" s="73" t="s">
        <v>150</v>
      </c>
      <c r="C24" s="74"/>
      <c r="D24" s="75">
        <f>SUM(D11:D23)</f>
        <v>908</v>
      </c>
      <c r="E24" s="75">
        <f>SUM(E11:E23)</f>
        <v>2470</v>
      </c>
      <c r="F24" s="75">
        <f>SUM(F11:F23)</f>
        <v>3378</v>
      </c>
      <c r="G24" s="75">
        <f>F24</f>
        <v>3378</v>
      </c>
      <c r="H24" s="76" t="s">
        <v>151</v>
      </c>
    </row>
    <row r="26" spans="2:8" x14ac:dyDescent="0.35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5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5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5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5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9.54296875" bestFit="1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9" width="13.453125" customWidth="1"/>
    <col min="10" max="10" width="15.453125" customWidth="1"/>
    <col min="11" max="11" width="2.7265625" customWidth="1"/>
    <col min="12" max="12" width="7.54296875" hidden="1" customWidth="1"/>
    <col min="13" max="15" width="7.1796875" hidden="1" customWidth="1"/>
    <col min="16" max="16" width="9" hidden="1" customWidth="1"/>
    <col min="17" max="17" width="1.81640625" hidden="1" customWidth="1"/>
    <col min="18" max="18" width="13.54296875" style="3" customWidth="1"/>
    <col min="19" max="19" width="1.54296875" style="3" customWidth="1"/>
    <col min="20" max="21" width="12.81640625" customWidth="1"/>
    <col min="22" max="22" width="3.54296875" customWidth="1"/>
    <col min="23" max="26" width="13.7265625" customWidth="1" outlineLevel="1"/>
    <col min="27" max="27" width="13.54296875" customWidth="1" outlineLevel="1"/>
    <col min="28" max="35" width="13.7265625" customWidth="1" outlineLevel="1"/>
    <col min="36" max="36" width="13.54296875" customWidth="1" outlineLevel="1"/>
    <col min="37" max="37" width="13.453125" customWidth="1" outlineLevel="1"/>
    <col min="38" max="38" width="13.54296875" customWidth="1" outlineLevel="1"/>
    <col min="39" max="39" width="13.7265625" customWidth="1" outlineLevel="1"/>
    <col min="40" max="40" width="13.54296875" customWidth="1" outlineLevel="1"/>
    <col min="41" max="42" width="13.7265625" customWidth="1" outlineLevel="1"/>
    <col min="43" max="91" width="13.54296875" customWidth="1" outlineLevel="1"/>
    <col min="92" max="92" width="14" customWidth="1"/>
    <col min="93" max="93" width="2.453125" customWidth="1"/>
    <col min="94" max="95" width="13.81640625" customWidth="1"/>
    <col min="96" max="96" width="14" customWidth="1"/>
    <col min="97" max="97" width="15.7265625" customWidth="1"/>
    <col min="98" max="100" width="11.453125" customWidth="1"/>
    <col min="101" max="101" width="11.81640625" customWidth="1"/>
    <col min="102" max="103" width="11.453125" customWidth="1"/>
  </cols>
  <sheetData>
    <row r="3" spans="1:108" ht="21" x14ac:dyDescent="0.35">
      <c r="B3" s="77" t="s">
        <v>0</v>
      </c>
      <c r="D3" s="78">
        <f>+CN79</f>
        <v>908</v>
      </c>
      <c r="F3" s="79" t="s">
        <v>1</v>
      </c>
      <c r="I3" s="80">
        <f>'Programa CAJAS REPORTE DIARIO'!CH77+CN79</f>
        <v>3378</v>
      </c>
    </row>
    <row r="10" spans="1:108" x14ac:dyDescent="0.35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5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5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3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249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908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5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5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5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5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5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5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5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5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5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5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5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5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5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5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17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200</v>
      </c>
      <c r="CP27" s="27">
        <f t="shared" si="4"/>
        <v>200</v>
      </c>
      <c r="CQ27" s="22">
        <v>0</v>
      </c>
      <c r="CR27" s="22">
        <f t="shared" si="5"/>
        <v>200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170.5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5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183</v>
      </c>
      <c r="CP28" s="27">
        <f t="shared" si="4"/>
        <v>183</v>
      </c>
      <c r="CQ28" s="22">
        <v>0</v>
      </c>
      <c r="CR28" s="22">
        <f t="shared" si="5"/>
        <v>183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1194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5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113</v>
      </c>
      <c r="CP29" s="27">
        <f t="shared" si="4"/>
        <v>113</v>
      </c>
      <c r="CQ29" s="22">
        <v>0</v>
      </c>
      <c r="CR29" s="22">
        <f t="shared" si="5"/>
        <v>113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293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5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5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5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5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5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5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5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5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22</v>
      </c>
      <c r="CP37" s="27">
        <f t="shared" si="4"/>
        <v>22</v>
      </c>
      <c r="CQ37" s="22">
        <v>0</v>
      </c>
      <c r="CR37" s="22">
        <f t="shared" si="5"/>
        <v>22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-22</v>
      </c>
      <c r="CX37" s="43"/>
      <c r="CY37" s="17"/>
      <c r="DD37" s="14">
        <f t="shared" si="9"/>
        <v>0</v>
      </c>
    </row>
    <row r="38" spans="1:108" x14ac:dyDescent="0.35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5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5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5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5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63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133</v>
      </c>
      <c r="CP42" s="27">
        <f t="shared" si="4"/>
        <v>133</v>
      </c>
      <c r="CQ42" s="22">
        <v>0</v>
      </c>
      <c r="CR42" s="22">
        <f t="shared" si="5"/>
        <v>133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-133</v>
      </c>
      <c r="CX42" s="43"/>
      <c r="CY42" s="17"/>
      <c r="DD42" s="14">
        <f t="shared" si="9"/>
        <v>0</v>
      </c>
    </row>
    <row r="43" spans="1:108" x14ac:dyDescent="0.35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5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5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5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5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5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5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5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5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5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5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5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5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5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62</v>
      </c>
      <c r="CP56" s="27">
        <f t="shared" si="11"/>
        <v>62</v>
      </c>
      <c r="CQ56" s="22">
        <v>0</v>
      </c>
      <c r="CR56" s="22">
        <f t="shared" si="12"/>
        <v>62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-62</v>
      </c>
      <c r="CX56" s="43"/>
      <c r="CY56" s="17"/>
      <c r="DD56" s="14">
        <f t="shared" si="16"/>
        <v>0</v>
      </c>
    </row>
    <row r="57" spans="1:108" x14ac:dyDescent="0.35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5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>
        <v>5</v>
      </c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59</v>
      </c>
      <c r="CP58" s="27">
        <f t="shared" si="11"/>
        <v>59</v>
      </c>
      <c r="CQ58" s="22">
        <v>0</v>
      </c>
      <c r="CR58" s="22">
        <f t="shared" si="12"/>
        <v>59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1620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5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5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5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5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5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5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5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5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5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5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5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5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5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5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5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5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5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5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35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4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5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249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908</v>
      </c>
      <c r="CP79" s="25">
        <f>+SUM(CP14:CP78)</f>
        <v>908</v>
      </c>
      <c r="CQ79" s="25">
        <f>+SUM(CQ14:CQ78)</f>
        <v>0</v>
      </c>
      <c r="CR79" s="25">
        <f>+SUM(CR14:CR78)</f>
        <v>908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6358.5</v>
      </c>
    </row>
    <row r="80" spans="1:108" hidden="1" x14ac:dyDescent="0.35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5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5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5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5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5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5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5">
      <c r="B87" s="32"/>
      <c r="C87" s="32"/>
      <c r="D87" s="32"/>
      <c r="E87" s="32"/>
      <c r="H87" s="14"/>
      <c r="I87" s="14"/>
    </row>
    <row r="88" spans="1:101" x14ac:dyDescent="0.35">
      <c r="B88" s="32"/>
      <c r="C88" s="32"/>
      <c r="D88" s="32"/>
      <c r="E88" s="32"/>
      <c r="H88" s="14"/>
      <c r="I88" s="14"/>
    </row>
    <row r="89" spans="1:101" x14ac:dyDescent="0.35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5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5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4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5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2.54296875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15" width="13.453125" customWidth="1"/>
    <col min="16" max="16" width="15.453125" customWidth="1"/>
    <col min="17" max="17" width="2.7265625" customWidth="1"/>
    <col min="18" max="18" width="7.54296875" hidden="1" customWidth="1"/>
    <col min="19" max="21" width="7.1796875" hidden="1" customWidth="1"/>
    <col min="22" max="22" width="9" hidden="1" customWidth="1"/>
    <col min="23" max="23" width="1.81640625" hidden="1" customWidth="1"/>
    <col min="24" max="24" width="13.54296875" style="3" customWidth="1"/>
    <col min="25" max="25" width="1.54296875" style="3" customWidth="1"/>
    <col min="26" max="27" width="12.81640625" customWidth="1"/>
    <col min="28" max="28" width="3.54296875" style="6" customWidth="1"/>
    <col min="29" max="32" width="13.7265625" customWidth="1" outlineLevel="1"/>
    <col min="33" max="33" width="13.54296875" customWidth="1" outlineLevel="1"/>
    <col min="34" max="34" width="13.453125" customWidth="1" outlineLevel="1"/>
    <col min="35" max="35" width="13.54296875" customWidth="1" outlineLevel="1"/>
    <col min="36" max="36" width="13.7265625" customWidth="1" outlineLevel="1"/>
    <col min="37" max="37" width="13.54296875" customWidth="1" outlineLevel="1"/>
    <col min="38" max="39" width="13.7265625" customWidth="1" outlineLevel="1"/>
    <col min="40" max="85" width="13.54296875" customWidth="1" outlineLevel="1"/>
    <col min="86" max="86" width="14" customWidth="1"/>
    <col min="87" max="87" width="4.26953125" customWidth="1"/>
    <col min="88" max="88" width="13.81640625" customWidth="1"/>
    <col min="89" max="89" width="15.7265625" customWidth="1"/>
    <col min="90" max="90" width="14" customWidth="1"/>
    <col min="91" max="91" width="15.7265625" customWidth="1"/>
    <col min="92" max="94" width="11.453125" customWidth="1"/>
    <col min="95" max="95" width="11.81640625" customWidth="1"/>
    <col min="96" max="97" width="11.453125" customWidth="1"/>
  </cols>
  <sheetData>
    <row r="3" spans="1:107" ht="21" x14ac:dyDescent="0.35">
      <c r="B3" s="77" t="s">
        <v>157</v>
      </c>
      <c r="D3" s="78">
        <f>+CH77</f>
        <v>2470</v>
      </c>
      <c r="F3" s="79" t="s">
        <v>1</v>
      </c>
      <c r="I3" s="80">
        <f>'Programa CASETAS REPORTE DIARIO'!CN79+CH77</f>
        <v>3378</v>
      </c>
    </row>
    <row r="10" spans="1:107" x14ac:dyDescent="0.35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5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5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3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741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2470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5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5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5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5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5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5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5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5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5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5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5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5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5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5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72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437</v>
      </c>
      <c r="CJ27" s="27">
        <f t="shared" si="3"/>
        <v>437</v>
      </c>
      <c r="CK27" s="22">
        <v>0</v>
      </c>
      <c r="CL27" s="22">
        <f t="shared" si="4"/>
        <v>437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349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5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47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327</v>
      </c>
      <c r="CJ28" s="27">
        <f t="shared" si="3"/>
        <v>327</v>
      </c>
      <c r="CK28" s="22">
        <v>0</v>
      </c>
      <c r="CL28" s="22">
        <f t="shared" si="4"/>
        <v>327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-149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5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105</v>
      </c>
      <c r="CJ29" s="27">
        <f t="shared" si="3"/>
        <v>105</v>
      </c>
      <c r="CK29" s="22">
        <v>0</v>
      </c>
      <c r="CL29" s="22">
        <f t="shared" si="4"/>
        <v>105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1231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5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5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5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5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5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5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163</v>
      </c>
      <c r="CJ35" s="27">
        <f t="shared" si="3"/>
        <v>163</v>
      </c>
      <c r="CK35" s="22">
        <v>0</v>
      </c>
      <c r="CL35" s="22">
        <f t="shared" si="4"/>
        <v>163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5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50</v>
      </c>
      <c r="CJ36" s="27">
        <f t="shared" si="3"/>
        <v>50</v>
      </c>
      <c r="CK36" s="22">
        <v>0</v>
      </c>
      <c r="CL36" s="22">
        <f t="shared" si="4"/>
        <v>50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-50</v>
      </c>
      <c r="CR36" s="43"/>
      <c r="CS36" s="17"/>
      <c r="DC36" s="14">
        <f t="shared" si="8"/>
        <v>0</v>
      </c>
    </row>
    <row r="37" spans="1:107" x14ac:dyDescent="0.35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86</v>
      </c>
      <c r="CJ37" s="27">
        <f t="shared" si="3"/>
        <v>86</v>
      </c>
      <c r="CK37" s="22">
        <v>0</v>
      </c>
      <c r="CL37" s="22">
        <f t="shared" si="4"/>
        <v>86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489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5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5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5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5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10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54</v>
      </c>
      <c r="CJ41" s="27">
        <f t="shared" si="3"/>
        <v>54</v>
      </c>
      <c r="CK41" s="22">
        <v>0</v>
      </c>
      <c r="CL41" s="22">
        <f t="shared" si="4"/>
        <v>54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426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5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5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176</v>
      </c>
      <c r="CJ43" s="27">
        <f t="shared" si="3"/>
        <v>176</v>
      </c>
      <c r="CK43" s="22">
        <v>0</v>
      </c>
      <c r="CL43" s="22">
        <f t="shared" si="4"/>
        <v>176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-156</v>
      </c>
      <c r="CR43" s="43"/>
      <c r="CS43" s="17"/>
      <c r="DC43" s="14">
        <f t="shared" si="8"/>
        <v>0</v>
      </c>
    </row>
    <row r="44" spans="1:107" x14ac:dyDescent="0.35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5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5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105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331</v>
      </c>
      <c r="CJ46" s="27">
        <f t="shared" ref="CJ46:CJ76" si="11">CH46</f>
        <v>331</v>
      </c>
      <c r="CK46" s="22">
        <v>0</v>
      </c>
      <c r="CL46" s="22">
        <f t="shared" ref="CL46:CL77" si="12">CJ46+CK46</f>
        <v>331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1197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5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5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5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5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5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>
        <v>6</v>
      </c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12</v>
      </c>
      <c r="CJ51" s="27">
        <f t="shared" si="11"/>
        <v>12</v>
      </c>
      <c r="CK51" s="22">
        <v>0</v>
      </c>
      <c r="CL51" s="22">
        <f t="shared" si="12"/>
        <v>12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-12</v>
      </c>
      <c r="CR51" s="43"/>
      <c r="CS51" s="17"/>
      <c r="DC51" s="14">
        <f t="shared" si="15"/>
        <v>0</v>
      </c>
    </row>
    <row r="52" spans="1:107" x14ac:dyDescent="0.35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5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168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173</v>
      </c>
      <c r="CJ53" s="27">
        <f t="shared" si="11"/>
        <v>173</v>
      </c>
      <c r="CK53" s="22">
        <v>0</v>
      </c>
      <c r="CL53" s="22">
        <f t="shared" si="12"/>
        <v>173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-105</v>
      </c>
      <c r="CR53" s="43"/>
      <c r="CS53" s="17"/>
      <c r="DB53">
        <v>68</v>
      </c>
      <c r="DC53" s="14">
        <f t="shared" si="15"/>
        <v>68</v>
      </c>
    </row>
    <row r="54" spans="1:107" x14ac:dyDescent="0.35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5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3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83</v>
      </c>
      <c r="CJ55" s="27">
        <f t="shared" si="11"/>
        <v>83</v>
      </c>
      <c r="CK55" s="22">
        <v>0</v>
      </c>
      <c r="CL55" s="22">
        <f t="shared" si="12"/>
        <v>83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-53</v>
      </c>
      <c r="CR55" s="43"/>
      <c r="CS55" s="17"/>
      <c r="CV55">
        <v>30</v>
      </c>
      <c r="DC55" s="14">
        <f t="shared" si="15"/>
        <v>30</v>
      </c>
    </row>
    <row r="56" spans="1:107" x14ac:dyDescent="0.35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5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>
        <v>18</v>
      </c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87</v>
      </c>
      <c r="CJ57" s="27">
        <f t="shared" si="11"/>
        <v>87</v>
      </c>
      <c r="CK57" s="22">
        <v>0</v>
      </c>
      <c r="CL57" s="22">
        <f t="shared" si="12"/>
        <v>87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266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5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5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5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5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68</v>
      </c>
      <c r="CJ61" s="27">
        <f t="shared" si="11"/>
        <v>68</v>
      </c>
      <c r="CK61" s="22">
        <v>0</v>
      </c>
      <c r="CL61" s="22">
        <f t="shared" si="12"/>
        <v>68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5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5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5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63</v>
      </c>
      <c r="CJ64" s="27">
        <f t="shared" si="11"/>
        <v>63</v>
      </c>
      <c r="CK64" s="22">
        <v>0</v>
      </c>
      <c r="CL64" s="22">
        <f t="shared" si="12"/>
        <v>63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86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5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5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5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5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5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5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5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5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5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5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5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4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5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741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2470</v>
      </c>
      <c r="CJ77" s="25">
        <f>+SUM(CJ14:CJ76)</f>
        <v>2470</v>
      </c>
      <c r="CK77" s="25">
        <f>+SUM(CK14:CK76)</f>
        <v>0</v>
      </c>
      <c r="CL77" s="25">
        <f>+SUM(CL14:CL76)</f>
        <v>2470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8762</v>
      </c>
    </row>
    <row r="78" spans="1:107" x14ac:dyDescent="0.35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5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5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5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4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5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5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5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5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5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5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5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5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5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5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5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5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5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5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5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5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2026-10-30T03:01:54Z</dcterms:modified>
</cp:coreProperties>
</file>