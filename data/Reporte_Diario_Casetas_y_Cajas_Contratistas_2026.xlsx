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C431EE5-7EBF-4600-92EF-D0E712841259}" xr6:coauthVersionLast="47" xr6:coauthVersionMax="47" xr10:uidLastSave="{00000000-0000-0000-0000-000000000000}"/>
  <bookViews>
    <workbookView xWindow="380" yWindow="380" windowWidth="5400" windowHeight="109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Q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W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W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W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W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W21" i="2" s="1"/>
  <c r="CN21" i="2"/>
  <c r="CP21" i="2" s="1"/>
  <c r="CR21" i="2" s="1"/>
  <c r="DD20" i="2"/>
  <c r="CU20" i="2" s="1"/>
  <c r="CV20" i="2" s="1"/>
  <c r="CW20" i="2" s="1"/>
  <c r="CN20" i="2"/>
  <c r="CP20" i="2" s="1"/>
  <c r="CR20" i="2" s="1"/>
  <c r="DD19" i="2"/>
  <c r="CU19" i="2" s="1"/>
  <c r="CV19" i="2" s="1"/>
  <c r="CW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Q68" i="3" l="1"/>
  <c r="CQ24" i="3"/>
  <c r="CQ30" i="3"/>
  <c r="CW61" i="2"/>
  <c r="CW34" i="2"/>
  <c r="CQ62" i="3"/>
  <c r="CQ59" i="3"/>
  <c r="CQ56" i="3"/>
  <c r="CQ55" i="3"/>
  <c r="CQ54" i="3"/>
  <c r="CQ39" i="3"/>
  <c r="CW57" i="2"/>
  <c r="CW55" i="2"/>
  <c r="CW47" i="2"/>
  <c r="CW22" i="2"/>
  <c r="CW60" i="2"/>
  <c r="CW68" i="2"/>
  <c r="CW67" i="2"/>
  <c r="CW65" i="2"/>
  <c r="CW62" i="2"/>
  <c r="CW41" i="2"/>
  <c r="CW37" i="2"/>
  <c r="E22" i="1"/>
  <c r="AS13" i="3"/>
  <c r="AR13" i="3"/>
  <c r="E21" i="1"/>
  <c r="AQ13" i="3"/>
  <c r="E20" i="1"/>
  <c r="E19" i="1"/>
  <c r="AP13" i="3"/>
  <c r="E18" i="1"/>
  <c r="AO13" i="3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O77" i="3"/>
  <c r="CP14" i="3"/>
  <c r="CJ14" i="3"/>
  <c r="CH77" i="3"/>
  <c r="AM13" i="2"/>
  <c r="D22" i="1"/>
  <c r="F22" i="1" s="1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F16" i="1" s="1"/>
  <c r="AG13" i="2"/>
  <c r="D15" i="1"/>
  <c r="F15" i="1" s="1"/>
  <c r="AF13" i="2"/>
  <c r="D14" i="1"/>
  <c r="F14" i="1" s="1"/>
  <c r="AE13" i="2"/>
  <c r="D13" i="1"/>
  <c r="F13" i="1" s="1"/>
  <c r="AD13" i="2"/>
  <c r="D12" i="1"/>
  <c r="AC13" i="2"/>
  <c r="D11" i="1"/>
  <c r="AB13" i="2"/>
  <c r="CN79" i="2"/>
  <c r="CP18" i="2"/>
  <c r="CV17" i="2"/>
  <c r="CW17" i="2" s="1"/>
  <c r="CU79" i="2"/>
  <c r="CW14" i="2"/>
  <c r="CV79" i="2"/>
  <c r="CR14" i="2"/>
  <c r="CP79" i="2"/>
  <c r="CQ76" i="3"/>
  <c r="CQ75" i="3"/>
  <c r="CQ74" i="3"/>
  <c r="CQ73" i="3"/>
  <c r="CQ72" i="3"/>
  <c r="CQ71" i="3"/>
  <c r="CQ70" i="3"/>
  <c r="CQ69" i="3"/>
  <c r="CQ67" i="3"/>
  <c r="CQ65" i="3"/>
  <c r="CQ64" i="3"/>
  <c r="CQ63" i="3"/>
  <c r="CQ61" i="3"/>
  <c r="CQ60" i="3"/>
  <c r="CQ58" i="3"/>
  <c r="CQ57" i="3"/>
  <c r="CQ52" i="3"/>
  <c r="CQ66" i="3"/>
  <c r="CQ53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6" i="3"/>
  <c r="CQ35" i="3"/>
  <c r="CQ34" i="3"/>
  <c r="CQ33" i="3"/>
  <c r="CQ32" i="3"/>
  <c r="CQ31" i="3"/>
  <c r="CQ29" i="3"/>
  <c r="CQ28" i="3"/>
  <c r="CQ23" i="3"/>
  <c r="CQ22" i="3"/>
  <c r="CQ21" i="3"/>
  <c r="CQ19" i="3"/>
  <c r="CQ18" i="3"/>
  <c r="CQ17" i="3"/>
  <c r="CQ16" i="3"/>
  <c r="CQ15" i="3"/>
  <c r="CW69" i="2"/>
  <c r="CW66" i="2"/>
  <c r="CW64" i="2"/>
  <c r="CW63" i="2"/>
  <c r="CW59" i="2"/>
  <c r="CW56" i="2"/>
  <c r="CW54" i="2"/>
  <c r="CW52" i="2"/>
  <c r="CW51" i="2"/>
  <c r="CW50" i="2"/>
  <c r="CW49" i="2"/>
  <c r="CW48" i="2"/>
  <c r="CW43" i="2"/>
  <c r="CW40" i="2"/>
  <c r="CW38" i="2"/>
  <c r="CW36" i="2"/>
  <c r="CW35" i="2"/>
  <c r="CW32" i="2"/>
  <c r="CW31" i="2"/>
  <c r="CW30" i="2"/>
  <c r="CW29" i="2"/>
  <c r="CW28" i="2"/>
  <c r="CW27" i="2"/>
  <c r="CW25" i="2"/>
  <c r="CW24" i="2"/>
  <c r="CW16" i="2"/>
  <c r="CW15" i="2"/>
  <c r="CQ38" i="3"/>
  <c r="CQ37" i="3"/>
  <c r="CQ27" i="3"/>
  <c r="CQ26" i="3"/>
  <c r="CQ25" i="3"/>
  <c r="CW45" i="2"/>
  <c r="CW33" i="2"/>
  <c r="CW78" i="2"/>
  <c r="CW77" i="2"/>
  <c r="CW76" i="2"/>
  <c r="CW75" i="2"/>
  <c r="CW74" i="2"/>
  <c r="CW73" i="2"/>
  <c r="CW72" i="2"/>
  <c r="CW71" i="2"/>
  <c r="CW70" i="2"/>
  <c r="CW58" i="2"/>
  <c r="CW46" i="2"/>
  <c r="CW42" i="2"/>
  <c r="E23" i="1" l="1"/>
  <c r="F12" i="1"/>
  <c r="CP77" i="3"/>
  <c r="CQ14" i="3"/>
  <c r="CQ77" i="3" s="1"/>
  <c r="CL14" i="3"/>
  <c r="CL77" i="3" s="1"/>
  <c r="CJ77" i="3"/>
  <c r="I3" i="2"/>
  <c r="D3" i="3"/>
  <c r="E6" i="1"/>
  <c r="CH13" i="3"/>
  <c r="F11" i="1"/>
  <c r="D23" i="1"/>
  <c r="D3" i="2"/>
  <c r="CN13" i="2"/>
  <c r="I3" i="3"/>
  <c r="B6" i="1"/>
  <c r="CW18" i="2"/>
  <c r="CW79" i="2" s="1"/>
  <c r="CR18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<sst xmlns="http://schemas.openxmlformats.org/spreadsheetml/2006/main" count="586" uniqueCount="174">
  <si>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</si>
  <si>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</si>
  <si>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</si>
  <si>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</si>
  <si>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</si>
  <si>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</si>
  <si>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</si>
  <si>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</si>
  <si>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</si>
  <si>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</si>
  <si>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</si>
  <si>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</si>
  <si>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</si>
  <si>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</si>
  <si>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</si>
  <si>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</si>
  <si>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</si>
  <si>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</si>
  <si>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</si>
  <si>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</si>
  <si>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</si>
  <si>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</si>
  <si>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</si>
  <si>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</si>
  <si>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</si>
  <si>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</si>
  <si>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</si>
  <si>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</si>
  <si>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</si>
  <si>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</si>
  <si>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</si>
  <si>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</si>
  <si>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</si>
  <si>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</si>
  <si>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</si>
  <si>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</si>
  <si>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</si>
  <si>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</si>
  <si>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</si>
  <si>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</si>
  <si>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</si>
  <si>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</si>
  <si>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</si>
  <si>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</si>
  <si>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</si>
  <si>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</si>
  <si>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</si>
  <si>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</si>
  <si>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</si>
  <si>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</si>
  <si>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</si>
  <si>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</si>
  <si>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</si>
  <si>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</si>
  <si>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</si>
  <si>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</si>
  <si>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</si>
  <si>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</si>
  <si>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</si>
  <si>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</si>
  <si>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</si>
  <si>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</si>
  <si>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</si>
  <si>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</si>
  <si>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</si>
  <si>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</si>
  <si>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</si>
  <si>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</si>
  <si>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</si>
  <si>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</si>
  <si>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</si>
  <si>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</si>
  <si>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</si>
  <si>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</si>
  <si>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</si>
  <si>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</si>
  <si>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</si>
  <si>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</si>
  <si>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</si>
  <si>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</si>
  <si>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</si>
  <si>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</si>
  <si>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</si>
  <si>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</si>
  <si>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</si>
  <si>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</si>
  <si>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</si>
  <si>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</si>
  <si>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</si>
  <si>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</si>
  <si>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</si>
  <si>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</si>
  <si>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</si>
  <si>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</si>
  <si>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</si>
  <si>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</si>
  <si>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</si>
  <si>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</si>
  <si>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</si>
  <si>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</si>
  <si>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</si>
  <si>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</si>
  <si>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</si>
  <si>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</si>
  <si>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</si>
  <si>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</si>
  <si>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</si>
  <si>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</si>
  <si>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</si>
  <si>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</si>
  <si>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</si>
  <si>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</si>
  <si>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12:48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</si>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</sst>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2" customHeight="1" x14ac:dyDescent="0.35">
      <c r="B6" s="88">
        <f>'Programa CASETAS REPORTE DIARIO'!CN79</f>
        <v>570</v>
      </c>
      <c r="C6" s="89"/>
      <c r="E6" s="88">
        <f>'Programa CAJAS REPORTE DIARIO'!CH77</f>
        <v>1424</v>
      </c>
      <c r="F6" s="89"/>
      <c r="H6" s="101">
        <f>B6+E6</f>
        <v>1994</v>
      </c>
      <c r="I6" s="96"/>
      <c r="J6" s="96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5" x14ac:dyDescent="0.35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88</v>
      </c>
      <c r="E22" s="72">
        <f>'Programa CAJAS REPORTE DIARIO'!AS77</f>
        <v>99</v>
      </c>
      <c r="F22" s="72">
        <f t="shared" si="0"/>
        <v>187</v>
      </c>
      <c r="G22" s="72">
        <f t="shared" si="1"/>
        <v>1994</v>
      </c>
      <c r="H22" s="71" t="s">
        <v>148</v>
      </c>
    </row>
    <row r="23" spans="2:8" ht="24" customHeight="1" x14ac:dyDescent="0.35">
      <c r="B23" s="73" t="s">
        <v>149</v>
      </c>
      <c r="C23" s="74"/>
      <c r="D23" s="75">
        <f>SUM(D11:D22)</f>
        <v>570</v>
      </c>
      <c r="E23" s="75">
        <f>SUM(E11:E22)</f>
        <v>1424</v>
      </c>
      <c r="F23" s="75">
        <f>SUM(F11:F22)</f>
        <v>1994</v>
      </c>
      <c r="G23" s="75">
        <f>F23</f>
        <v>1994</v>
      </c>
      <c r="H23" s="76" t="s">
        <v>150</v>
      </c>
    </row>
    <row r="25" spans="2:8" x14ac:dyDescent="0.35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570</v>
      </c>
      <c r="F3" s="79" t="s">
        <v>1</v>
      </c>
      <c r="I3" s="80">
        <f>'Programa CAJAS REPORTE DIARIO'!CH77+CN79</f>
        <v>1994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88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570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17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167</v>
      </c>
      <c r="CP27" s="27">
        <f t="shared" si="4"/>
        <v>167</v>
      </c>
      <c r="CQ27" s="22">
        <v>0</v>
      </c>
      <c r="CR27" s="22">
        <f t="shared" si="5"/>
        <v>167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203.5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22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137</v>
      </c>
      <c r="CP28" s="27">
        <f t="shared" si="4"/>
        <v>137</v>
      </c>
      <c r="CQ28" s="22">
        <v>0</v>
      </c>
      <c r="CR28" s="22">
        <f t="shared" si="5"/>
        <v>137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4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18</v>
      </c>
      <c r="CP36" s="27">
        <f t="shared" si="4"/>
        <v>18</v>
      </c>
      <c r="CQ36" s="22">
        <v>0</v>
      </c>
      <c r="CR36" s="22">
        <f t="shared" si="5"/>
        <v>18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-18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88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570</v>
      </c>
      <c r="CP79" s="25">
        <f>+SUM(CP14:CP78)</f>
        <v>570</v>
      </c>
      <c r="CQ79" s="25">
        <f>+SUM(CQ14:CQ78)</f>
        <v>0</v>
      </c>
      <c r="CR79" s="25">
        <f>+SUM(CR14:CR78)</f>
        <v>570</v>
      </c>
      <c r="CS79" s="25"/>
      <c r="CT79" s="25"/>
      <c r="CU79" s="25">
        <f>+SUM(CU14:CU78)</f>
        <v>10769</v>
      </c>
      <c r="CV79" s="25">
        <f>+SUM(CV14:CV78)</f>
        <v>5384.5</v>
      </c>
      <c r="CW79" s="25">
        <f>+SUM(CW14:CW78)</f>
        <v>4814.5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156</v>
      </c>
      <c r="D3" s="78">
        <f>+CH77</f>
        <v>1424</v>
      </c>
      <c r="F3" s="79" t="s">
        <v>1</v>
      </c>
      <c r="I3" s="80">
        <f>'Programa CASETAS REPORTE DIARIO'!CN79+CH77</f>
        <v>1994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3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99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1424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14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346</v>
      </c>
      <c r="CJ27" s="27">
        <f t="shared" si="3"/>
        <v>346</v>
      </c>
      <c r="CK27" s="22">
        <v>0</v>
      </c>
      <c r="CL27" s="22">
        <f t="shared" si="4"/>
        <v>346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440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15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227</v>
      </c>
      <c r="CJ28" s="27">
        <f t="shared" si="3"/>
        <v>227</v>
      </c>
      <c r="CK28" s="22">
        <v>0</v>
      </c>
      <c r="CL28" s="22">
        <f t="shared" si="4"/>
        <v>227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7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37</v>
      </c>
      <c r="CJ36" s="27">
        <f t="shared" si="3"/>
        <v>37</v>
      </c>
      <c r="CK36" s="22">
        <v>0</v>
      </c>
      <c r="CL36" s="22">
        <f t="shared" si="4"/>
        <v>37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-37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9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69</v>
      </c>
      <c r="CJ43" s="27">
        <f t="shared" si="3"/>
        <v>69</v>
      </c>
      <c r="CK43" s="22">
        <v>0</v>
      </c>
      <c r="CL43" s="22">
        <f t="shared" si="4"/>
        <v>69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-49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12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181</v>
      </c>
      <c r="CJ46" s="27">
        <f t="shared" ref="CJ46:CJ76" si="11">CH46</f>
        <v>181</v>
      </c>
      <c r="CK46" s="22">
        <v>0</v>
      </c>
      <c r="CL46" s="22">
        <f t="shared" ref="CL46:CL77" si="12">CJ46+CK46</f>
        <v>181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150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20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63</v>
      </c>
      <c r="CJ55" s="27">
        <f t="shared" si="11"/>
        <v>63</v>
      </c>
      <c r="CK55" s="22">
        <v>0</v>
      </c>
      <c r="CL55" s="22">
        <f t="shared" si="12"/>
        <v>63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-33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37</v>
      </c>
      <c r="CJ61" s="27">
        <f t="shared" si="11"/>
        <v>37</v>
      </c>
      <c r="CK61" s="22">
        <v>0</v>
      </c>
      <c r="CL61" s="22">
        <f t="shared" si="12"/>
        <v>37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99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1424</v>
      </c>
      <c r="CJ77" s="25">
        <f>+SUM(CJ14:CJ76)</f>
        <v>1424</v>
      </c>
      <c r="CK77" s="25">
        <f>+SUM(CK14:CK76)</f>
        <v>0</v>
      </c>
      <c r="CL77" s="25">
        <f>+SUM(CL14:CL76)</f>
        <v>1424</v>
      </c>
      <c r="CM77" s="25"/>
      <c r="CN77" s="25"/>
      <c r="CO77" s="25">
        <f>+SUM(CO14:CO76)</f>
        <v>6995</v>
      </c>
      <c r="CP77" s="25">
        <f>+SUM(CP14:CP76)</f>
        <v>6995</v>
      </c>
      <c r="CQ77" s="25">
        <f>+SUM(CQ14:CQ76)</f>
        <v>5571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2026-10-28T18:48:23Z</dcterms:modified>
</cp:coreProperties>
</file>