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39CFABB-7C5F-4387-99A6-6F8365EF06E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W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W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24" i="2" l="1"/>
  <c r="CQ18" i="3"/>
  <c r="CQ16" i="3"/>
  <c r="CQ37" i="3"/>
  <c r="CW78" i="2"/>
  <c r="CW77" i="2"/>
  <c r="CW75" i="2"/>
  <c r="CW71" i="2"/>
  <c r="CW25" i="2"/>
  <c r="CW76" i="2"/>
  <c r="CW74" i="2"/>
  <c r="CW70" i="2"/>
  <c r="CW68" i="2"/>
  <c r="CW66" i="2"/>
  <c r="CW65" i="2"/>
  <c r="CW64" i="2"/>
  <c r="CW62" i="2"/>
  <c r="CW60" i="2"/>
  <c r="CW59" i="2"/>
  <c r="CW55" i="2"/>
  <c r="CW52" i="2"/>
  <c r="CW50" i="2"/>
  <c r="CW47" i="2"/>
  <c r="CW41" i="2"/>
  <c r="CW32" i="2"/>
  <c r="CW23" i="2"/>
  <c r="CW48" i="2"/>
  <c r="CW43" i="2"/>
  <c r="CW39" i="2"/>
  <c r="CW37" i="2"/>
  <c r="CW35" i="2"/>
  <c r="CW34" i="2"/>
  <c r="CW31" i="2"/>
  <c r="CW28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W44" i="2"/>
  <c r="CR44" i="2"/>
  <c r="CP14" i="3"/>
  <c r="CO77" i="3"/>
  <c r="CJ14" i="3"/>
  <c r="CH77" i="3"/>
  <c r="AN13" i="2"/>
  <c r="D23" i="1"/>
  <c r="F23" i="1" s="1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P18" i="2"/>
  <c r="CN79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7" i="3"/>
  <c r="CQ46" i="3"/>
  <c r="CQ45" i="3"/>
  <c r="CQ44" i="3"/>
  <c r="CQ43" i="3"/>
  <c r="CQ42" i="3"/>
  <c r="CQ41" i="3"/>
  <c r="CQ40" i="3"/>
  <c r="CQ39" i="3"/>
  <c r="CQ38" i="3"/>
  <c r="CQ22" i="3"/>
  <c r="CQ21" i="3"/>
  <c r="CQ20" i="3"/>
  <c r="CQ15" i="3"/>
  <c r="CW73" i="2"/>
  <c r="CW72" i="2"/>
  <c r="CW69" i="2"/>
  <c r="CW67" i="2"/>
  <c r="CW61" i="2"/>
  <c r="CW56" i="2"/>
  <c r="CW53" i="2"/>
  <c r="CW45" i="2"/>
  <c r="CW26" i="2"/>
  <c r="CW20" i="2"/>
  <c r="CW19" i="2"/>
  <c r="CW16" i="2"/>
  <c r="CW15" i="2"/>
  <c r="CQ49" i="3"/>
  <c r="CQ48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19" i="3"/>
  <c r="CQ17" i="3"/>
  <c r="CW63" i="2"/>
  <c r="CW58" i="2"/>
  <c r="CW51" i="2"/>
  <c r="CW46" i="2"/>
  <c r="CW57" i="2"/>
  <c r="CW54" i="2"/>
  <c r="CW42" i="2"/>
  <c r="CW40" i="2"/>
  <c r="CW36" i="2"/>
  <c r="CW29" i="2"/>
  <c r="CW27" i="2"/>
  <c r="CW22" i="2"/>
  <c r="CW21" i="2"/>
  <c r="CQ14" i="3" l="1"/>
  <c r="CQ77" i="3" s="1"/>
  <c r="CP77" i="3"/>
  <c r="CL14" i="3"/>
  <c r="CL77" i="3" s="1"/>
  <c r="CJ77" i="3"/>
  <c r="I3" i="2"/>
  <c r="E6" i="1"/>
  <c r="D3" i="3"/>
  <c r="CH13" i="3"/>
  <c r="F11" i="1"/>
  <c r="D24" i="1"/>
  <c r="CW18" i="2"/>
  <c r="CW79" i="2" s="1"/>
  <c r="CR18" i="2"/>
  <c r="CR79" i="2" s="1"/>
  <c r="B6" i="1"/>
  <c r="H6" i="1" s="1"/>
  <c r="I3" i="3"/>
  <c r="D3" i="2"/>
  <c r="CN13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<sst xmlns="http://schemas.openxmlformats.org/spreadsheetml/2006/main" count="589" uniqueCount="175">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</sst>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838</v>
      </c>
      <c r="C6" s="89"/>
      <c r="E6" s="88">
        <f>'Programa CAJAS REPORTE DIARIO'!CH77</f>
        <v>2223</v>
      </c>
      <c r="F6" s="89"/>
      <c r="H6" s="101">
        <f>B6+E6</f>
        <v>3061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179</v>
      </c>
      <c r="E23" s="70">
        <f>'Programa CAJAS REPORTE DIARIO'!AT77</f>
        <v>494</v>
      </c>
      <c r="F23" s="70">
        <f t="shared" si="0"/>
        <v>673</v>
      </c>
      <c r="G23" s="70">
        <f t="shared" si="1"/>
        <v>3061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838</v>
      </c>
      <c r="E24" s="75">
        <f>SUM(E11:E23)</f>
        <v>2223</v>
      </c>
      <c r="F24" s="75">
        <f>SUM(F11:F23)</f>
        <v>3061</v>
      </c>
      <c r="G24" s="75">
        <f>F24</f>
        <v>3061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838</v>
      </c>
      <c r="F3" s="79" t="s">
        <v>1</v>
      </c>
      <c r="I3" s="80">
        <f>'Programa CAJAS REPORTE DIARIO'!CH77+CN79</f>
        <v>3061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179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838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173</v>
      </c>
      <c r="CP28" s="27">
        <f t="shared" si="4"/>
        <v>173</v>
      </c>
      <c r="CQ28" s="22">
        <v>0</v>
      </c>
      <c r="CR28" s="22">
        <f t="shared" si="5"/>
        <v>173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23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93</v>
      </c>
      <c r="CP42" s="27">
        <f t="shared" si="4"/>
        <v>93</v>
      </c>
      <c r="CQ42" s="22">
        <v>0</v>
      </c>
      <c r="CR42" s="22">
        <f t="shared" si="5"/>
        <v>93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-93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58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58</v>
      </c>
      <c r="CP56" s="27">
        <f t="shared" si="11"/>
        <v>58</v>
      </c>
      <c r="CQ56" s="22">
        <v>0</v>
      </c>
      <c r="CR56" s="22">
        <f t="shared" si="12"/>
        <v>58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-58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179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838</v>
      </c>
      <c r="CP79" s="25">
        <f>+SUM(CP14:CP78)</f>
        <v>838</v>
      </c>
      <c r="CQ79" s="25">
        <f>+SUM(CQ14:CQ78)</f>
        <v>0</v>
      </c>
      <c r="CR79" s="25">
        <f>+SUM(CR14:CR78)</f>
        <v>838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6428.5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2223</v>
      </c>
      <c r="F3" s="79" t="s">
        <v>1</v>
      </c>
      <c r="I3" s="80">
        <f>'Programa CASETAS REPORTE DIARIO'!CN79+CH77</f>
        <v>3061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494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2223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406</v>
      </c>
      <c r="CJ27" s="27">
        <f t="shared" si="3"/>
        <v>406</v>
      </c>
      <c r="CK27" s="22">
        <v>0</v>
      </c>
      <c r="CL27" s="22">
        <f t="shared" si="4"/>
        <v>406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95</v>
      </c>
      <c r="CJ29" s="27">
        <f t="shared" si="3"/>
        <v>95</v>
      </c>
      <c r="CK29" s="22">
        <v>0</v>
      </c>
      <c r="CL29" s="22">
        <f t="shared" si="4"/>
        <v>95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1241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123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128</v>
      </c>
      <c r="CJ53" s="27">
        <f t="shared" si="11"/>
        <v>128</v>
      </c>
      <c r="CK53" s="22">
        <v>0</v>
      </c>
      <c r="CL53" s="22">
        <f t="shared" si="12"/>
        <v>128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-60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18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65</v>
      </c>
      <c r="CJ61" s="27">
        <f t="shared" si="11"/>
        <v>65</v>
      </c>
      <c r="CK61" s="22">
        <v>0</v>
      </c>
      <c r="CL61" s="22">
        <f t="shared" si="12"/>
        <v>65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-33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494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2223</v>
      </c>
      <c r="CJ77" s="25">
        <f>+SUM(CJ14:CJ76)</f>
        <v>2223</v>
      </c>
      <c r="CK77" s="25">
        <f>+SUM(CK14:CK76)</f>
        <v>0</v>
      </c>
      <c r="CL77" s="25">
        <f>+SUM(CL14:CL76)</f>
        <v>2223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9009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2026-10-29T22:08:38Z</dcterms:modified>
</cp:coreProperties>
</file>