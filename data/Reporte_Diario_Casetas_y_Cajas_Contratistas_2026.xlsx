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1681DBD4-0CA9-4854-BBD2-2386CC3CCEC9}" xr6:coauthVersionLast="47" xr6:coauthVersionMax="47" xr10:uidLastSave="{00000000-0000-0000-0000-000000000000}"/>
  <bookViews>
    <workbookView xWindow="384" yWindow="384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H14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W51" i="2" s="1"/>
  <c r="CN51" i="2"/>
  <c r="CP51" i="2" s="1"/>
  <c r="CR51" i="2" s="1"/>
  <c r="DD50" i="2"/>
  <c r="CU50" i="2" s="1"/>
  <c r="CV50" i="2" s="1"/>
  <c r="CW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W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/>
  <c r="CV43" i="2" s="1"/>
  <c r="CW43" i="2" s="1"/>
  <c r="CN43" i="2"/>
  <c r="CP43" i="2" s="1"/>
  <c r="CR43" i="2" s="1"/>
  <c r="DD42" i="2"/>
  <c r="CU42" i="2" s="1"/>
  <c r="CV42" i="2" s="1"/>
  <c r="CW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 s="1"/>
  <c r="CV40" i="2" s="1"/>
  <c r="CW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W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CW66" i="2" l="1"/>
  <c r="CW63" i="2"/>
  <c r="CW61" i="2"/>
  <c r="CW44" i="2"/>
  <c r="CQ60" i="3"/>
  <c r="CQ22" i="3"/>
  <c r="CW47" i="2"/>
  <c r="CQ19" i="3"/>
  <c r="CQ17" i="3"/>
  <c r="CW64" i="2"/>
  <c r="CW62" i="2"/>
  <c r="CW59" i="2"/>
  <c r="CW48" i="2"/>
  <c r="CW56" i="2"/>
  <c r="CW37" i="2"/>
  <c r="CW78" i="2"/>
  <c r="CW77" i="2"/>
  <c r="CW76" i="2"/>
  <c r="CW71" i="2"/>
  <c r="CW70" i="2"/>
  <c r="CW68" i="2"/>
  <c r="CW58" i="2"/>
  <c r="CW49" i="2"/>
  <c r="AU13" i="3"/>
  <c r="E24" i="1"/>
  <c r="AT13" i="3"/>
  <c r="E23" i="1"/>
  <c r="AS13" i="3"/>
  <c r="E22" i="1"/>
  <c r="AR13" i="3"/>
  <c r="E21" i="1"/>
  <c r="AQ13" i="3"/>
  <c r="E20" i="1"/>
  <c r="AP13" i="3"/>
  <c r="E19" i="1"/>
  <c r="E18" i="1"/>
  <c r="AO13" i="3"/>
  <c r="E17" i="1"/>
  <c r="AN13" i="3"/>
  <c r="AM13" i="3"/>
  <c r="E16" i="1"/>
  <c r="AL13" i="3"/>
  <c r="E15" i="1"/>
  <c r="E14" i="1"/>
  <c r="AK13" i="3"/>
  <c r="AJ13" i="3"/>
  <c r="E13" i="1"/>
  <c r="E12" i="1"/>
  <c r="AI13" i="3"/>
  <c r="AH13" i="3"/>
  <c r="E11" i="1"/>
  <c r="CW67" i="2"/>
  <c r="CO77" i="3"/>
  <c r="CP14" i="3"/>
  <c r="CH77" i="3"/>
  <c r="CJ14" i="3"/>
  <c r="AO13" i="2"/>
  <c r="D24" i="1"/>
  <c r="AN13" i="2"/>
  <c r="D23" i="1"/>
  <c r="D22" i="1"/>
  <c r="AM13" i="2"/>
  <c r="D21" i="1"/>
  <c r="AL13" i="2"/>
  <c r="AK13" i="2"/>
  <c r="D20" i="1"/>
  <c r="F20" i="1" s="1"/>
  <c r="AJ13" i="2"/>
  <c r="D19" i="1"/>
  <c r="F19" i="1" s="1"/>
  <c r="D18" i="1"/>
  <c r="F18" i="1" s="1"/>
  <c r="AI13" i="2"/>
  <c r="AH13" i="2"/>
  <c r="D17" i="1"/>
  <c r="F17" i="1" s="1"/>
  <c r="D16" i="1"/>
  <c r="F16" i="1" s="1"/>
  <c r="AG13" i="2"/>
  <c r="D15" i="1"/>
  <c r="F15" i="1" s="1"/>
  <c r="AF13" i="2"/>
  <c r="D14" i="1"/>
  <c r="AE13" i="2"/>
  <c r="D13" i="1"/>
  <c r="AD13" i="2"/>
  <c r="D12" i="1"/>
  <c r="AC13" i="2"/>
  <c r="D11" i="1"/>
  <c r="AB13" i="2"/>
  <c r="CV14" i="2"/>
  <c r="CU79" i="2"/>
  <c r="CP14" i="2"/>
  <c r="CN79" i="2"/>
  <c r="CQ59" i="3"/>
  <c r="CQ58" i="3"/>
  <c r="CQ57" i="3"/>
  <c r="CQ56" i="3"/>
  <c r="CQ55" i="3"/>
  <c r="CQ54" i="3"/>
  <c r="CQ53" i="3"/>
  <c r="CQ52" i="3"/>
  <c r="CQ51" i="3"/>
  <c r="CQ50" i="3"/>
  <c r="CQ49" i="3"/>
  <c r="CQ48" i="3"/>
  <c r="CW65" i="2"/>
  <c r="CW52" i="2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16" i="3"/>
  <c r="CQ15" i="3"/>
  <c r="CW75" i="2"/>
  <c r="CW60" i="2"/>
  <c r="CW54" i="2"/>
  <c r="CW53" i="2"/>
  <c r="CW45" i="2"/>
  <c r="CQ21" i="3"/>
  <c r="CQ20" i="3"/>
  <c r="CQ18" i="3"/>
  <c r="CW57" i="2"/>
  <c r="CW39" i="2"/>
  <c r="CW74" i="2"/>
  <c r="CW73" i="2"/>
  <c r="CW72" i="2"/>
  <c r="CW69" i="2"/>
  <c r="CW55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W41" i="2"/>
  <c r="E25" i="1" l="1"/>
  <c r="F24" i="1"/>
  <c r="F23" i="1"/>
  <c r="F22" i="1"/>
  <c r="F21" i="1"/>
  <c r="F14" i="1"/>
  <c r="F13" i="1"/>
  <c r="F12" i="1"/>
  <c r="CQ14" i="3"/>
  <c r="CQ77" i="3" s="1"/>
  <c r="CP77" i="3"/>
  <c r="I3" i="2"/>
  <c r="CH13" i="3"/>
  <c r="E6" i="1"/>
  <c r="D3" i="3"/>
  <c r="CL14" i="3"/>
  <c r="CL77" i="3" s="1"/>
  <c r="CJ77" i="3"/>
  <c r="F11" i="1"/>
  <c r="D25" i="1"/>
  <c r="CW14" i="2"/>
  <c r="CW79" i="2" s="1"/>
  <c r="CV79" i="2"/>
  <c r="CR14" i="2"/>
  <c r="CR79" i="2" s="1"/>
  <c r="CP79" i="2"/>
  <c r="B6" i="1"/>
  <c r="H6" i="1" s="1"/>
  <c r="I3" i="3"/>
  <c r="CN13" i="2"/>
  <c r="D3" i="2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F25" i="1"/>
  <c r="G25" i="1" s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<sst xmlns="http://schemas.openxmlformats.org/spreadsheetml/2006/main" count="592" uniqueCount="176">
  <si>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</si>
  <si>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</si>
  <si>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</si>
  <si>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</si>
  <si>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</si>
  <si>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</si>
  <si>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</si>
  <si>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</si>
  <si>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</si>
  <si>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</si>
  <si>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</si>
  <si>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</si>
  <si>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</si>
  <si>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</si>
  <si>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</si>
  <si>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</si>
  <si>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</si>
  <si>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</si>
  <si>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</si>
  <si>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</si>
  <si>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</si>
  <si>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</si>
  <si>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</si>
  <si>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</si>
  <si>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</si>
  <si>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</si>
  <si>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</si>
  <si>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</si>
  <si>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</si>
  <si>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</si>
  <si>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</si>
  <si>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</si>
  <si>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</si>
  <si>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</si>
  <si>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</si>
  <si>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</si>
  <si>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</si>
  <si>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</si>
  <si>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</si>
  <si>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</si>
  <si>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</si>
  <si>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</si>
  <si>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</si>
  <si>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</si>
  <si>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</si>
  <si>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</si>
  <si>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</si>
  <si>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</si>
  <si>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</si>
  <si>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</si>
  <si>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</si>
  <si>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</si>
  <si>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</si>
  <si>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</si>
  <si>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</si>
  <si>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</si>
  <si>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</si>
  <si>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</si>
  <si>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</si>
  <si>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</si>
  <si>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</si>
  <si>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</si>
  <si>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</si>
  <si>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</si>
  <si>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</si>
  <si>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</si>
  <si>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</si>
  <si>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</si>
  <si>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</si>
  <si>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</si>
  <si>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</si>
  <si>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</si>
  <si>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</si>
  <si>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</si>
  <si>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</si>
  <si>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</si>
  <si>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</si>
  <si>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</si>
  <si>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</si>
  <si>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</si>
  <si>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</si>
  <si>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</si>
  <si>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</si>
  <si>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</si>
  <si>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</si>
  <si>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</si>
  <si>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</si>
  <si>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</si>
  <si>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</si>
  <si>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</si>
  <si>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</si>
  <si>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</si>
  <si>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</si>
  <si>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</si>
  <si>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</si>
  <si>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</si>
  <si>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</si>
  <si>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</si>
  <si>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</si>
  <si>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</si>
  <si>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</si>
  <si>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</si>
  <si>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</si>
  <si>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</si>
  <si>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</si>
  <si>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</si>
  <si>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</si>
  <si>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</si>
  <si>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</si>
  <si>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</si>
  <si>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</si>
  <si>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</si>
  <si>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11:34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</si>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</sst>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944</v>
      </c>
      <c r="C6" s="89"/>
      <c r="E6" s="88">
        <f>'Programa CAJAS REPORTE DIARIO'!CH77</f>
        <v>2614</v>
      </c>
      <c r="F6" s="89"/>
      <c r="H6" s="101">
        <f>B6+E6</f>
        <v>3558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36</v>
      </c>
      <c r="E24" s="72">
        <f>'Programa CAJAS REPORTE DIARIO'!AU77</f>
        <v>139</v>
      </c>
      <c r="F24" s="72">
        <f t="shared" si="0"/>
        <v>175</v>
      </c>
      <c r="G24" s="72">
        <f t="shared" si="1"/>
        <v>3558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944</v>
      </c>
      <c r="E25" s="75">
        <f>SUM(E11:E24)</f>
        <v>2614</v>
      </c>
      <c r="F25" s="75">
        <f>SUM(F11:F24)</f>
        <v>3558</v>
      </c>
      <c r="G25" s="75">
        <f>F25</f>
        <v>3558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944</v>
      </c>
      <c r="F3" s="79" t="s">
        <v>1</v>
      </c>
      <c r="I3" s="80">
        <f>'Programa CAJAS REPORTE DIARIO'!CH77+CN79</f>
        <v>3558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36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944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1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201</v>
      </c>
      <c r="CP27" s="27">
        <f t="shared" si="4"/>
        <v>201</v>
      </c>
      <c r="CQ27" s="22">
        <v>0</v>
      </c>
      <c r="CR27" s="22">
        <f t="shared" si="5"/>
        <v>201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169.5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7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120</v>
      </c>
      <c r="CP29" s="27">
        <f t="shared" si="4"/>
        <v>120</v>
      </c>
      <c r="CQ29" s="22">
        <v>0</v>
      </c>
      <c r="CR29" s="22">
        <f t="shared" si="5"/>
        <v>120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286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>
        <v>1</v>
      </c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25</v>
      </c>
      <c r="CP36" s="27">
        <f t="shared" si="4"/>
        <v>25</v>
      </c>
      <c r="CQ36" s="22">
        <v>0</v>
      </c>
      <c r="CR36" s="22">
        <f t="shared" si="5"/>
        <v>25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-25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>
        <v>4</v>
      </c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137</v>
      </c>
      <c r="CP42" s="27">
        <f t="shared" si="4"/>
        <v>137</v>
      </c>
      <c r="CQ42" s="22">
        <v>0</v>
      </c>
      <c r="CR42" s="22">
        <f t="shared" si="5"/>
        <v>137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-137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22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84</v>
      </c>
      <c r="CP56" s="27">
        <f t="shared" si="11"/>
        <v>84</v>
      </c>
      <c r="CQ56" s="22">
        <v>0</v>
      </c>
      <c r="CR56" s="22">
        <f t="shared" si="12"/>
        <v>84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-84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36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944</v>
      </c>
      <c r="CP79" s="25">
        <f>+SUM(CP14:CP78)</f>
        <v>944</v>
      </c>
      <c r="CQ79" s="25">
        <f>+SUM(CQ14:CQ78)</f>
        <v>0</v>
      </c>
      <c r="CR79" s="25">
        <f>+SUM(CR14:CR78)</f>
        <v>944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6322.5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2614</v>
      </c>
      <c r="F3" s="79" t="s">
        <v>1</v>
      </c>
      <c r="I3" s="80">
        <f>'Programa CASETAS REPORTE DIARIO'!CN79+CH77</f>
        <v>3558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139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2614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8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445</v>
      </c>
      <c r="CJ27" s="27">
        <f t="shared" si="3"/>
        <v>445</v>
      </c>
      <c r="CK27" s="22">
        <v>0</v>
      </c>
      <c r="CL27" s="22">
        <f t="shared" si="4"/>
        <v>445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341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8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335</v>
      </c>
      <c r="CJ28" s="27">
        <f t="shared" si="3"/>
        <v>335</v>
      </c>
      <c r="CK28" s="22">
        <v>0</v>
      </c>
      <c r="CL28" s="22">
        <f t="shared" si="4"/>
        <v>335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-155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6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111</v>
      </c>
      <c r="CJ29" s="27">
        <f t="shared" si="3"/>
        <v>111</v>
      </c>
      <c r="CK29" s="22">
        <v>0</v>
      </c>
      <c r="CL29" s="22">
        <f t="shared" si="4"/>
        <v>111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1225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2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165</v>
      </c>
      <c r="CJ35" s="27">
        <f t="shared" si="3"/>
        <v>165</v>
      </c>
      <c r="CK35" s="22">
        <v>0</v>
      </c>
      <c r="CL35" s="22">
        <f t="shared" si="4"/>
        <v>165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39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125</v>
      </c>
      <c r="CJ37" s="27">
        <f t="shared" si="3"/>
        <v>125</v>
      </c>
      <c r="CK37" s="22">
        <v>0</v>
      </c>
      <c r="CL37" s="22">
        <f t="shared" si="4"/>
        <v>125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450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6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65</v>
      </c>
      <c r="CJ41" s="27">
        <f t="shared" si="3"/>
        <v>65</v>
      </c>
      <c r="CK41" s="22">
        <v>0</v>
      </c>
      <c r="CL41" s="22">
        <f t="shared" si="4"/>
        <v>65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515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23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199</v>
      </c>
      <c r="CJ43" s="27">
        <f t="shared" si="3"/>
        <v>199</v>
      </c>
      <c r="CK43" s="22">
        <v>0</v>
      </c>
      <c r="CL43" s="22">
        <f t="shared" si="4"/>
        <v>199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-179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331</v>
      </c>
      <c r="CJ46" s="27">
        <f t="shared" ref="CJ46:CJ76" si="11">CH46</f>
        <v>331</v>
      </c>
      <c r="CK46" s="22">
        <v>0</v>
      </c>
      <c r="CL46" s="22">
        <f t="shared" ref="CL46:CL77" si="12">CJ46+CK46</f>
        <v>331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>
        <v>1</v>
      </c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2</v>
      </c>
      <c r="CJ52" s="27">
        <f t="shared" si="11"/>
        <v>2</v>
      </c>
      <c r="CK52" s="22">
        <v>0</v>
      </c>
      <c r="CL52" s="22">
        <f t="shared" si="12"/>
        <v>2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46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29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202</v>
      </c>
      <c r="CJ53" s="27">
        <f t="shared" si="11"/>
        <v>202</v>
      </c>
      <c r="CK53" s="22">
        <v>0</v>
      </c>
      <c r="CL53" s="22">
        <f t="shared" si="12"/>
        <v>202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-134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>
        <v>3</v>
      </c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86</v>
      </c>
      <c r="CJ55" s="27">
        <f t="shared" si="11"/>
        <v>86</v>
      </c>
      <c r="CK55" s="22">
        <v>0</v>
      </c>
      <c r="CL55" s="22">
        <f t="shared" si="12"/>
        <v>86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-56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139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2614</v>
      </c>
      <c r="CJ77" s="25">
        <f>+SUM(CJ14:CJ76)</f>
        <v>2614</v>
      </c>
      <c r="CK77" s="25">
        <f>+SUM(CK14:CK76)</f>
        <v>0</v>
      </c>
      <c r="CL77" s="25">
        <f>+SUM(CL14:CL76)</f>
        <v>2614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8780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2026-10-30T17:34:18Z</dcterms:modified>
</cp:coreProperties>
</file>