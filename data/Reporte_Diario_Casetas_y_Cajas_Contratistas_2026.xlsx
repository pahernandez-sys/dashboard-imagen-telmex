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CFBBE2C-285F-4FDD-94D6-DE1967ABE06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4" i="3" l="1"/>
  <c r="CQ67" i="3"/>
  <c r="CQ71" i="3"/>
  <c r="CQ66" i="3"/>
  <c r="CW17" i="2"/>
  <c r="CW69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P14" i="3"/>
  <c r="CO77" i="3"/>
  <c r="CH77" i="3"/>
  <c r="CJ14" i="3"/>
  <c r="F11" i="1"/>
  <c r="D23" i="1"/>
  <c r="CU79" i="2"/>
  <c r="CV14" i="2"/>
  <c r="CN79" i="2"/>
  <c r="CP14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F17" i="1"/>
  <c r="CW78" i="2"/>
  <c r="CW77" i="2"/>
  <c r="CW76" i="2"/>
  <c r="CW75" i="2"/>
  <c r="CW74" i="2"/>
  <c r="CW73" i="2"/>
  <c r="CW72" i="2"/>
  <c r="CW71" i="2"/>
  <c r="CW70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Q76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5" i="3"/>
  <c r="CQ74" i="3"/>
  <c r="CQ73" i="3"/>
  <c r="CQ72" i="3"/>
  <c r="CQ70" i="3"/>
  <c r="CQ69" i="3"/>
  <c r="CQ68" i="3"/>
  <c r="CQ65" i="3"/>
  <c r="CQ63" i="3"/>
  <c r="CQ62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<sst xmlns="http://schemas.openxmlformats.org/spreadsheetml/2006/main" count="586" uniqueCount="174">
  <si>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</si>
  <si>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</si>
  <si>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</si>
  <si>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</si>
  <si>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</si>
  <si>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</si>
  <si>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</si>
  <si>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</si>
  <si>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</si>
  <si>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</si>
  <si>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</si>
  <si>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</si>
  <si>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</si>
  <si>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</si>
  <si>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</si>
  <si>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</si>
  <si>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</si>
  <si>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</si>
  <si>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</si>
  <si>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</si>
  <si>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</si>
  <si>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</si>
  <si>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</si>
  <si>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</si>
  <si>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</si>
  <si>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</si>
  <si>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</si>
  <si>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</si>
  <si>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</si>
  <si>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</si>
  <si>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</si>
  <si>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</si>
  <si>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</si>
  <si>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</si>
  <si>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</si>
  <si>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</si>
  <si>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</si>
  <si>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</si>
  <si>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</si>
  <si>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</si>
  <si>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</si>
  <si>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</si>
  <si>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</si>
  <si>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</si>
  <si>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</si>
  <si>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</si>
  <si>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</si>
  <si>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</si>
  <si>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</si>
  <si>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</si>
  <si>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</si>
  <si>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</si>
  <si>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</si>
  <si>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</si>
  <si>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</si>
  <si>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</si>
  <si>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</si>
  <si>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</si>
  <si>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</si>
  <si>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</si>
  <si>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</si>
  <si>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</si>
  <si>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</si>
  <si>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</si>
  <si>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</si>
  <si>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</si>
  <si>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</si>
  <si>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</si>
  <si>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</si>
  <si>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</si>
  <si>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</si>
  <si>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</si>
  <si>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</si>
  <si>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</si>
  <si>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</si>
  <si>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</si>
  <si>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</si>
  <si>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</si>
  <si>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</si>
  <si>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</si>
  <si>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</si>
  <si>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</si>
  <si>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</si>
  <si>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</si>
  <si>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</si>
  <si>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</si>
  <si>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</si>
  <si>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</si>
  <si>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</si>
  <si>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</si>
  <si>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</si>
  <si>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</si>
  <si>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</si>
  <si>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</si>
  <si>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</si>
  <si>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</si>
  <si>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</si>
  <si>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</si>
  <si>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</si>
  <si>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</si>
  <si>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</si>
  <si>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</si>
  <si>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</si>
  <si>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</si>
  <si>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</si>
  <si>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</si>
  <si>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</si>
  <si>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</si>
  <si>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</si>
  <si>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</si>
  <si>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</si>
  <si>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</si>
  <si>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13:42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</si>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</sst>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577</v>
      </c>
      <c r="C6" s="89"/>
      <c r="E6" s="88">
        <f>'Programa CAJAS REPORTE DIARIO'!CH77</f>
        <v>1462</v>
      </c>
      <c r="F6" s="89"/>
      <c r="H6" s="101">
        <f>B6+E6</f>
        <v>2039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95</v>
      </c>
      <c r="E22" s="72">
        <f>'Programa CAJAS REPORTE DIARIO'!AS77</f>
        <v>137</v>
      </c>
      <c r="F22" s="72">
        <f t="shared" si="0"/>
        <v>232</v>
      </c>
      <c r="G22" s="72">
        <f t="shared" si="1"/>
        <v>2039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577</v>
      </c>
      <c r="E23" s="75">
        <f>SUM(E11:E22)</f>
        <v>1462</v>
      </c>
      <c r="F23" s="75">
        <f>SUM(F11:F22)</f>
        <v>2039</v>
      </c>
      <c r="G23" s="75">
        <f>F23</f>
        <v>2039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577</v>
      </c>
      <c r="F3" s="79" t="s">
        <v>1</v>
      </c>
      <c r="I3" s="80">
        <f>'Programa CAJAS REPORTE DIARIO'!CH77+CN79</f>
        <v>2039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170</v>
      </c>
      <c r="CP27" s="27">
        <f t="shared" si="4"/>
        <v>170</v>
      </c>
      <c r="CQ27" s="22">
        <v>0</v>
      </c>
      <c r="CR27" s="22">
        <f t="shared" si="5"/>
        <v>170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577</v>
      </c>
      <c r="CP79" s="25">
        <f>+SUM(CP14:CP78)</f>
        <v>577</v>
      </c>
      <c r="CQ79" s="25">
        <f>+SUM(CQ14:CQ78)</f>
        <v>0</v>
      </c>
      <c r="CR79" s="25">
        <f>+SUM(CR14:CR78)</f>
        <v>577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1462</v>
      </c>
      <c r="F3" s="79" t="s">
        <v>1</v>
      </c>
      <c r="I3" s="80">
        <f>'Programa CASETAS REPORTE DIARIO'!CN79+CH77</f>
        <v>2039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137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1462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352</v>
      </c>
      <c r="CJ27" s="27">
        <f t="shared" si="3"/>
        <v>352</v>
      </c>
      <c r="CK27" s="22">
        <v>0</v>
      </c>
      <c r="CL27" s="22">
        <f t="shared" si="4"/>
        <v>352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25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237</v>
      </c>
      <c r="CJ28" s="27">
        <f t="shared" si="3"/>
        <v>237</v>
      </c>
      <c r="CK28" s="22">
        <v>0</v>
      </c>
      <c r="CL28" s="22">
        <f t="shared" si="4"/>
        <v>237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9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39</v>
      </c>
      <c r="CJ36" s="27">
        <f t="shared" si="3"/>
        <v>39</v>
      </c>
      <c r="CK36" s="22">
        <v>0</v>
      </c>
      <c r="CL36" s="22">
        <f t="shared" si="4"/>
        <v>39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9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40</v>
      </c>
      <c r="CJ61" s="27">
        <f t="shared" si="11"/>
        <v>40</v>
      </c>
      <c r="CK61" s="22">
        <v>0</v>
      </c>
      <c r="CL61" s="22">
        <f t="shared" si="12"/>
        <v>40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137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1462</v>
      </c>
      <c r="CJ77" s="25">
        <f>+SUM(CJ14:CJ76)</f>
        <v>1462</v>
      </c>
      <c r="CK77" s="25">
        <f>+SUM(CK14:CK76)</f>
        <v>0</v>
      </c>
      <c r="CL77" s="25">
        <f>+SUM(CL14:CL76)</f>
        <v>1462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6706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2026-10-28T19:42:12Z</dcterms:modified>
</cp:coreProperties>
</file>