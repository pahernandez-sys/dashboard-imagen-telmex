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D5B84C7-658E-46B9-9B90-5E15847CF84A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Q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W19" i="2" s="1"/>
  <c r="CN19" i="2"/>
  <c r="CP19" i="2" s="1"/>
  <c r="CR19" i="2" s="1"/>
  <c r="DD18" i="2"/>
  <c r="CU18" i="2" s="1"/>
  <c r="CV18" i="2" s="1"/>
  <c r="CW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48" i="2" l="1"/>
  <c r="CW42" i="2"/>
  <c r="CW41" i="2"/>
  <c r="CW40" i="2"/>
  <c r="CW39" i="2"/>
  <c r="CW37" i="2"/>
  <c r="CW33" i="2"/>
  <c r="CW32" i="2"/>
  <c r="CW24" i="2"/>
  <c r="CW20" i="2"/>
  <c r="CW30" i="2"/>
  <c r="CQ35" i="3"/>
  <c r="CW43" i="2"/>
  <c r="CW34" i="2"/>
  <c r="CQ25" i="3"/>
  <c r="CW46" i="2"/>
  <c r="CW44" i="2"/>
  <c r="CW38" i="2"/>
  <c r="CW22" i="2"/>
  <c r="CW17" i="2"/>
  <c r="CW66" i="2"/>
  <c r="CW61" i="2"/>
  <c r="CW45" i="2"/>
  <c r="CR45" i="2"/>
  <c r="CW21" i="2"/>
  <c r="E23" i="1"/>
  <c r="F23" i="1" s="1"/>
  <c r="AT13" i="3"/>
  <c r="AS13" i="3"/>
  <c r="E22" i="1"/>
  <c r="F22" i="1" s="1"/>
  <c r="E21" i="1"/>
  <c r="F21" i="1" s="1"/>
  <c r="AR13" i="3"/>
  <c r="AQ13" i="3"/>
  <c r="E20" i="1"/>
  <c r="F20" i="1" s="1"/>
  <c r="AP13" i="3"/>
  <c r="E19" i="1"/>
  <c r="F19" i="1" s="1"/>
  <c r="E18" i="1"/>
  <c r="F18" i="1" s="1"/>
  <c r="AO13" i="3"/>
  <c r="AN13" i="3"/>
  <c r="E17" i="1"/>
  <c r="F17" i="1" s="1"/>
  <c r="E16" i="1"/>
  <c r="F16" i="1" s="1"/>
  <c r="AM13" i="3"/>
  <c r="E15" i="1"/>
  <c r="F15" i="1" s="1"/>
  <c r="AL13" i="3"/>
  <c r="AK13" i="3"/>
  <c r="E14" i="1"/>
  <c r="F14" i="1" s="1"/>
  <c r="E13" i="1"/>
  <c r="F13" i="1" s="1"/>
  <c r="AJ13" i="3"/>
  <c r="AI13" i="3"/>
  <c r="E12" i="1"/>
  <c r="F12" i="1" s="1"/>
  <c r="E11" i="1"/>
  <c r="AH13" i="3"/>
  <c r="CH77" i="3"/>
  <c r="CJ60" i="3"/>
  <c r="CP14" i="3"/>
  <c r="CO77" i="3"/>
  <c r="CJ77" i="3"/>
  <c r="CL14" i="3"/>
  <c r="F11" i="1"/>
  <c r="D24" i="1"/>
  <c r="CV14" i="2"/>
  <c r="CU79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39" i="3"/>
  <c r="CQ38" i="3"/>
  <c r="CQ36" i="3"/>
  <c r="CQ31" i="3"/>
  <c r="CQ28" i="3"/>
  <c r="CW35" i="2"/>
  <c r="CW31" i="2"/>
  <c r="CW23" i="2"/>
  <c r="CQ37" i="3"/>
  <c r="CQ34" i="3"/>
  <c r="CQ33" i="3"/>
  <c r="CQ32" i="3"/>
  <c r="CQ30" i="3"/>
  <c r="CQ27" i="3"/>
  <c r="CQ26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5" i="2"/>
  <c r="CW64" i="2"/>
  <c r="CW63" i="2"/>
  <c r="CW62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7" i="2"/>
  <c r="CW36" i="2"/>
  <c r="CW29" i="2"/>
  <c r="CW28" i="2"/>
  <c r="CW27" i="2"/>
  <c r="CW26" i="2"/>
  <c r="CW25" i="2"/>
  <c r="CW16" i="2"/>
  <c r="CW15" i="2"/>
  <c r="CQ29" i="3"/>
  <c r="E24" i="1" l="1"/>
  <c r="E6" i="1"/>
  <c r="CH13" i="3"/>
  <c r="I3" i="2"/>
  <c r="D3" i="3"/>
  <c r="CQ60" i="3"/>
  <c r="CL60" i="3"/>
  <c r="CL77" i="3" s="1"/>
  <c r="CQ14" i="3"/>
  <c r="CQ77" i="3" s="1"/>
  <c r="CP77" i="3"/>
  <c r="F24" i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CW14" i="2"/>
  <c r="CW79" i="2" s="1"/>
  <c r="CV79" i="2"/>
  <c r="B6" i="1"/>
  <c r="D3" i="2"/>
  <c r="CN13" i="2"/>
  <c r="I3" i="3"/>
  <c r="CR14" i="2"/>
  <c r="CR79" i="2" s="1"/>
  <c r="CP79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<sst xmlns="http://schemas.openxmlformats.org/spreadsheetml/2006/main" count="589" uniqueCount="175">
  <si>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</si>
  <si>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</si>
  <si>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</si>
  <si>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</si>
  <si>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</si>
  <si>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</si>
  <si>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</si>
  <si>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</si>
  <si>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</si>
  <si>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</si>
  <si>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</si>
  <si>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</si>
  <si>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</si>
  <si>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</si>
  <si>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</si>
  <si>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</si>
  <si>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</si>
  <si>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</si>
  <si>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</si>
  <si>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</si>
  <si>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</si>
  <si>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</si>
  <si>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</si>
  <si>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</si>
  <si>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</si>
  <si>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</si>
  <si>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</si>
  <si>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</si>
  <si>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</si>
  <si>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</si>
  <si>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</si>
  <si>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</si>
  <si>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</si>
  <si>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</si>
  <si>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</si>
  <si>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</si>
  <si>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</si>
  <si>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</si>
  <si>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</si>
  <si>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</si>
  <si>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</si>
  <si>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</si>
  <si>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</si>
  <si>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</si>
  <si>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</si>
  <si>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</si>
  <si>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</si>
  <si>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</si>
  <si>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</si>
  <si>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</si>
  <si>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</si>
  <si>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</si>
  <si>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</si>
  <si>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</si>
  <si>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</si>
  <si>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</si>
  <si>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</si>
  <si>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</si>
  <si>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</si>
  <si>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</si>
  <si>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</si>
  <si>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</si>
  <si>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</si>
  <si>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</si>
  <si>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</si>
  <si>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</si>
  <si>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</si>
  <si>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</si>
  <si>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</si>
  <si>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</si>
  <si>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</si>
  <si>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</si>
  <si>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</si>
  <si>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</si>
  <si>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</si>
  <si>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</si>
  <si>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</si>
  <si>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</si>
  <si>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</si>
  <si>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</si>
  <si>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</si>
  <si>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</si>
  <si>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</si>
  <si>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</si>
  <si>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</si>
  <si>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</si>
  <si>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</si>
  <si>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</si>
  <si>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</si>
  <si>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</si>
  <si>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</si>
  <si>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</si>
  <si>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</si>
  <si>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</si>
  <si>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</si>
  <si>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</si>
  <si>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</si>
  <si>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</si>
  <si>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</si>
  <si>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</si>
  <si>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</si>
  <si>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</si>
  <si>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</si>
  <si>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</si>
  <si>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</si>
  <si>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</si>
  <si>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</si>
  <si>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</si>
  <si>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</si>
  <si>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</si>
  <si>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</si>
  <si>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</si>
  <si>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13:28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</si>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</sst>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749</v>
      </c>
      <c r="C6" s="89"/>
      <c r="E6" s="88">
        <f>'Programa CAJAS REPORTE DIARIO'!CH77</f>
        <v>2012</v>
      </c>
      <c r="F6" s="89"/>
      <c r="H6" s="101">
        <f>B6+E6</f>
        <v>2761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90</v>
      </c>
      <c r="E23" s="70">
        <f>'Programa CAJAS REPORTE DIARIO'!AT77</f>
        <v>283</v>
      </c>
      <c r="F23" s="70">
        <f t="shared" si="0"/>
        <v>373</v>
      </c>
      <c r="G23" s="70">
        <f t="shared" si="1"/>
        <v>2761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749</v>
      </c>
      <c r="E24" s="75">
        <f>SUM(E11:E23)</f>
        <v>2012</v>
      </c>
      <c r="F24" s="75">
        <f>SUM(F11:F23)</f>
        <v>2761</v>
      </c>
      <c r="G24" s="75">
        <f>F24</f>
        <v>2761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749</v>
      </c>
      <c r="F3" s="79" t="s">
        <v>1</v>
      </c>
      <c r="I3" s="80">
        <f>'Programa CAJAS REPORTE DIARIO'!CH77+CN79</f>
        <v>2761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90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749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19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164</v>
      </c>
      <c r="CP28" s="27">
        <f t="shared" si="4"/>
        <v>164</v>
      </c>
      <c r="CQ28" s="22">
        <v>0</v>
      </c>
      <c r="CR28" s="22">
        <f t="shared" si="5"/>
        <v>164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21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107</v>
      </c>
      <c r="CP29" s="27">
        <f t="shared" si="4"/>
        <v>107</v>
      </c>
      <c r="CQ29" s="22">
        <v>0</v>
      </c>
      <c r="CR29" s="22">
        <f t="shared" si="5"/>
        <v>107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299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76</v>
      </c>
      <c r="CP42" s="27">
        <f t="shared" si="4"/>
        <v>76</v>
      </c>
      <c r="CQ42" s="22">
        <v>0</v>
      </c>
      <c r="CR42" s="22">
        <f t="shared" si="5"/>
        <v>76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-76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90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749</v>
      </c>
      <c r="CP79" s="25">
        <f>+SUM(CP14:CP78)</f>
        <v>749</v>
      </c>
      <c r="CQ79" s="25">
        <f>+SUM(CQ14:CQ78)</f>
        <v>0</v>
      </c>
      <c r="CR79" s="25">
        <f>+SUM(CR14:CR78)</f>
        <v>749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6517.5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2012</v>
      </c>
      <c r="F3" s="79" t="s">
        <v>1</v>
      </c>
      <c r="I3" s="80">
        <f>'Programa CASETAS REPORTE DIARIO'!CN79+CH77</f>
        <v>2761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283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2012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30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395</v>
      </c>
      <c r="CJ27" s="27">
        <f t="shared" si="3"/>
        <v>395</v>
      </c>
      <c r="CK27" s="22">
        <v>0</v>
      </c>
      <c r="CL27" s="22">
        <f t="shared" si="4"/>
        <v>395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28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308</v>
      </c>
      <c r="CJ28" s="27">
        <f t="shared" si="3"/>
        <v>308</v>
      </c>
      <c r="CK28" s="22">
        <v>0</v>
      </c>
      <c r="CL28" s="22">
        <f t="shared" si="4"/>
        <v>308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43</v>
      </c>
      <c r="CJ29" s="27">
        <f t="shared" si="3"/>
        <v>43</v>
      </c>
      <c r="CK29" s="22">
        <v>0</v>
      </c>
      <c r="CL29" s="22">
        <f t="shared" si="4"/>
        <v>43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1293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51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144</v>
      </c>
      <c r="CJ35" s="27">
        <f t="shared" si="3"/>
        <v>144</v>
      </c>
      <c r="CK35" s="22">
        <v>0</v>
      </c>
      <c r="CL35" s="22">
        <f t="shared" si="4"/>
        <v>144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8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51</v>
      </c>
      <c r="CJ37" s="27">
        <f t="shared" si="3"/>
        <v>51</v>
      </c>
      <c r="CK37" s="22">
        <v>0</v>
      </c>
      <c r="CL37" s="22">
        <f t="shared" si="4"/>
        <v>51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524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136</v>
      </c>
      <c r="CJ43" s="27">
        <f t="shared" si="3"/>
        <v>136</v>
      </c>
      <c r="CK43" s="22">
        <v>0</v>
      </c>
      <c r="CL43" s="22">
        <f t="shared" si="4"/>
        <v>136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-116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44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270</v>
      </c>
      <c r="CJ46" s="27">
        <f t="shared" ref="CJ46:CJ76" si="11">CH46</f>
        <v>270</v>
      </c>
      <c r="CK46" s="22">
        <v>0</v>
      </c>
      <c r="CL46" s="22">
        <f t="shared" ref="CL46:CL77" si="12">CJ46+CK46</f>
        <v>270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1258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51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56</v>
      </c>
      <c r="CJ53" s="27">
        <f t="shared" si="11"/>
        <v>56</v>
      </c>
      <c r="CK53" s="22">
        <v>0</v>
      </c>
      <c r="CL53" s="22">
        <f t="shared" si="12"/>
        <v>56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12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58</v>
      </c>
      <c r="CJ61" s="27">
        <f t="shared" si="11"/>
        <v>58</v>
      </c>
      <c r="CK61" s="22">
        <v>0</v>
      </c>
      <c r="CL61" s="22">
        <f t="shared" si="12"/>
        <v>58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10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84</v>
      </c>
      <c r="CJ70" s="27">
        <f t="shared" si="11"/>
        <v>84</v>
      </c>
      <c r="CK70" s="22">
        <v>0</v>
      </c>
      <c r="CL70" s="22">
        <f t="shared" si="12"/>
        <v>84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283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2012</v>
      </c>
      <c r="CJ77" s="25">
        <f>+SUM(CJ14:CJ76)</f>
        <v>2012</v>
      </c>
      <c r="CK77" s="25">
        <f>+SUM(CK14:CK76)</f>
        <v>0</v>
      </c>
      <c r="CL77" s="25">
        <f>+SUM(CL14:CL76)</f>
        <v>2012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9220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2026-10-29T19:28:25Z</dcterms:modified>
</cp:coreProperties>
</file>