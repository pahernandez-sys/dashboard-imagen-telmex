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73C4CA4-7E8D-475A-9132-1674B93C537E}" xr6:coauthVersionLast="47" xr6:coauthVersionMax="47" xr10:uidLastSave="{00000000-0000-0000-0000-000000000000}"/>
  <bookViews>
    <workbookView xWindow="760" yWindow="760" windowWidth="5400" windowHeight="109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DD70" i="2"/>
  <c r="CU70" i="2"/>
  <c r="CV70" i="2" s="1"/>
  <c r="CN70" i="2"/>
  <c r="CP70" i="2" s="1"/>
  <c r="CR70" i="2" s="1"/>
  <c r="DD69" i="2"/>
  <c r="CU69" i="2" s="1"/>
  <c r="CV69" i="2" s="1"/>
  <c r="CW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W50" i="2" s="1"/>
  <c r="CN50" i="2"/>
  <c r="CP50" i="2" s="1"/>
  <c r="CR50" i="2" s="1"/>
  <c r="DD49" i="2"/>
  <c r="CU49" i="2" s="1"/>
  <c r="CV49" i="2" s="1"/>
  <c r="CW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W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W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W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W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5" i="3" l="1"/>
  <c r="CQ64" i="3"/>
  <c r="CW30" i="2"/>
  <c r="CW25" i="2"/>
  <c r="CW71" i="2"/>
  <c r="CR71" i="2"/>
  <c r="CW44" i="2"/>
  <c r="E23" i="1"/>
  <c r="F23" i="1" s="1"/>
  <c r="AT13" i="3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E17" i="1"/>
  <c r="F17" i="1" s="1"/>
  <c r="AN13" i="3"/>
  <c r="E16" i="1"/>
  <c r="F16" i="1" s="1"/>
  <c r="AM13" i="3"/>
  <c r="E15" i="1"/>
  <c r="F15" i="1" s="1"/>
  <c r="AL13" i="3"/>
  <c r="AK13" i="3"/>
  <c r="E14" i="1"/>
  <c r="F14" i="1" s="1"/>
  <c r="AJ13" i="3"/>
  <c r="E13" i="1"/>
  <c r="F13" i="1" s="1"/>
  <c r="E12" i="1"/>
  <c r="F12" i="1" s="1"/>
  <c r="AI13" i="3"/>
  <c r="E11" i="1"/>
  <c r="F11" i="1" s="1"/>
  <c r="AH13" i="3"/>
  <c r="CO77" i="3"/>
  <c r="CP14" i="3"/>
  <c r="CH77" i="3"/>
  <c r="CJ14" i="3"/>
  <c r="D24" i="1"/>
  <c r="CV14" i="2"/>
  <c r="CU79" i="2"/>
  <c r="CN79" i="2"/>
  <c r="CP14" i="2"/>
  <c r="CQ76" i="3"/>
  <c r="CQ74" i="3"/>
  <c r="CQ73" i="3"/>
  <c r="CQ72" i="3"/>
  <c r="CQ71" i="3"/>
  <c r="CQ70" i="3"/>
  <c r="CQ69" i="3"/>
  <c r="CQ68" i="3"/>
  <c r="CQ67" i="3"/>
  <c r="CQ66" i="3"/>
  <c r="CQ65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55" i="2"/>
  <c r="CW51" i="2"/>
  <c r="CW46" i="2"/>
  <c r="CW41" i="2"/>
  <c r="CW38" i="2"/>
  <c r="CW34" i="2"/>
  <c r="CW32" i="2"/>
  <c r="CW29" i="2"/>
  <c r="CW27" i="2"/>
  <c r="CW23" i="2"/>
  <c r="CW21" i="2"/>
  <c r="CW20" i="2"/>
  <c r="CW18" i="2"/>
  <c r="CW78" i="2"/>
  <c r="CW77" i="2"/>
  <c r="CW76" i="2"/>
  <c r="CW75" i="2"/>
  <c r="CW74" i="2"/>
  <c r="CW73" i="2"/>
  <c r="CW72" i="2"/>
  <c r="CW70" i="2"/>
  <c r="CW52" i="2"/>
  <c r="CW48" i="2"/>
  <c r="CW39" i="2"/>
  <c r="CW36" i="2"/>
  <c r="CW35" i="2"/>
  <c r="CW26" i="2"/>
  <c r="CW22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3" i="2"/>
  <c r="CW47" i="2"/>
  <c r="CW37" i="2"/>
  <c r="CW24" i="2"/>
  <c r="CW19" i="2"/>
  <c r="CW16" i="2"/>
  <c r="CW15" i="2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  <c r="B6" i="1"/>
  <c r="I3" i="3"/>
  <c r="D3" i="2"/>
  <c r="CN13" i="2"/>
  <c r="CP79" i="2"/>
  <c r="CR14" i="2"/>
  <c r="CR79" i="2" s="1"/>
  <c r="E24" i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<sst xmlns="http://schemas.openxmlformats.org/spreadsheetml/2006/main" count="589" uniqueCount="175">
  <si>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</si>
  <si>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</si>
  <si>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</si>
  <si>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</si>
  <si>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</si>
  <si>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</si>
  <si>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</si>
  <si>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</si>
  <si>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</si>
  <si>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</si>
  <si>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</si>
  <si>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</si>
  <si>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</si>
  <si>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</si>
  <si>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</si>
  <si>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</si>
  <si>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</si>
  <si>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</si>
  <si>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</si>
  <si>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</si>
  <si>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</si>
  <si>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</si>
  <si>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</si>
  <si>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</si>
  <si>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</si>
  <si>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</si>
  <si>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</si>
  <si>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</si>
  <si>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</si>
  <si>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</si>
  <si>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</si>
  <si>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</si>
  <si>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</si>
  <si>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</si>
  <si>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</si>
  <si>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</si>
  <si>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</si>
  <si>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</si>
  <si>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</si>
  <si>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</si>
  <si>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</si>
  <si>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</si>
  <si>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</si>
  <si>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</si>
  <si>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</si>
  <si>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</si>
  <si>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</si>
  <si>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</si>
  <si>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</si>
  <si>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</si>
  <si>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</si>
  <si>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</si>
  <si>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</si>
  <si>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</si>
  <si>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</si>
  <si>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</si>
  <si>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</si>
  <si>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</si>
  <si>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</si>
  <si>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</si>
  <si>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</si>
  <si>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</si>
  <si>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</si>
  <si>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</si>
  <si>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</si>
  <si>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</si>
  <si>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</si>
  <si>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</si>
  <si>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</si>
  <si>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</si>
  <si>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</si>
  <si>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</si>
  <si>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</si>
  <si>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</si>
  <si>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</si>
  <si>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</si>
  <si>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</si>
  <si>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</si>
  <si>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</si>
  <si>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</si>
  <si>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</si>
  <si>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</si>
  <si>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</si>
  <si>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</si>
  <si>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</si>
  <si>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</si>
  <si>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</si>
  <si>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</si>
  <si>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</si>
  <si>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</si>
  <si>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</si>
  <si>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</si>
  <si>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</si>
  <si>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</si>
  <si>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</si>
  <si>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</si>
  <si>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</si>
  <si>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</si>
  <si>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</si>
  <si>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</si>
  <si>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</si>
  <si>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</si>
  <si>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</si>
  <si>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</si>
  <si>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</si>
  <si>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</si>
  <si>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</si>
  <si>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</si>
  <si>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</si>
  <si>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</si>
  <si>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</si>
  <si>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</si>
  <si>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17:37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</si>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</sst>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876</v>
      </c>
      <c r="C6" s="89"/>
      <c r="E6" s="88">
        <f>'Programa CAJAS REPORTE DIARIO'!CH77</f>
        <v>2339</v>
      </c>
      <c r="F6" s="89"/>
      <c r="H6" s="101">
        <f>B6+E6</f>
        <v>3215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217</v>
      </c>
      <c r="E23" s="70">
        <f>'Programa CAJAS REPORTE DIARIO'!AT77</f>
        <v>610</v>
      </c>
      <c r="F23" s="70">
        <f t="shared" si="0"/>
        <v>827</v>
      </c>
      <c r="G23" s="70">
        <f t="shared" si="1"/>
        <v>3215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876</v>
      </c>
      <c r="E24" s="75">
        <f>SUM(E11:E23)</f>
        <v>2339</v>
      </c>
      <c r="F24" s="75">
        <f>SUM(F11:F23)</f>
        <v>3215</v>
      </c>
      <c r="G24" s="75">
        <f>F24</f>
        <v>3215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876</v>
      </c>
      <c r="F3" s="79" t="s">
        <v>1</v>
      </c>
      <c r="I3" s="80">
        <f>'Programa CAJAS REPORTE DIARIO'!CH77+CN79</f>
        <v>3215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123</v>
      </c>
      <c r="CP42" s="27">
        <f t="shared" si="4"/>
        <v>123</v>
      </c>
      <c r="CQ42" s="22">
        <v>0</v>
      </c>
      <c r="CR42" s="22">
        <f t="shared" si="5"/>
        <v>123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876</v>
      </c>
      <c r="CP79" s="25">
        <f>+SUM(CP14:CP78)</f>
        <v>876</v>
      </c>
      <c r="CQ79" s="25">
        <f>+SUM(CQ14:CQ78)</f>
        <v>0</v>
      </c>
      <c r="CR79" s="25">
        <f>+SUM(CR14:CR78)</f>
        <v>876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6390.5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2339</v>
      </c>
      <c r="F3" s="79" t="s">
        <v>1</v>
      </c>
      <c r="I3" s="80">
        <f>'Programa CASETAS REPORTE DIARIO'!CN79+CH77</f>
        <v>3215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610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2339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50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415</v>
      </c>
      <c r="CJ27" s="27">
        <f t="shared" si="3"/>
        <v>415</v>
      </c>
      <c r="CK27" s="22">
        <v>0</v>
      </c>
      <c r="CL27" s="22">
        <f t="shared" si="4"/>
        <v>415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67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104</v>
      </c>
      <c r="CJ29" s="27">
        <f t="shared" si="3"/>
        <v>104</v>
      </c>
      <c r="CK29" s="22">
        <v>0</v>
      </c>
      <c r="CL29" s="22">
        <f t="shared" si="4"/>
        <v>104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160</v>
      </c>
      <c r="CJ35" s="27">
        <f t="shared" si="3"/>
        <v>160</v>
      </c>
      <c r="CK35" s="22">
        <v>0</v>
      </c>
      <c r="CL35" s="22">
        <f t="shared" si="4"/>
        <v>160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7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51</v>
      </c>
      <c r="CJ41" s="27">
        <f t="shared" si="3"/>
        <v>51</v>
      </c>
      <c r="CK41" s="22">
        <v>0</v>
      </c>
      <c r="CL41" s="22">
        <f t="shared" si="4"/>
        <v>51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429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149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154</v>
      </c>
      <c r="CJ53" s="27">
        <f t="shared" si="11"/>
        <v>154</v>
      </c>
      <c r="CK53" s="22">
        <v>0</v>
      </c>
      <c r="CL53" s="22">
        <f t="shared" si="12"/>
        <v>154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-86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610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2339</v>
      </c>
      <c r="CJ77" s="25">
        <f>+SUM(CJ14:CJ76)</f>
        <v>2339</v>
      </c>
      <c r="CK77" s="25">
        <f>+SUM(CK14:CK76)</f>
        <v>0</v>
      </c>
      <c r="CL77" s="25">
        <f>+SUM(CL14:CL76)</f>
        <v>2339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8893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2026-10-29T23:37:30Z</dcterms:modified>
</cp:coreProperties>
</file>