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A25A363-4856-4D51-A6D7-CA96186059AA}" xr6:coauthVersionLast="47" xr6:coauthVersionMax="47" xr10:uidLastSave="{00000000-0000-0000-0000-000000000000}"/>
  <bookViews>
    <workbookView xWindow="384" yWindow="38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L13" i="3" s="1"/>
  <c r="AK77" i="3"/>
  <c r="AK13" i="3" s="1"/>
  <c r="AJ77" i="3"/>
  <c r="AJ13" i="3" s="1"/>
  <c r="AI77" i="3"/>
  <c r="AI13" i="3" s="1"/>
  <c r="AH77" i="3"/>
  <c r="AH13" i="3" s="1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25" i="1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W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BX13" i="2"/>
  <c r="CW64" i="2" l="1"/>
  <c r="CW57" i="2"/>
  <c r="CW76" i="2"/>
  <c r="CW56" i="2"/>
  <c r="CQ74" i="3"/>
  <c r="CW43" i="2"/>
  <c r="CW41" i="2"/>
  <c r="CW39" i="2"/>
  <c r="CW36" i="2"/>
  <c r="CW35" i="2"/>
  <c r="CW33" i="2"/>
  <c r="CW29" i="2"/>
  <c r="CW23" i="2"/>
  <c r="CW20" i="2"/>
  <c r="CW19" i="2"/>
  <c r="CW18" i="2"/>
  <c r="AO13" i="2"/>
  <c r="D24" i="1"/>
  <c r="F24" i="1" s="1"/>
  <c r="AN13" i="2"/>
  <c r="D23" i="1"/>
  <c r="F23" i="1" s="1"/>
  <c r="AM13" i="2"/>
  <c r="D22" i="1"/>
  <c r="F22" i="1" s="1"/>
  <c r="AL13" i="2"/>
  <c r="D21" i="1"/>
  <c r="F21" i="1" s="1"/>
  <c r="AK13" i="2"/>
  <c r="D20" i="1"/>
  <c r="F20" i="1" s="1"/>
  <c r="AJ13" i="2"/>
  <c r="D19" i="1"/>
  <c r="F19" i="1" s="1"/>
  <c r="AI13" i="2"/>
  <c r="D18" i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O77" i="3"/>
  <c r="CP14" i="3"/>
  <c r="CH77" i="3"/>
  <c r="CJ14" i="3"/>
  <c r="F11" i="1"/>
  <c r="CP45" i="2"/>
  <c r="CP79" i="2" s="1"/>
  <c r="CN79" i="2"/>
  <c r="CV30" i="2"/>
  <c r="CW30" i="2" s="1"/>
  <c r="CU79" i="2"/>
  <c r="CW14" i="2"/>
  <c r="CV79" i="2"/>
  <c r="CR14" i="2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W60" i="2"/>
  <c r="CW46" i="2"/>
  <c r="CW44" i="2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5" i="2"/>
  <c r="CW74" i="2"/>
  <c r="CW73" i="2"/>
  <c r="CW72" i="2"/>
  <c r="CW71" i="2"/>
  <c r="CW70" i="2"/>
  <c r="CW69" i="2"/>
  <c r="CW68" i="2"/>
  <c r="CW66" i="2"/>
  <c r="CW65" i="2"/>
  <c r="CW63" i="2"/>
  <c r="CW62" i="2"/>
  <c r="CW61" i="2"/>
  <c r="CW59" i="2"/>
  <c r="CW58" i="2"/>
  <c r="CW55" i="2"/>
  <c r="CW54" i="2"/>
  <c r="CW53" i="2"/>
  <c r="CW52" i="2"/>
  <c r="CW51" i="2"/>
  <c r="CW50" i="2"/>
  <c r="CW49" i="2"/>
  <c r="CW48" i="2"/>
  <c r="CW47" i="2"/>
  <c r="CW42" i="2"/>
  <c r="CW40" i="2"/>
  <c r="CW38" i="2"/>
  <c r="CW37" i="2"/>
  <c r="CW34" i="2"/>
  <c r="CW32" i="2"/>
  <c r="CW31" i="2"/>
  <c r="CW28" i="2"/>
  <c r="CW27" i="2"/>
  <c r="CW26" i="2"/>
  <c r="CW25" i="2"/>
  <c r="CW24" i="2"/>
  <c r="CW22" i="2"/>
  <c r="CW21" i="2"/>
  <c r="CW17" i="2"/>
  <c r="CW16" i="2"/>
  <c r="CW15" i="2"/>
  <c r="CQ76" i="3"/>
  <c r="CQ75" i="3"/>
  <c r="CQ73" i="3"/>
  <c r="F18" i="1" l="1"/>
  <c r="D25" i="1"/>
  <c r="CQ14" i="3"/>
  <c r="CQ77" i="3" s="1"/>
  <c r="CP77" i="3"/>
  <c r="I3" i="2"/>
  <c r="E6" i="1"/>
  <c r="CH13" i="3"/>
  <c r="D3" i="3"/>
  <c r="CJ77" i="3"/>
  <c r="CL14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CW45" i="2"/>
  <c r="CR45" i="2"/>
  <c r="CR79" i="2" s="1"/>
  <c r="B6" i="1"/>
  <c r="CN13" i="2"/>
  <c r="I3" i="3"/>
  <c r="D3" i="2"/>
  <c r="CW79" i="2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<sst xmlns="http://schemas.openxmlformats.org/spreadsheetml/2006/main" count="592" uniqueCount="176">
  <si>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</si>
  <si>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</si>
  <si>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</si>
  <si>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</si>
  <si>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</si>
  <si>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</si>
  <si>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</si>
  <si>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</si>
  <si>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</si>
  <si>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</si>
  <si>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</si>
  <si>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</si>
  <si>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</si>
  <si>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</si>
  <si>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</si>
  <si>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</si>
  <si>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</si>
  <si>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</si>
  <si>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</si>
  <si>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</si>
  <si>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</si>
  <si>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</si>
  <si>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</si>
  <si>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</si>
  <si>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</si>
  <si>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</si>
  <si>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</si>
  <si>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</si>
  <si>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</si>
  <si>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</si>
  <si>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</si>
  <si>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</si>
  <si>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</si>
  <si>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</si>
  <si>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</si>
  <si>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</si>
  <si>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</si>
  <si>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</si>
  <si>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</si>
  <si>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</si>
  <si>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</si>
  <si>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</si>
  <si>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</si>
  <si>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</si>
  <si>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</si>
  <si>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</si>
  <si>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</si>
  <si>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</si>
  <si>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</si>
  <si>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</si>
  <si>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</si>
  <si>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</si>
  <si>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</si>
  <si>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</si>
  <si>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</si>
  <si>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</si>
  <si>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</si>
  <si>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</si>
  <si>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</si>
  <si>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</si>
  <si>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</si>
  <si>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</si>
  <si>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</si>
  <si>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</si>
  <si>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</si>
  <si>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</si>
  <si>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</si>
  <si>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</si>
  <si>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</si>
  <si>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</si>
  <si>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</si>
  <si>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</si>
  <si>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</si>
  <si>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</si>
  <si>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</si>
  <si>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</si>
  <si>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</si>
  <si>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</si>
  <si>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</si>
  <si>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</si>
  <si>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</si>
  <si>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</si>
  <si>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</si>
  <si>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</si>
  <si>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</si>
  <si>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</si>
  <si>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</si>
  <si>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</si>
  <si>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</si>
  <si>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</si>
  <si>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</si>
  <si>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</si>
  <si>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</si>
  <si>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</si>
  <si>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</si>
  <si>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</si>
  <si>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</si>
  <si>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</si>
  <si>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</si>
  <si>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</si>
  <si>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</si>
  <si>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</si>
  <si>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</si>
  <si>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</si>
  <si>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</si>
  <si>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</si>
  <si>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</si>
  <si>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</si>
  <si>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</si>
  <si>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</si>
  <si>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</si>
  <si>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</si>
  <si>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11:41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</si>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</sst>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951</v>
      </c>
      <c r="C6" s="89"/>
      <c r="E6" s="88">
        <f>'Programa CAJAS REPORTE DIARIO'!CH77</f>
        <v>2637</v>
      </c>
      <c r="F6" s="89"/>
      <c r="H6" s="101">
        <f>B6+E6</f>
        <v>3588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43</v>
      </c>
      <c r="E24" s="72">
        <f>'Programa CAJAS REPORTE DIARIO'!AU77</f>
        <v>162</v>
      </c>
      <c r="F24" s="72">
        <f t="shared" si="0"/>
        <v>205</v>
      </c>
      <c r="G24" s="72">
        <f t="shared" si="1"/>
        <v>3588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951</v>
      </c>
      <c r="E25" s="75">
        <f>SUM(E11:E24)</f>
        <v>2637</v>
      </c>
      <c r="F25" s="75">
        <f>SUM(F11:F24)</f>
        <v>3588</v>
      </c>
      <c r="G25" s="75">
        <f>F25</f>
        <v>3588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951</v>
      </c>
      <c r="F3" s="79" t="s">
        <v>1</v>
      </c>
      <c r="I3" s="80">
        <f>'Programa CAJAS REPORTE DIARIO'!CH77+CN79</f>
        <v>3588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43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951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2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202</v>
      </c>
      <c r="CP27" s="27">
        <f t="shared" si="4"/>
        <v>202</v>
      </c>
      <c r="CQ27" s="22">
        <v>0</v>
      </c>
      <c r="CR27" s="22">
        <f t="shared" si="5"/>
        <v>202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168.5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9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122</v>
      </c>
      <c r="CP29" s="27">
        <f t="shared" si="4"/>
        <v>122</v>
      </c>
      <c r="CQ29" s="22">
        <v>0</v>
      </c>
      <c r="CR29" s="22">
        <f t="shared" si="5"/>
        <v>122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1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25</v>
      </c>
      <c r="CP36" s="27">
        <f t="shared" si="4"/>
        <v>25</v>
      </c>
      <c r="CQ36" s="22">
        <v>0</v>
      </c>
      <c r="CR36" s="22">
        <f t="shared" si="5"/>
        <v>25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-25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5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138</v>
      </c>
      <c r="CP42" s="27">
        <f t="shared" si="4"/>
        <v>138</v>
      </c>
      <c r="CQ42" s="22">
        <v>0</v>
      </c>
      <c r="CR42" s="22">
        <f t="shared" si="5"/>
        <v>138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25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87</v>
      </c>
      <c r="CP56" s="27">
        <f t="shared" si="11"/>
        <v>87</v>
      </c>
      <c r="CQ56" s="22">
        <v>0</v>
      </c>
      <c r="CR56" s="22">
        <f t="shared" si="12"/>
        <v>87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-87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43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951</v>
      </c>
      <c r="CP79" s="25">
        <f>+SUM(CP14:CP78)</f>
        <v>951</v>
      </c>
      <c r="CQ79" s="25">
        <f>+SUM(CQ14:CQ78)</f>
        <v>0</v>
      </c>
      <c r="CR79" s="25">
        <f>+SUM(CR14:CR78)</f>
        <v>951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6315.5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2637</v>
      </c>
      <c r="F3" s="79" t="s">
        <v>1</v>
      </c>
      <c r="I3" s="80">
        <f>'Programa CASETAS REPORTE DIARIO'!CN79+CH77</f>
        <v>3588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162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2637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9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446</v>
      </c>
      <c r="CJ27" s="27">
        <f t="shared" si="3"/>
        <v>446</v>
      </c>
      <c r="CK27" s="22">
        <v>0</v>
      </c>
      <c r="CL27" s="22">
        <f t="shared" si="4"/>
        <v>446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340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9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336</v>
      </c>
      <c r="CJ28" s="27">
        <f t="shared" si="3"/>
        <v>336</v>
      </c>
      <c r="CK28" s="22">
        <v>0</v>
      </c>
      <c r="CL28" s="22">
        <f t="shared" si="4"/>
        <v>336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-156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7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112</v>
      </c>
      <c r="CJ29" s="27">
        <f t="shared" si="3"/>
        <v>112</v>
      </c>
      <c r="CK29" s="22">
        <v>0</v>
      </c>
      <c r="CL29" s="22">
        <f t="shared" si="4"/>
        <v>112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1224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1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51</v>
      </c>
      <c r="CJ36" s="27">
        <f t="shared" si="3"/>
        <v>51</v>
      </c>
      <c r="CK36" s="22">
        <v>0</v>
      </c>
      <c r="CL36" s="22">
        <f t="shared" si="4"/>
        <v>51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-51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51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137</v>
      </c>
      <c r="CJ37" s="27">
        <f t="shared" si="3"/>
        <v>137</v>
      </c>
      <c r="CK37" s="22">
        <v>0</v>
      </c>
      <c r="CL37" s="22">
        <f t="shared" si="4"/>
        <v>137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438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7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66</v>
      </c>
      <c r="CJ41" s="27">
        <f t="shared" si="3"/>
        <v>66</v>
      </c>
      <c r="CK41" s="22">
        <v>0</v>
      </c>
      <c r="CL41" s="22">
        <f t="shared" si="4"/>
        <v>66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514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25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201</v>
      </c>
      <c r="CJ43" s="27">
        <f t="shared" si="3"/>
        <v>201</v>
      </c>
      <c r="CK43" s="22">
        <v>0</v>
      </c>
      <c r="CL43" s="22">
        <f t="shared" si="4"/>
        <v>201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-181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31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204</v>
      </c>
      <c r="CJ53" s="27">
        <f t="shared" si="11"/>
        <v>204</v>
      </c>
      <c r="CK53" s="22">
        <v>0</v>
      </c>
      <c r="CL53" s="22">
        <f t="shared" si="12"/>
        <v>204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-136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5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88</v>
      </c>
      <c r="CJ55" s="27">
        <f t="shared" si="11"/>
        <v>88</v>
      </c>
      <c r="CK55" s="22">
        <v>0</v>
      </c>
      <c r="CL55" s="22">
        <f t="shared" si="12"/>
        <v>88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-58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162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2637</v>
      </c>
      <c r="CJ77" s="25">
        <f>+SUM(CJ14:CJ76)</f>
        <v>2637</v>
      </c>
      <c r="CK77" s="25">
        <f>+SUM(CK14:CK76)</f>
        <v>0</v>
      </c>
      <c r="CL77" s="25">
        <f>+SUM(CL14:CL76)</f>
        <v>2637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8757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2026-10-30T17:41:12Z</dcterms:modified>
</cp:coreProperties>
</file>