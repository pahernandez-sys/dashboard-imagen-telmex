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6D87D52-6E92-4ED0-A37C-3F8B4086570B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W13" i="3" s="1"/>
  <c r="BV77" i="3"/>
  <c r="BV13" i="3" s="1"/>
  <c r="BU77" i="3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AU13" i="3" l="1"/>
  <c r="E24" i="1"/>
  <c r="AT13" i="3"/>
  <c r="E23" i="1"/>
  <c r="AS13" i="3"/>
  <c r="E22" i="1"/>
  <c r="AQ13" i="3"/>
  <c r="E20" i="1"/>
  <c r="CQ64" i="3"/>
  <c r="CQ60" i="3"/>
  <c r="CQ59" i="3"/>
  <c r="CQ57" i="3"/>
  <c r="CQ56" i="3"/>
  <c r="CQ55" i="3"/>
  <c r="CQ26" i="3"/>
  <c r="CN85" i="2"/>
  <c r="E21" i="1"/>
  <c r="AR13" i="3"/>
  <c r="E19" i="1"/>
  <c r="AP13" i="3"/>
  <c r="E18" i="1"/>
  <c r="AO13" i="3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P14" i="3"/>
  <c r="CO77" i="3"/>
  <c r="CJ14" i="3"/>
  <c r="CH77" i="3"/>
  <c r="D24" i="1"/>
  <c r="AO13" i="2"/>
  <c r="D23" i="1"/>
  <c r="AN13" i="2"/>
  <c r="AM13" i="2"/>
  <c r="D22" i="1"/>
  <c r="D21" i="1"/>
  <c r="AL13" i="2"/>
  <c r="AK13" i="2"/>
  <c r="D20" i="1"/>
  <c r="F20" i="1" s="1"/>
  <c r="AJ13" i="2"/>
  <c r="D19" i="1"/>
  <c r="D18" i="1"/>
  <c r="AI13" i="2"/>
  <c r="D17" i="1"/>
  <c r="AH13" i="2"/>
  <c r="D16" i="1"/>
  <c r="AG13" i="2"/>
  <c r="D15" i="1"/>
  <c r="AF13" i="2"/>
  <c r="AE13" i="2"/>
  <c r="D14" i="1"/>
  <c r="D13" i="1"/>
  <c r="AD13" i="2"/>
  <c r="D12" i="1"/>
  <c r="AC13" i="2"/>
  <c r="AB13" i="2"/>
  <c r="D11" i="1"/>
  <c r="CP72" i="2"/>
  <c r="CN79" i="2"/>
  <c r="CV16" i="2"/>
  <c r="CW16" i="2" s="1"/>
  <c r="CU79" i="2"/>
  <c r="CV79" i="2"/>
  <c r="CW14" i="2"/>
  <c r="CP79" i="2"/>
  <c r="CR14" i="2"/>
  <c r="CQ72" i="3"/>
  <c r="CQ71" i="3"/>
  <c r="CQ70" i="3"/>
  <c r="CQ69" i="3"/>
  <c r="CQ6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Q66" i="3"/>
  <c r="CW77" i="2"/>
  <c r="CW76" i="2"/>
  <c r="CW75" i="2"/>
  <c r="CW74" i="2"/>
  <c r="CW73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5" i="2"/>
  <c r="CQ76" i="3"/>
  <c r="CQ75" i="3"/>
  <c r="CQ74" i="3"/>
  <c r="CQ73" i="3"/>
  <c r="CQ67" i="3"/>
  <c r="CQ65" i="3"/>
  <c r="CQ63" i="3"/>
  <c r="CQ62" i="3"/>
  <c r="CQ61" i="3"/>
  <c r="CQ58" i="3"/>
  <c r="CQ53" i="3"/>
  <c r="CQ52" i="3"/>
  <c r="CQ50" i="3"/>
  <c r="CQ49" i="3"/>
  <c r="CQ48" i="3"/>
  <c r="CQ54" i="3"/>
  <c r="CQ51" i="3"/>
  <c r="E25" i="1" l="1"/>
  <c r="F24" i="1"/>
  <c r="F23" i="1"/>
  <c r="F22" i="1"/>
  <c r="F21" i="1"/>
  <c r="F19" i="1"/>
  <c r="F18" i="1"/>
  <c r="F17" i="1"/>
  <c r="F16" i="1"/>
  <c r="F15" i="1"/>
  <c r="F14" i="1"/>
  <c r="F13" i="1"/>
  <c r="F12" i="1"/>
  <c r="CQ14" i="3"/>
  <c r="CQ77" i="3" s="1"/>
  <c r="CP77" i="3"/>
  <c r="CJ77" i="3"/>
  <c r="CL14" i="3"/>
  <c r="CL77" i="3" s="1"/>
  <c r="I3" i="2"/>
  <c r="D3" i="3"/>
  <c r="E6" i="1"/>
  <c r="CH13" i="3"/>
  <c r="D25" i="1"/>
  <c r="F11" i="1"/>
  <c r="CW72" i="2"/>
  <c r="CW79" i="2" s="1"/>
  <c r="CR72" i="2"/>
  <c r="CR79" i="2" s="1"/>
  <c r="I3" i="3"/>
  <c r="CN13" i="2"/>
  <c r="B6" i="1"/>
  <c r="D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<sst xmlns="http://schemas.openxmlformats.org/spreadsheetml/2006/main" count="592" uniqueCount="176">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</sst>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913</v>
      </c>
      <c r="C6" s="89"/>
      <c r="E6" s="88">
        <f>'Programa CAJAS REPORTE DIARIO'!CH77</f>
        <v>2496</v>
      </c>
      <c r="F6" s="89"/>
      <c r="H6" s="101">
        <f>B6+E6</f>
        <v>3409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5</v>
      </c>
      <c r="E24" s="72">
        <f>'Programa CAJAS REPORTE DIARIO'!AU77</f>
        <v>21</v>
      </c>
      <c r="F24" s="72">
        <f t="shared" si="0"/>
        <v>26</v>
      </c>
      <c r="G24" s="72">
        <f t="shared" si="1"/>
        <v>3409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913</v>
      </c>
      <c r="E25" s="75">
        <f>SUM(E11:E24)</f>
        <v>2496</v>
      </c>
      <c r="F25" s="75">
        <f>SUM(F11:F24)</f>
        <v>3409</v>
      </c>
      <c r="G25" s="75">
        <f>F25</f>
        <v>3409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913</v>
      </c>
      <c r="F3" s="79" t="s">
        <v>1</v>
      </c>
      <c r="I3" s="80">
        <f>'Programa CAJAS REPORTE DIARIO'!CH77+CN79</f>
        <v>3409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114</v>
      </c>
      <c r="CP29" s="27">
        <f t="shared" si="4"/>
        <v>114</v>
      </c>
      <c r="CQ29" s="22">
        <v>0</v>
      </c>
      <c r="CR29" s="22">
        <f t="shared" si="5"/>
        <v>114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65</v>
      </c>
      <c r="CP56" s="27">
        <f t="shared" si="11"/>
        <v>65</v>
      </c>
      <c r="CQ56" s="22">
        <v>0</v>
      </c>
      <c r="CR56" s="22">
        <f t="shared" si="12"/>
        <v>65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913</v>
      </c>
      <c r="CP79" s="25">
        <f>+SUM(CP14:CP78)</f>
        <v>913</v>
      </c>
      <c r="CQ79" s="25">
        <f>+SUM(CQ14:CQ78)</f>
        <v>0</v>
      </c>
      <c r="CR79" s="25">
        <f>+SUM(CR14:CR78)</f>
        <v>913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2496</v>
      </c>
      <c r="F3" s="79" t="s">
        <v>1</v>
      </c>
      <c r="I3" s="80">
        <f>'Programa CASETAS REPORTE DIARIO'!CN79+CH77</f>
        <v>3409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21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2496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439</v>
      </c>
      <c r="CJ27" s="27">
        <f t="shared" si="3"/>
        <v>439</v>
      </c>
      <c r="CK27" s="22">
        <v>0</v>
      </c>
      <c r="CL27" s="22">
        <f t="shared" si="4"/>
        <v>439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3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330</v>
      </c>
      <c r="CJ28" s="27">
        <f t="shared" si="3"/>
        <v>330</v>
      </c>
      <c r="CK28" s="22">
        <v>0</v>
      </c>
      <c r="CL28" s="22">
        <f t="shared" si="4"/>
        <v>330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-150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106</v>
      </c>
      <c r="CJ29" s="27">
        <f t="shared" si="3"/>
        <v>106</v>
      </c>
      <c r="CK29" s="22">
        <v>0</v>
      </c>
      <c r="CL29" s="22">
        <f t="shared" si="4"/>
        <v>106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94</v>
      </c>
      <c r="CJ37" s="27">
        <f t="shared" si="3"/>
        <v>94</v>
      </c>
      <c r="CK37" s="22">
        <v>0</v>
      </c>
      <c r="CL37" s="22">
        <f t="shared" si="4"/>
        <v>94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21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2496</v>
      </c>
      <c r="CJ77" s="25">
        <f>+SUM(CJ14:CJ76)</f>
        <v>2496</v>
      </c>
      <c r="CK77" s="25">
        <f>+SUM(CK14:CK76)</f>
        <v>0</v>
      </c>
      <c r="CL77" s="25">
        <f>+SUM(CL14:CL76)</f>
        <v>2496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8898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2026-10-30T16:14:48Z</dcterms:modified>
</cp:coreProperties>
</file>