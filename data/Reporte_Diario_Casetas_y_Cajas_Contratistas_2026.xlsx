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D274855-1F12-4713-8866-ABCC4344171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Q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 s="1"/>
  <c r="CV27" i="2" s="1"/>
  <c r="CW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A13" i="2"/>
  <c r="Z13" i="2"/>
  <c r="Y13" i="2"/>
  <c r="X13" i="2"/>
  <c r="W13" i="2"/>
  <c r="CQ56" i="3" l="1"/>
  <c r="CQ49" i="3"/>
  <c r="CQ45" i="3"/>
  <c r="CW76" i="2"/>
  <c r="CW74" i="2"/>
  <c r="CW50" i="2"/>
  <c r="CW25" i="2"/>
  <c r="CW24" i="2"/>
  <c r="CW36" i="2"/>
  <c r="CW29" i="2"/>
  <c r="E22" i="1"/>
  <c r="AS13" i="3"/>
  <c r="E21" i="1"/>
  <c r="AR13" i="3"/>
  <c r="E20" i="1"/>
  <c r="AQ13" i="3"/>
  <c r="E19" i="1"/>
  <c r="AP13" i="3"/>
  <c r="AO13" i="3"/>
  <c r="E18" i="1"/>
  <c r="AN13" i="3"/>
  <c r="E17" i="1"/>
  <c r="AM13" i="3"/>
  <c r="E16" i="1"/>
  <c r="AL13" i="3"/>
  <c r="E15" i="1"/>
  <c r="AK13" i="3"/>
  <c r="E14" i="1"/>
  <c r="E13" i="1"/>
  <c r="AJ13" i="3"/>
  <c r="E12" i="1"/>
  <c r="AI13" i="3"/>
  <c r="AH13" i="3"/>
  <c r="E11" i="1"/>
  <c r="CP32" i="3"/>
  <c r="CO77" i="3"/>
  <c r="CJ32" i="3"/>
  <c r="CL32" i="3" s="1"/>
  <c r="CH77" i="3"/>
  <c r="CQ14" i="3"/>
  <c r="CP77" i="3"/>
  <c r="CL14" i="3"/>
  <c r="CL77" i="3" s="1"/>
  <c r="CJ77" i="3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D17" i="1"/>
  <c r="AH13" i="2"/>
  <c r="AG13" i="2"/>
  <c r="D16" i="1"/>
  <c r="AF13" i="2"/>
  <c r="D15" i="1"/>
  <c r="AE13" i="2"/>
  <c r="D14" i="1"/>
  <c r="F14" i="1" s="1"/>
  <c r="AD13" i="2"/>
  <c r="D13" i="1"/>
  <c r="F13" i="1" s="1"/>
  <c r="AC13" i="2"/>
  <c r="D12" i="1"/>
  <c r="F12" i="1" s="1"/>
  <c r="AB13" i="2"/>
  <c r="D11" i="1"/>
  <c r="CV30" i="2"/>
  <c r="CW30" i="2" s="1"/>
  <c r="CU79" i="2"/>
  <c r="CP17" i="2"/>
  <c r="CP79" i="2" s="1"/>
  <c r="CN79" i="2"/>
  <c r="CW14" i="2"/>
  <c r="CV79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5" i="3"/>
  <c r="CQ54" i="3"/>
  <c r="CQ53" i="3"/>
  <c r="CQ52" i="3"/>
  <c r="CQ51" i="3"/>
  <c r="CQ50" i="3"/>
  <c r="CQ48" i="3"/>
  <c r="CQ47" i="3"/>
  <c r="CQ46" i="3"/>
  <c r="CQ44" i="3"/>
  <c r="CQ43" i="3"/>
  <c r="CQ25" i="3"/>
  <c r="CQ24" i="3"/>
  <c r="CQ22" i="3"/>
  <c r="CQ21" i="3"/>
  <c r="CQ20" i="3"/>
  <c r="CQ19" i="3"/>
  <c r="CQ17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3" i="3"/>
  <c r="CQ16" i="3"/>
  <c r="CQ15" i="3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5" i="2"/>
  <c r="CW34" i="2"/>
  <c r="CW33" i="2"/>
  <c r="CW32" i="2"/>
  <c r="CW31" i="2"/>
  <c r="CW26" i="2"/>
  <c r="CW23" i="2"/>
  <c r="CW22" i="2"/>
  <c r="CW21" i="2"/>
  <c r="CW20" i="2"/>
  <c r="CW19" i="2"/>
  <c r="CW18" i="2"/>
  <c r="CW16" i="2"/>
  <c r="CW15" i="2"/>
  <c r="F18" i="1" l="1"/>
  <c r="F17" i="1"/>
  <c r="F16" i="1"/>
  <c r="F15" i="1"/>
  <c r="I3" i="2"/>
  <c r="D3" i="3"/>
  <c r="E6" i="1"/>
  <c r="CH13" i="3"/>
  <c r="F11" i="1"/>
  <c r="D23" i="1"/>
  <c r="CW17" i="2"/>
  <c r="CW79" i="2" s="1"/>
  <c r="CR17" i="2"/>
  <c r="CR79" i="2" s="1"/>
  <c r="D3" i="2"/>
  <c r="CN13" i="2"/>
  <c r="I3" i="3"/>
  <c r="B6" i="1"/>
  <c r="E23" i="1"/>
  <c r="CQ32" i="3"/>
  <c r="CQ77" i="3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<sst xmlns="http://schemas.openxmlformats.org/spreadsheetml/2006/main" count="586" uniqueCount="174">
  <si>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</si>
  <si>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</si>
  <si>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</si>
  <si>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</si>
  <si>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</si>
  <si>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</si>
  <si>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</si>
  <si>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</si>
  <si>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</si>
  <si>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</si>
  <si>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</si>
  <si>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</si>
  <si>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</si>
  <si>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</si>
  <si>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</si>
  <si>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</si>
  <si>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</si>
  <si>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</si>
  <si>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</si>
  <si>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</si>
  <si>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</si>
  <si>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</si>
  <si>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</si>
  <si>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</si>
  <si>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</si>
  <si>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</si>
  <si>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</si>
  <si>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</si>
  <si>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</si>
  <si>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</si>
  <si>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</si>
  <si>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</si>
  <si>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</si>
  <si>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</si>
  <si>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</si>
  <si>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</si>
  <si>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</si>
  <si>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</si>
  <si>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</si>
  <si>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</si>
  <si>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</si>
  <si>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</si>
  <si>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</si>
  <si>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</si>
  <si>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</si>
  <si>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</si>
  <si>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</si>
  <si>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</si>
  <si>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</si>
  <si>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</si>
  <si>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</si>
  <si>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</si>
  <si>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</si>
  <si>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</si>
  <si>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</si>
  <si>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</si>
  <si>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</si>
  <si>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</si>
  <si>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</si>
  <si>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</si>
  <si>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</si>
  <si>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</si>
  <si>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</si>
  <si>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</si>
  <si>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</si>
  <si>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</si>
  <si>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</si>
  <si>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</si>
  <si>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</si>
  <si>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</si>
  <si>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</si>
  <si>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</si>
  <si>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</si>
  <si>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</si>
  <si>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</si>
  <si>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</si>
  <si>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</si>
  <si>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</si>
  <si>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</si>
  <si>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</si>
  <si>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</si>
  <si>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</si>
  <si>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</si>
  <si>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</si>
  <si>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</si>
  <si>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</si>
  <si>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</si>
  <si>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</si>
  <si>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</si>
  <si>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</si>
  <si>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</si>
  <si>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</si>
  <si>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</si>
  <si>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</si>
  <si>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</si>
  <si>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</si>
  <si>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</si>
  <si>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</si>
  <si>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</si>
  <si>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</si>
  <si>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</si>
  <si>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</si>
  <si>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</si>
  <si>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</si>
  <si>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</si>
  <si>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</si>
  <si>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</si>
  <si>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</si>
  <si>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</si>
  <si>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</si>
  <si>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</si>
  <si>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</si>
  <si>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17:52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</si>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</sst>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1655</v>
      </c>
      <c r="F6" s="89"/>
      <c r="H6" s="101">
        <f>B6+E6</f>
        <v>2287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330</v>
      </c>
      <c r="F22" s="72">
        <f t="shared" si="0"/>
        <v>480</v>
      </c>
      <c r="G22" s="72">
        <f t="shared" si="1"/>
        <v>2287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1655</v>
      </c>
      <c r="F23" s="75">
        <f>SUM(F11:F22)</f>
        <v>2287</v>
      </c>
      <c r="G23" s="75">
        <f>F23</f>
        <v>2287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2287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1655</v>
      </c>
      <c r="F3" s="79" t="s">
        <v>1</v>
      </c>
      <c r="I3" s="80">
        <f>'Programa CASETAS REPORTE DIARIO'!CN79+CH77</f>
        <v>2287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263</v>
      </c>
      <c r="CJ28" s="27">
        <f t="shared" si="3"/>
        <v>263</v>
      </c>
      <c r="CK28" s="22">
        <v>0</v>
      </c>
      <c r="CL28" s="22">
        <f t="shared" si="4"/>
        <v>263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10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92</v>
      </c>
      <c r="CJ35" s="27">
        <f t="shared" si="3"/>
        <v>92</v>
      </c>
      <c r="CK35" s="22">
        <v>0</v>
      </c>
      <c r="CL35" s="22">
        <f t="shared" si="4"/>
        <v>92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1655</v>
      </c>
      <c r="CJ77" s="25">
        <f>+SUM(CJ14:CJ76)</f>
        <v>1655</v>
      </c>
      <c r="CK77" s="25">
        <f>+SUM(CK14:CK76)</f>
        <v>0</v>
      </c>
      <c r="CL77" s="25">
        <f>+SUM(CL14:CL76)</f>
        <v>1655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6852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2026-10-28T23:52:34Z</dcterms:modified>
</cp:coreProperties>
</file>