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C587BA6-4006-4855-B807-A07AB4B92BF4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Q13" i="2" s="1"/>
  <c r="BP79" i="2"/>
  <c r="BO79" i="2"/>
  <c r="BN79" i="2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P13" i="2"/>
  <c r="BO13" i="2"/>
  <c r="BN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1" i="2" l="1"/>
  <c r="CW44" i="2"/>
  <c r="AT13" i="3"/>
  <c r="E23" i="1"/>
  <c r="F23" i="1" s="1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AH13" i="3"/>
  <c r="E11" i="1"/>
  <c r="CP14" i="3"/>
  <c r="CO77" i="3"/>
  <c r="CH77" i="3"/>
  <c r="CJ14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15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E24" i="1" l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<sst xmlns="http://schemas.openxmlformats.org/spreadsheetml/2006/main" count="589" uniqueCount="175">
  <si>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</si>
  <si>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</si>
  <si>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</si>
  <si>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</si>
  <si>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</si>
  <si>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</si>
  <si>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</si>
  <si>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</si>
  <si>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</si>
  <si>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</si>
  <si>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</si>
  <si>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</si>
  <si>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</si>
  <si>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</si>
  <si>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</si>
  <si>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</si>
  <si>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</si>
  <si>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</si>
  <si>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</si>
  <si>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</si>
  <si>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</si>
  <si>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</si>
  <si>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</si>
  <si>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</si>
  <si>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</si>
  <si>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</si>
  <si>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</si>
  <si>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</si>
  <si>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</si>
  <si>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</si>
  <si>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</si>
  <si>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</si>
  <si>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</si>
  <si>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</si>
  <si>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</si>
  <si>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</si>
  <si>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</si>
  <si>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</si>
  <si>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</si>
  <si>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</si>
  <si>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</si>
  <si>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</si>
  <si>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</si>
  <si>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</si>
  <si>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</si>
  <si>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</si>
  <si>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</si>
  <si>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</si>
  <si>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</si>
  <si>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</si>
  <si>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</si>
  <si>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</si>
  <si>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</si>
  <si>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</si>
  <si>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</si>
  <si>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</si>
  <si>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</si>
  <si>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</si>
  <si>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</si>
  <si>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</si>
  <si>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</si>
  <si>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</si>
  <si>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</si>
  <si>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</si>
  <si>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</si>
  <si>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</si>
  <si>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</si>
  <si>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</si>
  <si>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</si>
  <si>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</si>
  <si>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</si>
  <si>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</si>
  <si>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</si>
  <si>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</si>
  <si>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</si>
  <si>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</si>
  <si>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</si>
  <si>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</si>
  <si>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</si>
  <si>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</si>
  <si>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</si>
  <si>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</si>
  <si>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</si>
  <si>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</si>
  <si>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</si>
  <si>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</si>
  <si>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</si>
  <si>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</si>
  <si>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</si>
  <si>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</si>
  <si>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</si>
  <si>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</si>
  <si>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</si>
  <si>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</si>
  <si>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</si>
  <si>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</si>
  <si>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</si>
  <si>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</si>
  <si>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</si>
  <si>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</si>
  <si>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</si>
  <si>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</si>
  <si>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</si>
  <si>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</si>
  <si>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</si>
  <si>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</si>
  <si>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</si>
  <si>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</si>
  <si>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</si>
  <si>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</si>
  <si>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</si>
  <si>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</si>
  <si>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19:25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</si>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</sst>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2429</v>
      </c>
      <c r="F6" s="89"/>
      <c r="H6" s="101">
        <f>B6+E6</f>
        <v>3328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700</v>
      </c>
      <c r="F23" s="70">
        <f t="shared" si="0"/>
        <v>940</v>
      </c>
      <c r="G23" s="70">
        <f t="shared" si="1"/>
        <v>3328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2429</v>
      </c>
      <c r="F24" s="75">
        <f>SUM(F11:F23)</f>
        <v>3328</v>
      </c>
      <c r="G24" s="75">
        <f>F24</f>
        <v>3328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3328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2429</v>
      </c>
      <c r="F3" s="79" t="s">
        <v>1</v>
      </c>
      <c r="I3" s="80">
        <f>'Programa CASETAS REPORTE DIARIO'!CN79+CH77</f>
        <v>3328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700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2429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422</v>
      </c>
      <c r="CJ27" s="27">
        <f t="shared" si="3"/>
        <v>422</v>
      </c>
      <c r="CK27" s="22">
        <v>0</v>
      </c>
      <c r="CL27" s="22">
        <f t="shared" si="4"/>
        <v>422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101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327</v>
      </c>
      <c r="CJ46" s="27">
        <f t="shared" ref="CJ46:CJ76" si="11">CH46</f>
        <v>327</v>
      </c>
      <c r="CK46" s="22">
        <v>0</v>
      </c>
      <c r="CL46" s="22">
        <f t="shared" ref="CL46:CL77" si="12">CJ46+CK46</f>
        <v>327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1201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700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2429</v>
      </c>
      <c r="CJ77" s="25">
        <f>+SUM(CJ14:CJ76)</f>
        <v>2429</v>
      </c>
      <c r="CK77" s="25">
        <f>+SUM(CK14:CK76)</f>
        <v>0</v>
      </c>
      <c r="CL77" s="25">
        <f>+SUM(CL14:CL76)</f>
        <v>2429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8803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2026-10-30T01:25:45Z</dcterms:modified>
</cp:coreProperties>
</file>