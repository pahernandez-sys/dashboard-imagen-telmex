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CE370FF-3E60-4B55-AAD7-FD08322888E9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W71" i="2" l="1"/>
  <c r="CW55" i="2"/>
  <c r="CQ27" i="3"/>
  <c r="CQ28" i="3"/>
  <c r="CW51" i="2"/>
  <c r="CQ66" i="3"/>
  <c r="CQ48" i="3"/>
  <c r="CW70" i="2"/>
  <c r="CW66" i="2"/>
  <c r="CW40" i="2"/>
  <c r="CW39" i="2"/>
  <c r="CW38" i="2"/>
  <c r="CW37" i="2"/>
  <c r="CW36" i="2"/>
  <c r="CW33" i="2"/>
  <c r="CW32" i="2"/>
  <c r="CW28" i="2"/>
  <c r="CW27" i="2"/>
  <c r="CW26" i="2"/>
  <c r="CW25" i="2"/>
  <c r="CW24" i="2"/>
  <c r="CW23" i="2"/>
  <c r="CW21" i="2"/>
  <c r="CW20" i="2"/>
  <c r="CW17" i="2"/>
  <c r="CW15" i="2"/>
  <c r="CW64" i="2"/>
  <c r="D24" i="1"/>
  <c r="AO13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D25" i="1" s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Q19" i="3"/>
  <c r="E24" i="1"/>
  <c r="AU13" i="3"/>
  <c r="E23" i="1"/>
  <c r="AT13" i="3"/>
  <c r="E22" i="1"/>
  <c r="AS13" i="3"/>
  <c r="AR13" i="3"/>
  <c r="E21" i="1"/>
  <c r="AQ13" i="3"/>
  <c r="E20" i="1"/>
  <c r="AP13" i="3"/>
  <c r="E19" i="1"/>
  <c r="AO13" i="3"/>
  <c r="E18" i="1"/>
  <c r="AN13" i="3"/>
  <c r="E17" i="1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AH13" i="3"/>
  <c r="E11" i="1"/>
  <c r="CP32" i="3"/>
  <c r="CO77" i="3"/>
  <c r="CJ32" i="3"/>
  <c r="CH77" i="3"/>
  <c r="CQ14" i="3"/>
  <c r="CP77" i="3"/>
  <c r="CL14" i="3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2" i="3"/>
  <c r="CQ51" i="3"/>
  <c r="CQ50" i="3"/>
  <c r="CQ49" i="3"/>
  <c r="CQ47" i="3"/>
  <c r="CQ46" i="3"/>
  <c r="CQ45" i="3"/>
  <c r="CQ44" i="3"/>
  <c r="CQ43" i="3"/>
  <c r="CQ42" i="3"/>
  <c r="CQ41" i="3"/>
  <c r="CQ39" i="3"/>
  <c r="CQ38" i="3"/>
  <c r="CQ37" i="3"/>
  <c r="CQ36" i="3"/>
  <c r="CQ35" i="3"/>
  <c r="CQ34" i="3"/>
  <c r="CQ33" i="3"/>
  <c r="CQ31" i="3"/>
  <c r="CQ30" i="3"/>
  <c r="CQ29" i="3"/>
  <c r="CQ53" i="3"/>
  <c r="CQ40" i="3"/>
  <c r="CQ26" i="3"/>
  <c r="CQ25" i="3"/>
  <c r="CQ24" i="3"/>
  <c r="CQ23" i="3"/>
  <c r="CQ22" i="3"/>
  <c r="CQ21" i="3"/>
  <c r="CQ20" i="3"/>
  <c r="CQ18" i="3"/>
  <c r="CQ17" i="3"/>
  <c r="CQ16" i="3"/>
  <c r="CQ15" i="3"/>
  <c r="CW19" i="2"/>
  <c r="CW68" i="2"/>
  <c r="CW65" i="2"/>
  <c r="CW62" i="2"/>
  <c r="CW61" i="2"/>
  <c r="CW59" i="2"/>
  <c r="CW50" i="2"/>
  <c r="CW49" i="2"/>
  <c r="CW46" i="2"/>
  <c r="CW44" i="2"/>
  <c r="CW43" i="2"/>
  <c r="CW41" i="2"/>
  <c r="CW35" i="2"/>
  <c r="CW34" i="2"/>
  <c r="CW78" i="2"/>
  <c r="CW77" i="2"/>
  <c r="CW76" i="2"/>
  <c r="CW75" i="2"/>
  <c r="CW74" i="2"/>
  <c r="CW73" i="2"/>
  <c r="CW72" i="2"/>
  <c r="CW69" i="2"/>
  <c r="CW56" i="2"/>
  <c r="CW53" i="2"/>
  <c r="CW52" i="2"/>
  <c r="CW48" i="2"/>
  <c r="CW31" i="2"/>
  <c r="CW30" i="2"/>
  <c r="CW22" i="2"/>
  <c r="CW18" i="2"/>
  <c r="CW67" i="2"/>
  <c r="CW54" i="2"/>
  <c r="CW42" i="2"/>
  <c r="CW29" i="2"/>
  <c r="CW16" i="2"/>
  <c r="F24" i="1" l="1"/>
  <c r="F23" i="1"/>
  <c r="F22" i="1"/>
  <c r="F21" i="1"/>
  <c r="F20" i="1"/>
  <c r="F19" i="1"/>
  <c r="F18" i="1"/>
  <c r="F17" i="1"/>
  <c r="E6" i="1"/>
  <c r="D3" i="3"/>
  <c r="CH13" i="3"/>
  <c r="I3" i="2"/>
  <c r="CW14" i="2"/>
  <c r="CW79" i="2" s="1"/>
  <c r="CV79" i="2"/>
  <c r="B6" i="1"/>
  <c r="CN13" i="2"/>
  <c r="D3" i="2"/>
  <c r="I3" i="3"/>
  <c r="CR14" i="2"/>
  <c r="CR79" i="2" s="1"/>
  <c r="CP79" i="2"/>
  <c r="CQ32" i="3"/>
  <c r="CQ77" i="3" s="1"/>
  <c r="E25" i="1"/>
  <c r="F11" i="1"/>
  <c r="CL32" i="3"/>
  <c r="CL77" i="3" s="1"/>
  <c r="CJ77" i="3"/>
  <c r="F25" i="1" l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<sst xmlns="http://schemas.openxmlformats.org/spreadsheetml/2006/main" count="592" uniqueCount="176">
  <si>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</si>
  <si>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</si>
  <si>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</si>
  <si>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</si>
  <si>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</si>
  <si>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</si>
  <si>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</si>
  <si>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</si>
  <si>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</si>
  <si>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</si>
  <si>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</si>
  <si>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</si>
  <si>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</si>
  <si>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</si>
  <si>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</si>
  <si>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</si>
  <si>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</si>
  <si>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</si>
  <si>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</si>
  <si>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</si>
  <si>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</si>
  <si>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</si>
  <si>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</si>
  <si>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</si>
  <si>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</si>
  <si>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</si>
  <si>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</si>
  <si>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</si>
  <si>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</si>
  <si>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</si>
  <si>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</si>
  <si>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</si>
  <si>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</si>
  <si>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</si>
  <si>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</si>
  <si>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</si>
  <si>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</si>
  <si>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</si>
  <si>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</si>
  <si>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</si>
  <si>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</si>
  <si>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</si>
  <si>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</si>
  <si>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</si>
  <si>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</si>
  <si>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</si>
  <si>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</si>
  <si>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</si>
  <si>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</si>
  <si>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</si>
  <si>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</si>
  <si>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</si>
  <si>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</si>
  <si>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</si>
  <si>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</si>
  <si>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</si>
  <si>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</si>
  <si>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</si>
  <si>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</si>
  <si>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</si>
  <si>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</si>
  <si>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</si>
  <si>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</si>
  <si>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</si>
  <si>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</si>
  <si>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</si>
  <si>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</si>
  <si>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</si>
  <si>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</si>
  <si>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</si>
  <si>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</si>
  <si>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</si>
  <si>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</si>
  <si>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</si>
  <si>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</si>
  <si>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</si>
  <si>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</si>
  <si>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</si>
  <si>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</si>
  <si>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</si>
  <si>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</si>
  <si>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</si>
  <si>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</si>
  <si>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</si>
  <si>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</si>
  <si>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</si>
  <si>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</si>
  <si>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</si>
  <si>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</si>
  <si>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</si>
  <si>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</si>
  <si>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</si>
  <si>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</si>
  <si>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</si>
  <si>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</si>
  <si>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</si>
  <si>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</si>
  <si>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</si>
  <si>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</si>
  <si>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</si>
  <si>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</si>
  <si>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</si>
  <si>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</si>
  <si>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</si>
  <si>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</si>
  <si>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</si>
  <si>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</si>
  <si>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</si>
  <si>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</si>
  <si>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</si>
  <si>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</si>
  <si>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</si>
  <si>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12:43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</si>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</sst>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982</v>
      </c>
      <c r="C6" s="89"/>
      <c r="E6" s="88">
        <f>'Programa CAJAS REPORTE DIARIO'!CH77</f>
        <v>2790</v>
      </c>
      <c r="F6" s="89"/>
      <c r="H6" s="101">
        <f>B6+E6</f>
        <v>3772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74</v>
      </c>
      <c r="E24" s="72">
        <f>'Programa CAJAS REPORTE DIARIO'!AU77</f>
        <v>315</v>
      </c>
      <c r="F24" s="72">
        <f t="shared" si="0"/>
        <v>389</v>
      </c>
      <c r="G24" s="72">
        <f t="shared" si="1"/>
        <v>3772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982</v>
      </c>
      <c r="E25" s="75">
        <f>SUM(E11:E24)</f>
        <v>2790</v>
      </c>
      <c r="F25" s="75">
        <f>SUM(F11:F24)</f>
        <v>3772</v>
      </c>
      <c r="G25" s="75">
        <f>F25</f>
        <v>3772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982</v>
      </c>
      <c r="F3" s="79" t="s">
        <v>1</v>
      </c>
      <c r="I3" s="80">
        <f>'Programa CAJAS REPORTE DIARIO'!CH77+CN79</f>
        <v>3772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74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982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209</v>
      </c>
      <c r="CP27" s="27">
        <f t="shared" si="4"/>
        <v>209</v>
      </c>
      <c r="CQ27" s="22">
        <v>0</v>
      </c>
      <c r="CR27" s="22">
        <f t="shared" si="5"/>
        <v>209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1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38</v>
      </c>
      <c r="CP30" s="27">
        <f t="shared" si="4"/>
        <v>38</v>
      </c>
      <c r="CQ30" s="22">
        <v>0</v>
      </c>
      <c r="CR30" s="22">
        <f t="shared" si="5"/>
        <v>38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148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20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153</v>
      </c>
      <c r="CP42" s="27">
        <f t="shared" si="4"/>
        <v>153</v>
      </c>
      <c r="CQ42" s="22">
        <v>0</v>
      </c>
      <c r="CR42" s="22">
        <f t="shared" si="5"/>
        <v>153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92</v>
      </c>
      <c r="CP56" s="27">
        <f t="shared" si="11"/>
        <v>92</v>
      </c>
      <c r="CQ56" s="22">
        <v>0</v>
      </c>
      <c r="CR56" s="22">
        <f t="shared" si="12"/>
        <v>92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74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982</v>
      </c>
      <c r="CP79" s="25">
        <f>+SUM(CP14:CP78)</f>
        <v>982</v>
      </c>
      <c r="CQ79" s="25">
        <f>+SUM(CQ14:CQ78)</f>
        <v>0</v>
      </c>
      <c r="CR79" s="25">
        <f>+SUM(CR14:CR78)</f>
        <v>982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6284.5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2790</v>
      </c>
      <c r="F3" s="79" t="s">
        <v>1</v>
      </c>
      <c r="I3" s="80">
        <f>'Programa CASETAS REPORTE DIARIO'!CN79+CH77</f>
        <v>3772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315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2790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23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460</v>
      </c>
      <c r="CJ27" s="27">
        <f t="shared" si="3"/>
        <v>460</v>
      </c>
      <c r="CK27" s="22">
        <v>0</v>
      </c>
      <c r="CL27" s="22">
        <f t="shared" si="4"/>
        <v>460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341</v>
      </c>
      <c r="CJ28" s="27">
        <f t="shared" si="3"/>
        <v>341</v>
      </c>
      <c r="CK28" s="22">
        <v>0</v>
      </c>
      <c r="CL28" s="22">
        <f t="shared" si="4"/>
        <v>341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16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121</v>
      </c>
      <c r="CJ29" s="27">
        <f t="shared" si="3"/>
        <v>121</v>
      </c>
      <c r="CK29" s="22">
        <v>0</v>
      </c>
      <c r="CL29" s="22">
        <f t="shared" si="4"/>
        <v>121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4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54</v>
      </c>
      <c r="CJ36" s="27">
        <f t="shared" si="3"/>
        <v>54</v>
      </c>
      <c r="CK36" s="22">
        <v>0</v>
      </c>
      <c r="CL36" s="22">
        <f t="shared" si="4"/>
        <v>54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141</v>
      </c>
      <c r="CJ37" s="27">
        <f t="shared" si="3"/>
        <v>141</v>
      </c>
      <c r="CK37" s="22">
        <v>0</v>
      </c>
      <c r="CL37" s="22">
        <f t="shared" si="4"/>
        <v>141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41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217</v>
      </c>
      <c r="CJ43" s="27">
        <f t="shared" si="3"/>
        <v>217</v>
      </c>
      <c r="CK43" s="22">
        <v>0</v>
      </c>
      <c r="CL43" s="22">
        <f t="shared" si="4"/>
        <v>217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-197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3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334</v>
      </c>
      <c r="CJ46" s="27">
        <f t="shared" ref="CJ46:CJ76" si="11">CH46</f>
        <v>334</v>
      </c>
      <c r="CK46" s="22">
        <v>0</v>
      </c>
      <c r="CL46" s="22">
        <f t="shared" ref="CL46:CL77" si="12">CJ46+CK46</f>
        <v>334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1194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127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300</v>
      </c>
      <c r="CJ53" s="27">
        <f t="shared" si="11"/>
        <v>300</v>
      </c>
      <c r="CK53" s="22">
        <v>0</v>
      </c>
      <c r="CL53" s="22">
        <f t="shared" si="12"/>
        <v>300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-232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8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91</v>
      </c>
      <c r="CJ55" s="27">
        <f t="shared" si="11"/>
        <v>91</v>
      </c>
      <c r="CK55" s="22">
        <v>0</v>
      </c>
      <c r="CL55" s="22">
        <f t="shared" si="12"/>
        <v>91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315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2790</v>
      </c>
      <c r="CJ77" s="25">
        <f>+SUM(CJ14:CJ76)</f>
        <v>2790</v>
      </c>
      <c r="CK77" s="25">
        <f>+SUM(CK14:CK76)</f>
        <v>0</v>
      </c>
      <c r="CL77" s="25">
        <f>+SUM(CL14:CL76)</f>
        <v>2790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8604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2026-10-30T18:44:00Z</dcterms:modified>
</cp:coreProperties>
</file>