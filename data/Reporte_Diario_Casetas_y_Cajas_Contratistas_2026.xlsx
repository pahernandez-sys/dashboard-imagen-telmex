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56B64CD-3AA1-49DF-B16C-161B1060798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E23" i="1" s="1"/>
  <c r="AS77" i="3"/>
  <c r="E22" i="1" s="1"/>
  <c r="AR77" i="3"/>
  <c r="E21" i="1" s="1"/>
  <c r="AQ77" i="3"/>
  <c r="E20" i="1" s="1"/>
  <c r="F20" i="1" s="1"/>
  <c r="AP77" i="3"/>
  <c r="E19" i="1" s="1"/>
  <c r="AO77" i="3"/>
  <c r="E18" i="1" s="1"/>
  <c r="AN77" i="3"/>
  <c r="E17" i="1" s="1"/>
  <c r="AM77" i="3"/>
  <c r="E16" i="1" s="1"/>
  <c r="F16" i="1" s="1"/>
  <c r="AL77" i="3"/>
  <c r="E15" i="1" s="1"/>
  <c r="AK77" i="3"/>
  <c r="E14" i="1" s="1"/>
  <c r="AJ77" i="3"/>
  <c r="E13" i="1" s="1"/>
  <c r="AI77" i="3"/>
  <c r="E12" i="1" s="1"/>
  <c r="AH77" i="3"/>
  <c r="E11" i="1" s="1"/>
  <c r="E24" i="1" s="1"/>
  <c r="AG77" i="3"/>
  <c r="AF77" i="3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Q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F17" i="1" l="1"/>
  <c r="CQ39" i="3"/>
  <c r="F19" i="1"/>
  <c r="F14" i="1"/>
  <c r="F18" i="1"/>
  <c r="F21" i="1"/>
  <c r="F15" i="1"/>
  <c r="F23" i="1"/>
  <c r="F13" i="1"/>
  <c r="F22" i="1"/>
  <c r="F12" i="1"/>
  <c r="D16" i="1"/>
  <c r="AG13" i="2"/>
  <c r="D15" i="1"/>
  <c r="AF13" i="2"/>
  <c r="D14" i="1"/>
  <c r="AE13" i="2"/>
  <c r="D13" i="1"/>
  <c r="AD13" i="2"/>
  <c r="D12" i="1"/>
  <c r="AC13" i="2"/>
  <c r="D11" i="1"/>
  <c r="AB13" i="2"/>
  <c r="CW44" i="2"/>
  <c r="CQ24" i="3"/>
  <c r="CW45" i="2"/>
  <c r="CW59" i="2"/>
  <c r="CR59" i="2"/>
  <c r="CW54" i="2"/>
  <c r="CR54" i="2"/>
  <c r="CP14" i="3"/>
  <c r="CO77" i="3"/>
  <c r="CH77" i="3"/>
  <c r="CJ14" i="3"/>
  <c r="F11" i="1"/>
  <c r="D24" i="1"/>
  <c r="CU79" i="2"/>
  <c r="CV14" i="2"/>
  <c r="CN79" i="2"/>
  <c r="CP14" i="2"/>
  <c r="CQ32" i="3"/>
  <c r="CQ31" i="3"/>
  <c r="CQ30" i="3"/>
  <c r="CQ29" i="3"/>
  <c r="CQ28" i="3"/>
  <c r="CQ27" i="3"/>
  <c r="CQ26" i="3"/>
  <c r="CQ25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8" i="2"/>
  <c r="CW57" i="2"/>
  <c r="CW56" i="2"/>
  <c r="CW55" i="2"/>
  <c r="CW53" i="2"/>
  <c r="CW52" i="2"/>
  <c r="CW51" i="2"/>
  <c r="CW50" i="2"/>
  <c r="CW49" i="2"/>
  <c r="CW48" i="2"/>
  <c r="CW47" i="2"/>
  <c r="CW46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41" i="3"/>
  <c r="CQ37" i="3"/>
  <c r="CQ36" i="3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8" i="3"/>
  <c r="CQ35" i="3"/>
  <c r="CQ34" i="3"/>
  <c r="CP77" i="3" l="1"/>
  <c r="CQ14" i="3"/>
  <c r="CQ77" i="3" s="1"/>
  <c r="I3" i="2"/>
  <c r="E6" i="1"/>
  <c r="CH13" i="3"/>
  <c r="D3" i="3"/>
  <c r="CJ77" i="3"/>
  <c r="CL14" i="3"/>
  <c r="CL77" i="3" s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I3" i="3"/>
  <c r="B6" i="1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<sst xmlns="http://schemas.openxmlformats.org/spreadsheetml/2006/main" count="589" uniqueCount="175">
  <si>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</si>
  <si>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</si>
  <si>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</si>
  <si>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</si>
  <si>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</si>
  <si>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</si>
  <si>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</si>
  <si>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</si>
  <si>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</si>
  <si>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</si>
  <si>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</si>
  <si>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</si>
  <si>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</si>
  <si>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</si>
  <si>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</si>
  <si>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</si>
  <si>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</si>
  <si>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</si>
  <si>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</si>
  <si>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</si>
  <si>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</si>
  <si>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</si>
  <si>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</si>
  <si>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</si>
  <si>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</si>
  <si>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</si>
  <si>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</si>
  <si>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</si>
  <si>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</si>
  <si>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</si>
  <si>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</si>
  <si>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</si>
  <si>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</si>
  <si>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</si>
  <si>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</si>
  <si>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</si>
  <si>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</si>
  <si>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</si>
  <si>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</si>
  <si>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</si>
  <si>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</si>
  <si>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</si>
  <si>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</si>
  <si>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</si>
  <si>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</si>
  <si>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</si>
  <si>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</si>
  <si>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</si>
  <si>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</si>
  <si>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</si>
  <si>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</si>
  <si>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</si>
  <si>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</si>
  <si>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</si>
  <si>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</si>
  <si>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</si>
  <si>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</si>
  <si>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</si>
  <si>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</si>
  <si>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</si>
  <si>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</si>
  <si>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</si>
  <si>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</si>
  <si>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</si>
  <si>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</si>
  <si>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</si>
  <si>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</si>
  <si>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</si>
  <si>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</si>
  <si>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</si>
  <si>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</si>
  <si>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</si>
  <si>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</si>
  <si>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</si>
  <si>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</si>
  <si>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</si>
  <si>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</si>
  <si>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</si>
  <si>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</si>
  <si>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</si>
  <si>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</si>
  <si>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</si>
  <si>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</si>
  <si>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</si>
  <si>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</si>
  <si>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</si>
  <si>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</si>
  <si>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</si>
  <si>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</si>
  <si>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</si>
  <si>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</si>
  <si>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</si>
  <si>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</si>
  <si>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</si>
  <si>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</si>
  <si>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</si>
  <si>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</si>
  <si>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</si>
  <si>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</si>
  <si>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</si>
  <si>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</si>
  <si>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</si>
  <si>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</si>
  <si>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</si>
  <si>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</si>
  <si>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</si>
  <si>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</si>
  <si>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</si>
  <si>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</si>
  <si>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</si>
  <si>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</si>
  <si>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</si>
  <si>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12:37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</si>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</sst>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729</v>
      </c>
      <c r="C6" s="89"/>
      <c r="E6" s="88">
        <f>'Programa CAJAS REPORTE DIARIO'!CH77</f>
        <v>1938</v>
      </c>
      <c r="F6" s="89"/>
      <c r="H6" s="101">
        <f>B6+E6</f>
        <v>2667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70</v>
      </c>
      <c r="E23" s="70">
        <f>'Programa CAJAS REPORTE DIARIO'!AT77</f>
        <v>209</v>
      </c>
      <c r="F23" s="70">
        <f t="shared" si="0"/>
        <v>279</v>
      </c>
      <c r="G23" s="70">
        <f t="shared" si="1"/>
        <v>2667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729</v>
      </c>
      <c r="E24" s="75">
        <f>SUM(E11:E23)</f>
        <v>1938</v>
      </c>
      <c r="F24" s="75">
        <f>SUM(F11:F23)</f>
        <v>2667</v>
      </c>
      <c r="G24" s="75">
        <f>F24</f>
        <v>2667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729</v>
      </c>
      <c r="F3" s="79" t="s">
        <v>1</v>
      </c>
      <c r="I3" s="80">
        <f>'Programa CAJAS REPORTE DIARIO'!CH77+CN79</f>
        <v>2667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70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163</v>
      </c>
      <c r="CP28" s="27">
        <f t="shared" si="4"/>
        <v>163</v>
      </c>
      <c r="CQ28" s="22">
        <v>0</v>
      </c>
      <c r="CR28" s="22">
        <f t="shared" si="5"/>
        <v>163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102</v>
      </c>
      <c r="CP29" s="27">
        <f t="shared" si="4"/>
        <v>102</v>
      </c>
      <c r="CQ29" s="22">
        <v>0</v>
      </c>
      <c r="CR29" s="22">
        <f t="shared" si="5"/>
        <v>102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72</v>
      </c>
      <c r="CP42" s="27">
        <f t="shared" si="4"/>
        <v>72</v>
      </c>
      <c r="CQ42" s="22">
        <v>0</v>
      </c>
      <c r="CR42" s="22">
        <f t="shared" si="5"/>
        <v>72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70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729</v>
      </c>
      <c r="CP79" s="25">
        <f>+SUM(CP14:CP78)</f>
        <v>729</v>
      </c>
      <c r="CQ79" s="25">
        <f>+SUM(CQ14:CQ78)</f>
        <v>0</v>
      </c>
      <c r="CR79" s="25">
        <f>+SUM(CR14:CR78)</f>
        <v>729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1938</v>
      </c>
      <c r="F3" s="79" t="s">
        <v>1</v>
      </c>
      <c r="I3" s="80">
        <f>'Programa CASETAS REPORTE DIARIO'!CN79+CH77</f>
        <v>2667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209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1938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390</v>
      </c>
      <c r="CJ27" s="27">
        <f t="shared" si="3"/>
        <v>390</v>
      </c>
      <c r="CK27" s="22">
        <v>0</v>
      </c>
      <c r="CL27" s="22">
        <f t="shared" si="4"/>
        <v>390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23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303</v>
      </c>
      <c r="CJ28" s="27">
        <f t="shared" si="3"/>
        <v>303</v>
      </c>
      <c r="CK28" s="22">
        <v>0</v>
      </c>
      <c r="CL28" s="22">
        <f t="shared" si="4"/>
        <v>303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24</v>
      </c>
      <c r="CJ53" s="27">
        <f t="shared" si="11"/>
        <v>24</v>
      </c>
      <c r="CK53" s="22">
        <v>0</v>
      </c>
      <c r="CL53" s="22">
        <f t="shared" si="12"/>
        <v>24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44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56</v>
      </c>
      <c r="CJ61" s="27">
        <f t="shared" si="11"/>
        <v>56</v>
      </c>
      <c r="CK61" s="22">
        <v>0</v>
      </c>
      <c r="CL61" s="22">
        <f t="shared" si="12"/>
        <v>56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209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1938</v>
      </c>
      <c r="CJ77" s="25">
        <f>+SUM(CJ14:CJ76)</f>
        <v>1938</v>
      </c>
      <c r="CK77" s="25">
        <f>+SUM(CK14:CK76)</f>
        <v>0</v>
      </c>
      <c r="CL77" s="25">
        <f>+SUM(CL14:CL76)</f>
        <v>1938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9294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2026-10-29T18:37:50Z</dcterms:modified>
</cp:coreProperties>
</file>