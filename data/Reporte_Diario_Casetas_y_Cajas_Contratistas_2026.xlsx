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AB22F11-7DB4-4D1F-AD57-C262D81AE142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CW44" i="2" l="1"/>
  <c r="CW60" i="2"/>
  <c r="CW57" i="2"/>
  <c r="CW47" i="2"/>
  <c r="CW45" i="2"/>
  <c r="CW43" i="2"/>
  <c r="CQ33" i="3"/>
  <c r="CW62" i="2"/>
  <c r="CQ21" i="3"/>
  <c r="CQ17" i="3"/>
  <c r="CW26" i="2"/>
  <c r="CW22" i="2"/>
  <c r="CW19" i="2"/>
  <c r="CW17" i="2"/>
  <c r="CW15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58" i="2"/>
  <c r="CR58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E14" i="1"/>
  <c r="F14" i="1" s="1"/>
  <c r="AK13" i="3"/>
  <c r="E13" i="1"/>
  <c r="F13" i="1" s="1"/>
  <c r="AJ13" i="3"/>
  <c r="AI13" i="3"/>
  <c r="E12" i="1"/>
  <c r="F12" i="1" s="1"/>
  <c r="AH13" i="3"/>
  <c r="E11" i="1"/>
  <c r="CJ20" i="3"/>
  <c r="CH77" i="3"/>
  <c r="CP14" i="3"/>
  <c r="CO77" i="3"/>
  <c r="CL14" i="3"/>
  <c r="CJ77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19" i="3"/>
  <c r="CQ18" i="3"/>
  <c r="CQ16" i="3"/>
  <c r="CQ15" i="3"/>
  <c r="CW61" i="2"/>
  <c r="CW56" i="2"/>
  <c r="CW55" i="2"/>
  <c r="CW54" i="2"/>
  <c r="CW53" i="2"/>
  <c r="CW51" i="2"/>
  <c r="CW50" i="2"/>
  <c r="CW49" i="2"/>
  <c r="CW48" i="2"/>
  <c r="CW25" i="2"/>
  <c r="CW24" i="2"/>
  <c r="CW23" i="2"/>
  <c r="CW21" i="2"/>
  <c r="CW20" i="2"/>
  <c r="CW18" i="2"/>
  <c r="CW16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Q20" i="3" l="1"/>
  <c r="CL20" i="3"/>
  <c r="CL77" i="3" s="1"/>
  <c r="I3" i="2"/>
  <c r="E6" i="1"/>
  <c r="D3" i="3"/>
  <c r="CH13" i="3"/>
  <c r="CQ14" i="3"/>
  <c r="CP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D3" i="2"/>
  <c r="B6" i="1"/>
  <c r="I3" i="3"/>
  <c r="CN13" i="2"/>
  <c r="CR14" i="2"/>
  <c r="CR79" i="2" s="1"/>
  <c r="CP79" i="2"/>
  <c r="E24" i="1"/>
  <c r="CQ77" i="3" l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<sst xmlns="http://schemas.openxmlformats.org/spreadsheetml/2006/main" count="589" uniqueCount="175">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</sst>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740</v>
      </c>
      <c r="C6" s="89"/>
      <c r="E6" s="88">
        <f>'Programa CAJAS REPORTE DIARIO'!CH77</f>
        <v>1978</v>
      </c>
      <c r="F6" s="89"/>
      <c r="H6" s="101">
        <f>B6+E6</f>
        <v>2718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81</v>
      </c>
      <c r="E23" s="70">
        <f>'Programa CAJAS REPORTE DIARIO'!AT77</f>
        <v>249</v>
      </c>
      <c r="F23" s="70">
        <f t="shared" si="0"/>
        <v>330</v>
      </c>
      <c r="G23" s="70">
        <f t="shared" si="1"/>
        <v>2718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740</v>
      </c>
      <c r="E24" s="75">
        <f>SUM(E11:E23)</f>
        <v>1978</v>
      </c>
      <c r="F24" s="75">
        <f>SUM(F11:F23)</f>
        <v>2718</v>
      </c>
      <c r="G24" s="75">
        <f>F24</f>
        <v>2718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740</v>
      </c>
      <c r="F3" s="79" t="s">
        <v>1</v>
      </c>
      <c r="I3" s="80">
        <f>'Programa CAJAS REPORTE DIARIO'!CH77+CN79</f>
        <v>2718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81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740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18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104</v>
      </c>
      <c r="CP29" s="27">
        <f t="shared" si="4"/>
        <v>104</v>
      </c>
      <c r="CQ29" s="22">
        <v>0</v>
      </c>
      <c r="CR29" s="22">
        <f t="shared" si="5"/>
        <v>104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74</v>
      </c>
      <c r="CP42" s="27">
        <f t="shared" si="4"/>
        <v>74</v>
      </c>
      <c r="CQ42" s="22">
        <v>0</v>
      </c>
      <c r="CR42" s="22">
        <f t="shared" si="5"/>
        <v>74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5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5</v>
      </c>
      <c r="CP76" s="27">
        <f t="shared" si="11"/>
        <v>5</v>
      </c>
      <c r="CQ76" s="22">
        <v>0</v>
      </c>
      <c r="CR76" s="22">
        <f t="shared" si="12"/>
        <v>5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-5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81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740</v>
      </c>
      <c r="CP79" s="25">
        <f>+SUM(CP14:CP78)</f>
        <v>740</v>
      </c>
      <c r="CQ79" s="25">
        <f>+SUM(CQ14:CQ78)</f>
        <v>0</v>
      </c>
      <c r="CR79" s="25">
        <f>+SUM(CR14:CR78)</f>
        <v>740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6526.5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1978</v>
      </c>
      <c r="F3" s="79" t="s">
        <v>1</v>
      </c>
      <c r="I3" s="80">
        <f>'Programa CASETAS REPORTE DIARIO'!CN79+CH77</f>
        <v>2718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249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1978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393</v>
      </c>
      <c r="CJ27" s="27">
        <f t="shared" si="3"/>
        <v>393</v>
      </c>
      <c r="CK27" s="22">
        <v>0</v>
      </c>
      <c r="CL27" s="22">
        <f t="shared" si="4"/>
        <v>393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306</v>
      </c>
      <c r="CJ28" s="27">
        <f t="shared" si="3"/>
        <v>306</v>
      </c>
      <c r="CK28" s="22">
        <v>0</v>
      </c>
      <c r="CL28" s="22">
        <f t="shared" si="4"/>
        <v>306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3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40</v>
      </c>
      <c r="CJ29" s="27">
        <f t="shared" si="3"/>
        <v>40</v>
      </c>
      <c r="CK29" s="22">
        <v>0</v>
      </c>
      <c r="CL29" s="22">
        <f t="shared" si="4"/>
        <v>40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49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142</v>
      </c>
      <c r="CJ35" s="27">
        <f t="shared" si="3"/>
        <v>142</v>
      </c>
      <c r="CK35" s="22">
        <v>0</v>
      </c>
      <c r="CL35" s="22">
        <f t="shared" si="4"/>
        <v>142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27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134</v>
      </c>
      <c r="CJ43" s="27">
        <f t="shared" si="3"/>
        <v>134</v>
      </c>
      <c r="CK43" s="22">
        <v>0</v>
      </c>
      <c r="CL43" s="22">
        <f t="shared" si="4"/>
        <v>134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-114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42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268</v>
      </c>
      <c r="CJ46" s="27">
        <f t="shared" ref="CJ46:CJ76" si="11">CH46</f>
        <v>268</v>
      </c>
      <c r="CK46" s="22">
        <v>0</v>
      </c>
      <c r="CL46" s="22">
        <f t="shared" ref="CL46:CL77" si="12">CJ46+CK46</f>
        <v>268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1260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36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41</v>
      </c>
      <c r="CJ53" s="27">
        <f t="shared" si="11"/>
        <v>41</v>
      </c>
      <c r="CK53" s="22">
        <v>0</v>
      </c>
      <c r="CL53" s="22">
        <f t="shared" si="12"/>
        <v>41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27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1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81</v>
      </c>
      <c r="CJ55" s="27">
        <f t="shared" si="11"/>
        <v>81</v>
      </c>
      <c r="CK55" s="22">
        <v>0</v>
      </c>
      <c r="CL55" s="22">
        <f t="shared" si="12"/>
        <v>81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10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57</v>
      </c>
      <c r="CJ61" s="27">
        <f t="shared" si="11"/>
        <v>57</v>
      </c>
      <c r="CK61" s="22">
        <v>0</v>
      </c>
      <c r="CL61" s="22">
        <f t="shared" si="12"/>
        <v>57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7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81</v>
      </c>
      <c r="CJ70" s="27">
        <f t="shared" si="11"/>
        <v>81</v>
      </c>
      <c r="CK70" s="22">
        <v>0</v>
      </c>
      <c r="CL70" s="22">
        <f t="shared" si="12"/>
        <v>81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-67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249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1978</v>
      </c>
      <c r="CJ77" s="25">
        <f>+SUM(CJ14:CJ76)</f>
        <v>1978</v>
      </c>
      <c r="CK77" s="25">
        <f>+SUM(CK14:CK76)</f>
        <v>0</v>
      </c>
      <c r="CL77" s="25">
        <f>+SUM(CL14:CL76)</f>
        <v>1978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9254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2026-10-29T19:03:01Z</dcterms:modified>
</cp:coreProperties>
</file>