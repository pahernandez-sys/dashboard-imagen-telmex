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13C37BE-A5AC-4C82-B2DE-3E25499E39A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Q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Q30" i="3" s="1"/>
  <c r="CH30" i="3"/>
  <c r="CJ30" i="3" s="1"/>
  <c r="CL30" i="3" s="1"/>
  <c r="DC29" i="3"/>
  <c r="CO29" i="3" s="1"/>
  <c r="CP29" i="3" s="1"/>
  <c r="CQ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W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DD17" i="2"/>
  <c r="CU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W72" i="2" l="1"/>
  <c r="CW48" i="2"/>
  <c r="CW49" i="2"/>
  <c r="CQ32" i="3"/>
  <c r="CW53" i="2"/>
  <c r="CW43" i="2"/>
  <c r="CQ76" i="3"/>
  <c r="CQ75" i="3"/>
  <c r="CQ67" i="3"/>
  <c r="CQ59" i="3"/>
  <c r="CQ54" i="3"/>
  <c r="CW39" i="2"/>
  <c r="CQ26" i="3"/>
  <c r="CQ21" i="3"/>
  <c r="CW73" i="2"/>
  <c r="CW71" i="2"/>
  <c r="CW27" i="2"/>
  <c r="CR27" i="2"/>
  <c r="AS13" i="3"/>
  <c r="E22" i="1"/>
  <c r="E21" i="1"/>
  <c r="AR13" i="3"/>
  <c r="AQ13" i="3"/>
  <c r="E20" i="1"/>
  <c r="E19" i="1"/>
  <c r="AP13" i="3"/>
  <c r="AO13" i="3"/>
  <c r="E18" i="1"/>
  <c r="E17" i="1"/>
  <c r="AN13" i="3"/>
  <c r="E16" i="1"/>
  <c r="AM13" i="3"/>
  <c r="AL13" i="3"/>
  <c r="E15" i="1"/>
  <c r="E14" i="1"/>
  <c r="AK13" i="3"/>
  <c r="AJ13" i="3"/>
  <c r="E13" i="1"/>
  <c r="AI13" i="3"/>
  <c r="E12" i="1"/>
  <c r="E11" i="1"/>
  <c r="AH13" i="3"/>
  <c r="CH77" i="3"/>
  <c r="CJ74" i="3"/>
  <c r="CP20" i="3"/>
  <c r="CQ20" i="3" s="1"/>
  <c r="CO77" i="3"/>
  <c r="CQ14" i="3"/>
  <c r="CP77" i="3"/>
  <c r="CL14" i="3"/>
  <c r="CJ77" i="3"/>
  <c r="D22" i="1"/>
  <c r="F22" i="1" s="1"/>
  <c r="AM13" i="2"/>
  <c r="D21" i="1"/>
  <c r="F21" i="1" s="1"/>
  <c r="AL13" i="2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N79" i="2"/>
  <c r="CP18" i="2"/>
  <c r="CP79" i="2" s="1"/>
  <c r="CU79" i="2"/>
  <c r="CV17" i="2"/>
  <c r="CW17" i="2" s="1"/>
  <c r="CW14" i="2"/>
  <c r="CV79" i="2"/>
  <c r="CR14" i="2"/>
  <c r="CW69" i="2"/>
  <c r="CW66" i="2"/>
  <c r="CW65" i="2"/>
  <c r="CW64" i="2"/>
  <c r="CW63" i="2"/>
  <c r="CW62" i="2"/>
  <c r="CW60" i="2"/>
  <c r="CW57" i="2"/>
  <c r="CW56" i="2"/>
  <c r="CW55" i="2"/>
  <c r="CW54" i="2"/>
  <c r="CW52" i="2"/>
  <c r="CW51" i="2"/>
  <c r="CW50" i="2"/>
  <c r="CW41" i="2"/>
  <c r="CW40" i="2"/>
  <c r="CQ72" i="3"/>
  <c r="CQ57" i="3"/>
  <c r="CQ40" i="3"/>
  <c r="CQ34" i="3"/>
  <c r="CQ31" i="3"/>
  <c r="CQ28" i="3"/>
  <c r="CQ27" i="3"/>
  <c r="CQ15" i="3"/>
  <c r="CW78" i="2"/>
  <c r="CW77" i="2"/>
  <c r="CW76" i="2"/>
  <c r="CW75" i="2"/>
  <c r="CW74" i="2"/>
  <c r="CW70" i="2"/>
  <c r="CW68" i="2"/>
  <c r="CW67" i="2"/>
  <c r="CW59" i="2"/>
  <c r="CW47" i="2"/>
  <c r="CW46" i="2"/>
  <c r="CW45" i="2"/>
  <c r="CW44" i="2"/>
  <c r="CW42" i="2"/>
  <c r="CQ71" i="3"/>
  <c r="CQ66" i="3"/>
  <c r="CQ65" i="3"/>
  <c r="CQ64" i="3"/>
  <c r="CQ53" i="3"/>
  <c r="CQ52" i="3"/>
  <c r="CQ47" i="3"/>
  <c r="CQ43" i="3"/>
  <c r="CQ25" i="3"/>
  <c r="CQ24" i="3"/>
  <c r="CQ19" i="3"/>
  <c r="CQ18" i="3"/>
  <c r="CQ17" i="3"/>
  <c r="CW38" i="2"/>
  <c r="CW37" i="2"/>
  <c r="CW36" i="2"/>
  <c r="CW35" i="2"/>
  <c r="CW34" i="2"/>
  <c r="CW33" i="2"/>
  <c r="CW32" i="2"/>
  <c r="CW31" i="2"/>
  <c r="CW30" i="2"/>
  <c r="CW29" i="2"/>
  <c r="CW28" i="2"/>
  <c r="CW26" i="2"/>
  <c r="CW25" i="2"/>
  <c r="CW24" i="2"/>
  <c r="CW23" i="2"/>
  <c r="CW22" i="2"/>
  <c r="CW21" i="2"/>
  <c r="CW20" i="2"/>
  <c r="CW19" i="2"/>
  <c r="CW16" i="2"/>
  <c r="CW15" i="2"/>
  <c r="CQ73" i="3"/>
  <c r="CQ70" i="3"/>
  <c r="CQ69" i="3"/>
  <c r="CQ63" i="3"/>
  <c r="CQ62" i="3"/>
  <c r="CQ61" i="3"/>
  <c r="CQ60" i="3"/>
  <c r="CQ58" i="3"/>
  <c r="CQ56" i="3"/>
  <c r="CQ55" i="3"/>
  <c r="CQ51" i="3"/>
  <c r="CQ50" i="3"/>
  <c r="CQ49" i="3"/>
  <c r="CQ48" i="3"/>
  <c r="CQ46" i="3"/>
  <c r="CQ45" i="3"/>
  <c r="CQ44" i="3"/>
  <c r="CQ42" i="3"/>
  <c r="CQ41" i="3"/>
  <c r="CQ39" i="3"/>
  <c r="CQ38" i="3"/>
  <c r="CQ37" i="3"/>
  <c r="CQ36" i="3"/>
  <c r="CQ35" i="3"/>
  <c r="CQ33" i="3"/>
  <c r="CQ23" i="3"/>
  <c r="CQ22" i="3"/>
  <c r="CQ16" i="3"/>
  <c r="E23" i="1" l="1"/>
  <c r="I3" i="2"/>
  <c r="E6" i="1"/>
  <c r="D3" i="3"/>
  <c r="CH13" i="3"/>
  <c r="CQ74" i="3"/>
  <c r="CQ77" i="3" s="1"/>
  <c r="CL74" i="3"/>
  <c r="CL77" i="3" s="1"/>
  <c r="F11" i="1"/>
  <c r="D23" i="1"/>
  <c r="B6" i="1"/>
  <c r="I3" i="3"/>
  <c r="D3" i="2"/>
  <c r="CN13" i="2"/>
  <c r="CW18" i="2"/>
  <c r="CW79" i="2" s="1"/>
  <c r="CR18" i="2"/>
  <c r="CR79" i="2" s="1"/>
  <c r="F16" i="1"/>
  <c r="F15" i="1"/>
  <c r="F14" i="1"/>
  <c r="F13" i="1"/>
  <c r="F12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<sst xmlns="http://schemas.openxmlformats.org/spreadsheetml/2006/main" count="586" uniqueCount="174">
  <si>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</si>
  <si>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</si>
  <si>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</si>
  <si>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</si>
  <si>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</si>
  <si>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</si>
  <si>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</si>
  <si>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</si>
  <si>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</si>
  <si>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</si>
  <si>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</si>
  <si>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</si>
  <si>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</si>
  <si>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</si>
  <si>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</si>
  <si>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</si>
  <si>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</si>
  <si>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</si>
  <si>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</si>
  <si>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</si>
  <si>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</si>
  <si>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</si>
  <si>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</si>
  <si>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</si>
  <si>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</si>
  <si>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</si>
  <si>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</si>
  <si>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</si>
  <si>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</si>
  <si>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</si>
  <si>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</si>
  <si>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</si>
  <si>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</si>
  <si>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</si>
  <si>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</si>
  <si>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</si>
  <si>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</si>
  <si>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</si>
  <si>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</si>
  <si>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</si>
  <si>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</si>
  <si>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</si>
  <si>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</si>
  <si>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</si>
  <si>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</si>
  <si>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</si>
  <si>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</si>
  <si>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</si>
  <si>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</si>
  <si>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</si>
  <si>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</si>
  <si>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</si>
  <si>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</si>
  <si>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</si>
  <si>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</si>
  <si>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</si>
  <si>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</si>
  <si>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</si>
  <si>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</si>
  <si>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</si>
  <si>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</si>
  <si>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</si>
  <si>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</si>
  <si>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</si>
  <si>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</si>
  <si>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</si>
  <si>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</si>
  <si>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</si>
  <si>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</si>
  <si>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</si>
  <si>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</si>
  <si>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</si>
  <si>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</si>
  <si>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</si>
  <si>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</si>
  <si>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</si>
  <si>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</si>
  <si>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</si>
  <si>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</si>
  <si>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</si>
  <si>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</si>
  <si>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</si>
  <si>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</si>
  <si>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</si>
  <si>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</si>
  <si>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</si>
  <si>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</si>
  <si>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</si>
  <si>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</si>
  <si>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</si>
  <si>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</si>
  <si>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</si>
  <si>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</si>
  <si>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</si>
  <si>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</si>
  <si>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</si>
  <si>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</si>
  <si>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</si>
  <si>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</si>
  <si>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</si>
  <si>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</si>
  <si>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</si>
  <si>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</si>
  <si>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</si>
  <si>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</si>
  <si>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</si>
  <si>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</si>
  <si>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</si>
  <si>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</si>
  <si>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</si>
  <si>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</si>
  <si>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</si>
  <si>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14:54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</si>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</sst>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605</v>
      </c>
      <c r="C6" s="89"/>
      <c r="E6" s="88">
        <f>'Programa CAJAS REPORTE DIARIO'!CH77</f>
        <v>1522</v>
      </c>
      <c r="F6" s="89"/>
      <c r="H6" s="101">
        <f>B6+E6</f>
        <v>2127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123</v>
      </c>
      <c r="E22" s="72">
        <f>'Programa CAJAS REPORTE DIARIO'!AS77</f>
        <v>197</v>
      </c>
      <c r="F22" s="72">
        <f t="shared" si="0"/>
        <v>320</v>
      </c>
      <c r="G22" s="72">
        <f t="shared" si="1"/>
        <v>2127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605</v>
      </c>
      <c r="E23" s="75">
        <f>SUM(E11:E22)</f>
        <v>1522</v>
      </c>
      <c r="F23" s="75">
        <f>SUM(F11:F22)</f>
        <v>2127</v>
      </c>
      <c r="G23" s="75">
        <f>F23</f>
        <v>2127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605</v>
      </c>
      <c r="F3" s="79" t="s">
        <v>1</v>
      </c>
      <c r="I3" s="80">
        <f>'Programa CAJAS REPORTE DIARIO'!CH77+CN79</f>
        <v>2127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123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605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26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176</v>
      </c>
      <c r="CP27" s="27">
        <f t="shared" si="4"/>
        <v>176</v>
      </c>
      <c r="CQ27" s="22">
        <v>0</v>
      </c>
      <c r="CR27" s="22">
        <f t="shared" si="5"/>
        <v>176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25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140</v>
      </c>
      <c r="CP28" s="27">
        <f t="shared" si="4"/>
        <v>140</v>
      </c>
      <c r="CQ28" s="22">
        <v>0</v>
      </c>
      <c r="CR28" s="22">
        <f t="shared" si="5"/>
        <v>140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1237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12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55</v>
      </c>
      <c r="CP42" s="27">
        <f t="shared" si="4"/>
        <v>55</v>
      </c>
      <c r="CQ42" s="22">
        <v>0</v>
      </c>
      <c r="CR42" s="22">
        <f t="shared" si="5"/>
        <v>55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-55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2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16</v>
      </c>
      <c r="CP51" s="27">
        <f t="shared" si="11"/>
        <v>16</v>
      </c>
      <c r="CQ51" s="22">
        <v>0</v>
      </c>
      <c r="CR51" s="22">
        <f t="shared" si="12"/>
        <v>16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734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31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33</v>
      </c>
      <c r="CP58" s="27">
        <f t="shared" si="11"/>
        <v>33</v>
      </c>
      <c r="CQ58" s="22">
        <v>0</v>
      </c>
      <c r="CR58" s="22">
        <f t="shared" si="12"/>
        <v>33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1646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123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605</v>
      </c>
      <c r="CP79" s="25">
        <f>+SUM(CP14:CP78)</f>
        <v>605</v>
      </c>
      <c r="CQ79" s="25">
        <f>+SUM(CQ14:CQ78)</f>
        <v>0</v>
      </c>
      <c r="CR79" s="25">
        <f>+SUM(CR14:CR78)</f>
        <v>605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6477.5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1522</v>
      </c>
      <c r="F3" s="79" t="s">
        <v>1</v>
      </c>
      <c r="I3" s="80">
        <f>'Programa CASETAS REPORTE DIARIO'!CN79+CH77</f>
        <v>2127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197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1522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25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357</v>
      </c>
      <c r="CJ27" s="27">
        <f t="shared" si="3"/>
        <v>357</v>
      </c>
      <c r="CK27" s="22">
        <v>0</v>
      </c>
      <c r="CL27" s="22">
        <f t="shared" si="4"/>
        <v>357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39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251</v>
      </c>
      <c r="CJ28" s="27">
        <f t="shared" si="3"/>
        <v>251</v>
      </c>
      <c r="CK28" s="22">
        <v>0</v>
      </c>
      <c r="CL28" s="22">
        <f t="shared" si="4"/>
        <v>251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-73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5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87</v>
      </c>
      <c r="CJ35" s="27">
        <f t="shared" si="3"/>
        <v>87</v>
      </c>
      <c r="CK35" s="22">
        <v>0</v>
      </c>
      <c r="CL35" s="22">
        <f t="shared" si="4"/>
        <v>87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12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11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41</v>
      </c>
      <c r="CJ36" s="27">
        <f t="shared" si="3"/>
        <v>41</v>
      </c>
      <c r="CK36" s="22">
        <v>0</v>
      </c>
      <c r="CL36" s="22">
        <f t="shared" si="4"/>
        <v>41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-41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30</v>
      </c>
      <c r="CJ50" s="27">
        <f t="shared" si="11"/>
        <v>30</v>
      </c>
      <c r="CK50" s="22">
        <v>0</v>
      </c>
      <c r="CL50" s="22">
        <f t="shared" si="12"/>
        <v>30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172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35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78</v>
      </c>
      <c r="CJ55" s="27">
        <f t="shared" si="11"/>
        <v>78</v>
      </c>
      <c r="CK55" s="22">
        <v>0</v>
      </c>
      <c r="CL55" s="22">
        <f t="shared" si="12"/>
        <v>78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-48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19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60</v>
      </c>
      <c r="CJ57" s="27">
        <f t="shared" si="11"/>
        <v>60</v>
      </c>
      <c r="CK57" s="22">
        <v>0</v>
      </c>
      <c r="CL57" s="22">
        <f t="shared" si="12"/>
        <v>60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193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12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43</v>
      </c>
      <c r="CJ61" s="27">
        <f t="shared" si="11"/>
        <v>43</v>
      </c>
      <c r="CK61" s="22">
        <v>0</v>
      </c>
      <c r="CL61" s="22">
        <f t="shared" si="12"/>
        <v>43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18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63</v>
      </c>
      <c r="CJ70" s="27">
        <f t="shared" si="11"/>
        <v>63</v>
      </c>
      <c r="CK70" s="22">
        <v>0</v>
      </c>
      <c r="CL70" s="22">
        <f t="shared" si="12"/>
        <v>63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-49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197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1522</v>
      </c>
      <c r="CJ77" s="25">
        <f>+SUM(CJ14:CJ76)</f>
        <v>1522</v>
      </c>
      <c r="CK77" s="25">
        <f>+SUM(CK14:CK76)</f>
        <v>0</v>
      </c>
      <c r="CL77" s="25">
        <f>+SUM(CL14:CL76)</f>
        <v>1522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6985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2026-10-28T20:54:39Z</dcterms:modified>
</cp:coreProperties>
</file>