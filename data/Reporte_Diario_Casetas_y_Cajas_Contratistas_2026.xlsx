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DB44FC4-A027-422D-86F5-429D2BD8BAAF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 s="1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2" i="3" l="1"/>
  <c r="CQ70" i="3"/>
  <c r="CQ69" i="3"/>
  <c r="CQ67" i="3"/>
  <c r="CQ64" i="3"/>
  <c r="CQ20" i="3"/>
  <c r="CW66" i="2"/>
  <c r="CW41" i="2"/>
  <c r="CW38" i="2"/>
  <c r="CW36" i="2"/>
  <c r="CW30" i="2"/>
  <c r="CW17" i="2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Q25" i="3"/>
  <c r="CL25" i="3"/>
  <c r="CO77" i="3"/>
  <c r="CP14" i="3"/>
  <c r="CH77" i="3"/>
  <c r="CJ14" i="3"/>
  <c r="D23" i="1"/>
  <c r="CU79" i="2"/>
  <c r="CV14" i="2"/>
  <c r="CN79" i="2"/>
  <c r="CP14" i="2"/>
  <c r="CQ74" i="3"/>
  <c r="CQ66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W42" i="2"/>
  <c r="CQ71" i="3"/>
  <c r="CQ35" i="3"/>
  <c r="CQ34" i="3"/>
  <c r="CQ33" i="3"/>
  <c r="CQ32" i="3"/>
  <c r="CQ31" i="3"/>
  <c r="CQ30" i="3"/>
  <c r="CQ29" i="3"/>
  <c r="CQ28" i="3"/>
  <c r="CQ27" i="3"/>
  <c r="CQ26" i="3"/>
  <c r="CQ24" i="3"/>
  <c r="CQ23" i="3"/>
  <c r="CQ22" i="3"/>
  <c r="CQ21" i="3"/>
  <c r="CQ19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0" i="2"/>
  <c r="CW39" i="2"/>
  <c r="CW37" i="2"/>
  <c r="CW35" i="2"/>
  <c r="CW34" i="2"/>
  <c r="CW33" i="2"/>
  <c r="CW32" i="2"/>
  <c r="CW31" i="2"/>
  <c r="CQ76" i="3"/>
  <c r="CQ73" i="3"/>
  <c r="CQ68" i="3"/>
  <c r="CQ65" i="3"/>
  <c r="CQ63" i="3"/>
  <c r="CQ62" i="3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75" i="3"/>
  <c r="E23" i="1" l="1"/>
  <c r="F11" i="1"/>
  <c r="CQ14" i="3"/>
  <c r="CQ77" i="3" s="1"/>
  <c r="CP77" i="3"/>
  <c r="I3" i="2"/>
  <c r="E6" i="1"/>
  <c r="D3" i="3"/>
  <c r="CH13" i="3"/>
  <c r="CL14" i="3"/>
  <c r="CL77" i="3" s="1"/>
  <c r="CJ77" i="3"/>
  <c r="CW14" i="2"/>
  <c r="CW79" i="2" s="1"/>
  <c r="CV79" i="2"/>
  <c r="B6" i="1"/>
  <c r="I3" i="3"/>
  <c r="D3" i="2"/>
  <c r="CN13" i="2"/>
  <c r="CR14" i="2"/>
  <c r="CR79" i="2" s="1"/>
  <c r="CP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H6" i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<sst xmlns="http://schemas.openxmlformats.org/spreadsheetml/2006/main" count="586" uniqueCount="174">
  <si>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</si>
  <si>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</si>
  <si>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</si>
  <si>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</si>
  <si>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</si>
  <si>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</si>
  <si>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</si>
  <si>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</si>
  <si>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</si>
  <si>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</si>
  <si>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</si>
  <si>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</si>
  <si>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</si>
  <si>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</si>
  <si>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</si>
  <si>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</si>
  <si>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</si>
  <si>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</si>
  <si>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</si>
  <si>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</si>
  <si>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</si>
  <si>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</si>
  <si>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</si>
  <si>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</si>
  <si>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</si>
  <si>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</si>
  <si>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</si>
  <si>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</si>
  <si>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</si>
  <si>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</si>
  <si>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</si>
  <si>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</si>
  <si>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</si>
  <si>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</si>
  <si>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</si>
  <si>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</si>
  <si>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</si>
  <si>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</si>
  <si>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</si>
  <si>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</si>
  <si>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</si>
  <si>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</si>
  <si>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</si>
  <si>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</si>
  <si>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</si>
  <si>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</si>
  <si>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</si>
  <si>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</si>
  <si>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</si>
  <si>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</si>
  <si>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</si>
  <si>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</si>
  <si>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</si>
  <si>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</si>
  <si>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</si>
  <si>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</si>
  <si>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</si>
  <si>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</si>
  <si>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</si>
  <si>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</si>
  <si>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</si>
  <si>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</si>
  <si>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</si>
  <si>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</si>
  <si>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</si>
  <si>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</si>
  <si>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</si>
  <si>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</si>
  <si>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</si>
  <si>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</si>
  <si>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</si>
  <si>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</si>
  <si>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</si>
  <si>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</si>
  <si>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</si>
  <si>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</si>
  <si>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</si>
  <si>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</si>
  <si>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</si>
  <si>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</si>
  <si>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</si>
  <si>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</si>
  <si>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</si>
  <si>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</si>
  <si>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</si>
  <si>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</si>
  <si>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</si>
  <si>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</si>
  <si>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</si>
  <si>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</si>
  <si>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</si>
  <si>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</si>
  <si>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</si>
  <si>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</si>
  <si>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</si>
  <si>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</si>
  <si>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</si>
  <si>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</si>
  <si>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</si>
  <si>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</si>
  <si>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</si>
  <si>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</si>
  <si>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</si>
  <si>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</si>
  <si>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</si>
  <si>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</si>
  <si>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</si>
  <si>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</si>
  <si>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</si>
  <si>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</si>
  <si>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</si>
  <si>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</si>
  <si>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21:41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</si>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</sst>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1727</v>
      </c>
      <c r="F6" s="89"/>
      <c r="H6" s="101">
        <f>B6+E6</f>
        <v>2386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402</v>
      </c>
      <c r="F22" s="72">
        <f t="shared" si="0"/>
        <v>579</v>
      </c>
      <c r="G22" s="72">
        <f t="shared" si="1"/>
        <v>2386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1727</v>
      </c>
      <c r="F23" s="75">
        <f>SUM(F11:F22)</f>
        <v>2386</v>
      </c>
      <c r="G23" s="75">
        <f>F23</f>
        <v>2386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2386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1727</v>
      </c>
      <c r="F3" s="79" t="s">
        <v>1</v>
      </c>
      <c r="I3" s="80">
        <f>'Programa CASETAS REPORTE DIARIO'!CN79+CH77</f>
        <v>2386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402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1727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29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42</v>
      </c>
      <c r="CJ41" s="27">
        <f t="shared" si="3"/>
        <v>42</v>
      </c>
      <c r="CK41" s="22">
        <v>0</v>
      </c>
      <c r="CL41" s="22">
        <f t="shared" si="4"/>
        <v>42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-29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402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1727</v>
      </c>
      <c r="CJ77" s="25">
        <f>+SUM(CJ14:CJ76)</f>
        <v>1727</v>
      </c>
      <c r="CK77" s="25">
        <f>+SUM(CK14:CK76)</f>
        <v>0</v>
      </c>
      <c r="CL77" s="25">
        <f>+SUM(CL14:CL76)</f>
        <v>1727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6780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2026-10-29T03:41:30Z</dcterms:modified>
</cp:coreProperties>
</file>