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88F8CA0-0260-477F-A1ED-C050D226F796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Q20" i="3" l="1"/>
  <c r="D24" i="1"/>
  <c r="AO13" i="2"/>
  <c r="D23" i="1"/>
  <c r="AN13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P14" i="2"/>
  <c r="CN79" i="2"/>
  <c r="AU13" i="3"/>
  <c r="E24" i="1"/>
  <c r="AT13" i="3"/>
  <c r="E23" i="1"/>
  <c r="AS13" i="3"/>
  <c r="E22" i="1"/>
  <c r="AR13" i="3"/>
  <c r="E21" i="1"/>
  <c r="AQ13" i="3"/>
  <c r="E20" i="1"/>
  <c r="AP13" i="3"/>
  <c r="E19" i="1"/>
  <c r="E18" i="1"/>
  <c r="AO13" i="3"/>
  <c r="AN13" i="3"/>
  <c r="E17" i="1"/>
  <c r="E16" i="1"/>
  <c r="AM13" i="3"/>
  <c r="E15" i="1"/>
  <c r="AL13" i="3"/>
  <c r="E14" i="1"/>
  <c r="AK13" i="3"/>
  <c r="E13" i="1"/>
  <c r="AJ13" i="3"/>
  <c r="E12" i="1"/>
  <c r="AI13" i="3"/>
  <c r="E11" i="1"/>
  <c r="AH13" i="3"/>
  <c r="CJ74" i="3"/>
  <c r="CH77" i="3"/>
  <c r="CP32" i="3"/>
  <c r="CQ32" i="3" s="1"/>
  <c r="CO77" i="3"/>
  <c r="CQ14" i="3"/>
  <c r="CP77" i="3"/>
  <c r="CJ77" i="3"/>
  <c r="CL14" i="3"/>
  <c r="D3" i="2"/>
  <c r="B6" i="1"/>
  <c r="CN13" i="2"/>
  <c r="I3" i="3"/>
  <c r="CV14" i="2"/>
  <c r="CU79" i="2"/>
  <c r="CQ76" i="3"/>
  <c r="CQ75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19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18" i="3"/>
  <c r="CQ17" i="3"/>
  <c r="CQ16" i="3"/>
  <c r="CQ15" i="3"/>
  <c r="F24" i="1" l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D25" i="1"/>
  <c r="CR14" i="2"/>
  <c r="CR79" i="2" s="1"/>
  <c r="CP79" i="2"/>
  <c r="E25" i="1"/>
  <c r="CQ74" i="3"/>
  <c r="CQ77" i="3" s="1"/>
  <c r="CL74" i="3"/>
  <c r="CL77" i="3" s="1"/>
  <c r="I3" i="2"/>
  <c r="D3" i="3"/>
  <c r="E6" i="1"/>
  <c r="H6" i="1" s="1"/>
  <c r="CH1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W14" i="2"/>
  <c r="CW79" i="2" s="1"/>
  <c r="CV79" i="2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<sst xmlns="http://schemas.openxmlformats.org/spreadsheetml/2006/main" count="592" uniqueCount="176">
  <si>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</si>
  <si>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</si>
  <si>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</si>
  <si>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</si>
  <si>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</si>
  <si>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</si>
  <si>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</si>
  <si>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</si>
  <si>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</si>
  <si>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</si>
  <si>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</si>
  <si>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</si>
  <si>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</si>
  <si>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</si>
  <si>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</si>
  <si>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</si>
  <si>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</si>
  <si>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</si>
  <si>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</si>
  <si>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</si>
  <si>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</si>
  <si>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</si>
  <si>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</si>
  <si>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</si>
  <si>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</si>
  <si>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</si>
  <si>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</si>
  <si>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</si>
  <si>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</si>
  <si>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</si>
  <si>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</si>
  <si>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</si>
  <si>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</si>
  <si>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</si>
  <si>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</si>
  <si>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</si>
  <si>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</si>
  <si>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</si>
  <si>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</si>
  <si>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</si>
  <si>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</si>
  <si>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</si>
  <si>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</si>
  <si>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</si>
  <si>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</si>
  <si>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</si>
  <si>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</si>
  <si>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</si>
  <si>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</si>
  <si>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</si>
  <si>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</si>
  <si>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</si>
  <si>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</si>
  <si>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</si>
  <si>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</si>
  <si>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</si>
  <si>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</si>
  <si>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</si>
  <si>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</si>
  <si>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</si>
  <si>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</si>
  <si>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</si>
  <si>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</si>
  <si>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</si>
  <si>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</si>
  <si>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</si>
  <si>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</si>
  <si>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</si>
  <si>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</si>
  <si>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</si>
  <si>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</si>
  <si>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</si>
  <si>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</si>
  <si>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</si>
  <si>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</si>
  <si>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</si>
  <si>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</si>
  <si>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</si>
  <si>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</si>
  <si>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</si>
  <si>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</si>
  <si>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</si>
  <si>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</si>
  <si>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</si>
  <si>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</si>
  <si>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</si>
  <si>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</si>
  <si>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</si>
  <si>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</si>
  <si>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</si>
  <si>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</si>
  <si>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</si>
  <si>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</si>
  <si>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</si>
  <si>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</si>
  <si>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</si>
  <si>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</si>
  <si>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</si>
  <si>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</si>
  <si>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</si>
  <si>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</si>
  <si>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</si>
  <si>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</si>
  <si>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</si>
  <si>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</si>
  <si>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</si>
  <si>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</si>
  <si>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</si>
  <si>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</si>
  <si>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</si>
  <si>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</si>
  <si>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</si>
  <si>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14:50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</si>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</sst>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1022</v>
      </c>
      <c r="C6" s="89"/>
      <c r="E6" s="88">
        <f>'Programa CAJAS REPORTE DIARIO'!CH77</f>
        <v>2999</v>
      </c>
      <c r="F6" s="89"/>
      <c r="H6" s="101">
        <f>B6+E6</f>
        <v>4021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114</v>
      </c>
      <c r="E24" s="72">
        <f>'Programa CAJAS REPORTE DIARIO'!AU77</f>
        <v>524</v>
      </c>
      <c r="F24" s="72">
        <f t="shared" si="0"/>
        <v>638</v>
      </c>
      <c r="G24" s="72">
        <f t="shared" si="1"/>
        <v>4021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1022</v>
      </c>
      <c r="E25" s="75">
        <f>SUM(E11:E24)</f>
        <v>2999</v>
      </c>
      <c r="F25" s="75">
        <f>SUM(F11:F24)</f>
        <v>4021</v>
      </c>
      <c r="G25" s="75">
        <f>F25</f>
        <v>4021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1022</v>
      </c>
      <c r="F3" s="79" t="s">
        <v>1</v>
      </c>
      <c r="I3" s="80">
        <f>'Programa CAJAS REPORTE DIARIO'!CH77+CN79</f>
        <v>4021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114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1022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13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213</v>
      </c>
      <c r="CP27" s="27">
        <f t="shared" si="4"/>
        <v>213</v>
      </c>
      <c r="CQ27" s="22">
        <v>0</v>
      </c>
      <c r="CR27" s="22">
        <f t="shared" si="5"/>
        <v>213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14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127</v>
      </c>
      <c r="CP29" s="27">
        <f t="shared" si="4"/>
        <v>127</v>
      </c>
      <c r="CQ29" s="22">
        <v>0</v>
      </c>
      <c r="CR29" s="22">
        <f t="shared" si="5"/>
        <v>127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279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36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169</v>
      </c>
      <c r="CP42" s="27">
        <f t="shared" si="4"/>
        <v>169</v>
      </c>
      <c r="CQ42" s="22">
        <v>0</v>
      </c>
      <c r="CR42" s="22">
        <f t="shared" si="5"/>
        <v>169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-169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>
        <v>1</v>
      </c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1</v>
      </c>
      <c r="CP54" s="27">
        <f t="shared" si="11"/>
        <v>1</v>
      </c>
      <c r="CQ54" s="22">
        <v>0</v>
      </c>
      <c r="CR54" s="22">
        <f t="shared" si="12"/>
        <v>1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-1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43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105</v>
      </c>
      <c r="CP56" s="27">
        <f t="shared" si="11"/>
        <v>105</v>
      </c>
      <c r="CQ56" s="22">
        <v>0</v>
      </c>
      <c r="CR56" s="22">
        <f t="shared" si="12"/>
        <v>105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-105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114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1022</v>
      </c>
      <c r="CP79" s="25">
        <f>+SUM(CP14:CP78)</f>
        <v>1022</v>
      </c>
      <c r="CQ79" s="25">
        <f>+SUM(CQ14:CQ78)</f>
        <v>0</v>
      </c>
      <c r="CR79" s="25">
        <f>+SUM(CR14:CR78)</f>
        <v>1022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6244.5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2999</v>
      </c>
      <c r="F3" s="79" t="s">
        <v>1</v>
      </c>
      <c r="I3" s="80">
        <f>'Programa CASETAS REPORTE DIARIO'!CN79+CH77</f>
        <v>4021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524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2999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43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480</v>
      </c>
      <c r="CJ27" s="27">
        <f t="shared" si="3"/>
        <v>480</v>
      </c>
      <c r="CK27" s="22">
        <v>0</v>
      </c>
      <c r="CL27" s="22">
        <f t="shared" si="4"/>
        <v>480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22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349</v>
      </c>
      <c r="CJ28" s="27">
        <f t="shared" si="3"/>
        <v>349</v>
      </c>
      <c r="CK28" s="22">
        <v>0</v>
      </c>
      <c r="CL28" s="22">
        <f t="shared" si="4"/>
        <v>349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-169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26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131</v>
      </c>
      <c r="CJ29" s="27">
        <f t="shared" si="3"/>
        <v>131</v>
      </c>
      <c r="CK29" s="22">
        <v>0</v>
      </c>
      <c r="CL29" s="22">
        <f t="shared" si="4"/>
        <v>131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1205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7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57</v>
      </c>
      <c r="CJ36" s="27">
        <f t="shared" si="3"/>
        <v>57</v>
      </c>
      <c r="CK36" s="22">
        <v>0</v>
      </c>
      <c r="CL36" s="22">
        <f t="shared" si="4"/>
        <v>57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-57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73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159</v>
      </c>
      <c r="CJ37" s="27">
        <f t="shared" si="3"/>
        <v>159</v>
      </c>
      <c r="CK37" s="22">
        <v>0</v>
      </c>
      <c r="CL37" s="22">
        <f t="shared" si="4"/>
        <v>159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416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33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92</v>
      </c>
      <c r="CJ41" s="27">
        <f t="shared" si="3"/>
        <v>92</v>
      </c>
      <c r="CK41" s="22">
        <v>0</v>
      </c>
      <c r="CL41" s="22">
        <f t="shared" si="4"/>
        <v>92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488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12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343</v>
      </c>
      <c r="CJ46" s="27">
        <f t="shared" ref="CJ46:CJ76" si="11">CH46</f>
        <v>343</v>
      </c>
      <c r="CK46" s="22">
        <v>0</v>
      </c>
      <c r="CL46" s="22">
        <f t="shared" ref="CL46:CL77" si="12">CJ46+CK46</f>
        <v>343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1185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219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392</v>
      </c>
      <c r="CJ53" s="27">
        <f t="shared" si="11"/>
        <v>392</v>
      </c>
      <c r="CK53" s="22">
        <v>0</v>
      </c>
      <c r="CL53" s="22">
        <f t="shared" si="12"/>
        <v>392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-324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16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99</v>
      </c>
      <c r="CJ55" s="27">
        <f t="shared" si="11"/>
        <v>99</v>
      </c>
      <c r="CK55" s="22">
        <v>0</v>
      </c>
      <c r="CL55" s="22">
        <f t="shared" si="12"/>
        <v>99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>
        <v>1</v>
      </c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69</v>
      </c>
      <c r="CJ61" s="27">
        <f t="shared" si="11"/>
        <v>69</v>
      </c>
      <c r="CK61" s="22">
        <v>0</v>
      </c>
      <c r="CL61" s="22">
        <f t="shared" si="12"/>
        <v>69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-37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524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2999</v>
      </c>
      <c r="CJ77" s="25">
        <f>+SUM(CJ14:CJ76)</f>
        <v>2999</v>
      </c>
      <c r="CK77" s="25">
        <f>+SUM(CK14:CK76)</f>
        <v>0</v>
      </c>
      <c r="CL77" s="25">
        <f>+SUM(CL14:CL76)</f>
        <v>2999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8395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2026-10-30T20:50:27Z</dcterms:modified>
</cp:coreProperties>
</file>