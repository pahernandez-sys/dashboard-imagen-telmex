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79AFAA7-B39F-4C96-BDC3-C7C18EF06505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E23" i="1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W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W67" i="2" s="1"/>
  <c r="CN67" i="2"/>
  <c r="CP67" i="2" s="1"/>
  <c r="CR67" i="2" s="1"/>
  <c r="DD66" i="2"/>
  <c r="CU66" i="2"/>
  <c r="CV66" i="2" s="1"/>
  <c r="CW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78" i="2" l="1"/>
  <c r="CW77" i="2"/>
  <c r="CW76" i="2"/>
  <c r="CQ75" i="3"/>
  <c r="CQ65" i="3"/>
  <c r="CQ64" i="3"/>
  <c r="CQ58" i="3"/>
  <c r="CQ54" i="3"/>
  <c r="CW52" i="2"/>
  <c r="CW72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CW71" i="2"/>
  <c r="CP14" i="3"/>
  <c r="CO77" i="3"/>
  <c r="CJ14" i="3"/>
  <c r="CH77" i="3"/>
  <c r="AN13" i="2"/>
  <c r="D23" i="1"/>
  <c r="F23" i="1" s="1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AI13" i="2"/>
  <c r="D17" i="1"/>
  <c r="AH13" i="2"/>
  <c r="AG13" i="2"/>
  <c r="D16" i="1"/>
  <c r="D15" i="1"/>
  <c r="AF13" i="2"/>
  <c r="D14" i="1"/>
  <c r="AE13" i="2"/>
  <c r="AD13" i="2"/>
  <c r="D13" i="1"/>
  <c r="AC13" i="2"/>
  <c r="D12" i="1"/>
  <c r="AB13" i="2"/>
  <c r="D11" i="1"/>
  <c r="CN79" i="2"/>
  <c r="CP31" i="2"/>
  <c r="CV30" i="2"/>
  <c r="CW30" i="2" s="1"/>
  <c r="CU79" i="2"/>
  <c r="CW14" i="2"/>
  <c r="CV79" i="2"/>
  <c r="CR14" i="2"/>
  <c r="CP79" i="2"/>
  <c r="CQ74" i="3"/>
  <c r="CQ73" i="3"/>
  <c r="CQ72" i="3"/>
  <c r="CQ71" i="3"/>
  <c r="CQ70" i="3"/>
  <c r="CQ69" i="3"/>
  <c r="CQ68" i="3"/>
  <c r="CQ67" i="3"/>
  <c r="CQ66" i="3"/>
  <c r="CQ62" i="3"/>
  <c r="CQ60" i="3"/>
  <c r="CQ57" i="3"/>
  <c r="CQ55" i="3"/>
  <c r="CQ52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5" i="2"/>
  <c r="CW68" i="2"/>
  <c r="CW65" i="2"/>
  <c r="CW69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29" i="2"/>
  <c r="CW28" i="2"/>
  <c r="CW27" i="2"/>
  <c r="CQ53" i="3"/>
  <c r="CQ51" i="3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63" i="3"/>
  <c r="CQ61" i="3"/>
  <c r="CQ59" i="3"/>
  <c r="CQ56" i="3"/>
  <c r="CQ50" i="3"/>
  <c r="F18" i="1" l="1"/>
  <c r="F17" i="1"/>
  <c r="F16" i="1"/>
  <c r="F15" i="1"/>
  <c r="F14" i="1"/>
  <c r="F13" i="1"/>
  <c r="F12" i="1"/>
  <c r="CP77" i="3"/>
  <c r="CQ14" i="3"/>
  <c r="CQ77" i="3" s="1"/>
  <c r="CJ77" i="3"/>
  <c r="CL14" i="3"/>
  <c r="CL77" i="3" s="1"/>
  <c r="I3" i="2"/>
  <c r="CH13" i="3"/>
  <c r="E6" i="1"/>
  <c r="D3" i="3"/>
  <c r="F11" i="1"/>
  <c r="D24" i="1"/>
  <c r="B6" i="1"/>
  <c r="I3" i="3"/>
  <c r="D3" i="2"/>
  <c r="CN13" i="2"/>
  <c r="CW31" i="2"/>
  <c r="CW79" i="2" s="1"/>
  <c r="CR31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<sst xmlns="http://schemas.openxmlformats.org/spreadsheetml/2006/main" count="589" uniqueCount="175">
  <si>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</si>
  <si>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</si>
  <si>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</si>
  <si>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</si>
  <si>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</si>
  <si>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</si>
  <si>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</si>
  <si>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</si>
  <si>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</si>
  <si>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</si>
  <si>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</si>
  <si>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</si>
  <si>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</si>
  <si>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</si>
  <si>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</si>
  <si>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</si>
  <si>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</si>
  <si>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</si>
  <si>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</si>
  <si>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</si>
  <si>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</si>
  <si>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</si>
  <si>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</si>
  <si>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</si>
  <si>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</si>
  <si>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</si>
  <si>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</si>
  <si>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</si>
  <si>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</si>
  <si>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</si>
  <si>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</si>
  <si>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</si>
  <si>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</si>
  <si>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</si>
  <si>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</si>
  <si>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</si>
  <si>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</si>
  <si>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</si>
  <si>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</si>
  <si>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</si>
  <si>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</si>
  <si>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</si>
  <si>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</si>
  <si>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</si>
  <si>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</si>
  <si>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</si>
  <si>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</si>
  <si>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</si>
  <si>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</si>
  <si>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</si>
  <si>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</si>
  <si>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</si>
  <si>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</si>
  <si>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</si>
  <si>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</si>
  <si>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</si>
  <si>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</si>
  <si>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</si>
  <si>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</si>
  <si>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</si>
  <si>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</si>
  <si>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</si>
  <si>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</si>
  <si>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</si>
  <si>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</si>
  <si>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</si>
  <si>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</si>
  <si>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</si>
  <si>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</si>
  <si>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</si>
  <si>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</si>
  <si>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</si>
  <si>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</si>
  <si>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</si>
  <si>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</si>
  <si>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</si>
  <si>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</si>
  <si>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</si>
  <si>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</si>
  <si>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</si>
  <si>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</si>
  <si>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</si>
  <si>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</si>
  <si>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</si>
  <si>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</si>
  <si>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</si>
  <si>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</si>
  <si>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</si>
  <si>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</si>
  <si>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</si>
  <si>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</si>
  <si>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</si>
  <si>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</si>
  <si>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</si>
  <si>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</si>
  <si>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</si>
  <si>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</si>
  <si>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</si>
  <si>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</si>
  <si>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</si>
  <si>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</si>
  <si>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</si>
  <si>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</si>
  <si>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</si>
  <si>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</si>
  <si>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</si>
  <si>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</si>
  <si>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</si>
  <si>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</si>
  <si>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</si>
  <si>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</si>
  <si>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</si>
  <si>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19:00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</si>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</sst>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2393</v>
      </c>
      <c r="F6" s="89"/>
      <c r="H6" s="101">
        <f>B6+E6</f>
        <v>3292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664</v>
      </c>
      <c r="F23" s="70">
        <f t="shared" si="0"/>
        <v>904</v>
      </c>
      <c r="G23" s="70">
        <f t="shared" si="1"/>
        <v>3292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2393</v>
      </c>
      <c r="F24" s="75">
        <f>SUM(F11:F23)</f>
        <v>3292</v>
      </c>
      <c r="G24" s="75">
        <f>F24</f>
        <v>3292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3292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2393</v>
      </c>
      <c r="F3" s="79" t="s">
        <v>1</v>
      </c>
      <c r="I3" s="80">
        <f>'Programa CASETAS REPORTE DIARIO'!CN79+CH77</f>
        <v>3292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664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2393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420</v>
      </c>
      <c r="CJ27" s="27">
        <f t="shared" si="3"/>
        <v>420</v>
      </c>
      <c r="CK27" s="22">
        <v>0</v>
      </c>
      <c r="CL27" s="22">
        <f t="shared" si="4"/>
        <v>420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664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2393</v>
      </c>
      <c r="CJ77" s="25">
        <f>+SUM(CJ14:CJ76)</f>
        <v>2393</v>
      </c>
      <c r="CK77" s="25">
        <f>+SUM(CK14:CK76)</f>
        <v>0</v>
      </c>
      <c r="CL77" s="25">
        <f>+SUM(CL14:CL76)</f>
        <v>2393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8839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2026-10-30T01:00:11Z</dcterms:modified>
</cp:coreProperties>
</file>