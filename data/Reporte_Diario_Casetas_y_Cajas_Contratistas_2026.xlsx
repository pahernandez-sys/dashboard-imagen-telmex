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DBCE847-3803-4C2B-8B91-46417BED0797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F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DD71" i="2"/>
  <c r="CU71" i="2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60" i="3" l="1"/>
  <c r="CW22" i="2"/>
  <c r="CW20" i="2"/>
  <c r="CW17" i="2"/>
  <c r="CQ46" i="3"/>
  <c r="CQ40" i="3"/>
  <c r="CQ38" i="3"/>
  <c r="CQ37" i="3"/>
  <c r="CQ36" i="3"/>
  <c r="CQ35" i="3"/>
  <c r="CQ31" i="3"/>
  <c r="CW18" i="2"/>
  <c r="CW39" i="2"/>
  <c r="E24" i="1"/>
  <c r="AU13" i="3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5" i="1" s="1"/>
  <c r="CO77" i="3"/>
  <c r="CP14" i="3"/>
  <c r="CH77" i="3"/>
  <c r="CJ14" i="3"/>
  <c r="D24" i="1"/>
  <c r="F24" i="1" s="1"/>
  <c r="AO13" i="2"/>
  <c r="AN13" i="2"/>
  <c r="D23" i="1"/>
  <c r="D22" i="1"/>
  <c r="AM13" i="2"/>
  <c r="D21" i="1"/>
  <c r="AL13" i="2"/>
  <c r="D20" i="1"/>
  <c r="AK13" i="2"/>
  <c r="D19" i="1"/>
  <c r="AJ13" i="2"/>
  <c r="AI13" i="2"/>
  <c r="D18" i="1"/>
  <c r="AH13" i="2"/>
  <c r="D17" i="1"/>
  <c r="AG13" i="2"/>
  <c r="D16" i="1"/>
  <c r="AF13" i="2"/>
  <c r="D15" i="1"/>
  <c r="AE13" i="2"/>
  <c r="D14" i="1"/>
  <c r="AD13" i="2"/>
  <c r="D13" i="1"/>
  <c r="D12" i="1"/>
  <c r="AC13" i="2"/>
  <c r="D11" i="1"/>
  <c r="AB13" i="2"/>
  <c r="CN79" i="2"/>
  <c r="CP72" i="2"/>
  <c r="CV71" i="2"/>
  <c r="CW71" i="2" s="1"/>
  <c r="CU79" i="2"/>
  <c r="CW14" i="2"/>
  <c r="CV79" i="2"/>
  <c r="CR14" i="2"/>
  <c r="CP79" i="2"/>
  <c r="CQ76" i="3"/>
  <c r="CQ64" i="3"/>
  <c r="CQ72" i="3"/>
  <c r="CQ71" i="3"/>
  <c r="CQ70" i="3"/>
  <c r="CQ69" i="3"/>
  <c r="CQ68" i="3"/>
  <c r="CQ67" i="3"/>
  <c r="CQ66" i="3"/>
  <c r="CQ65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2" i="3"/>
  <c r="CQ34" i="3"/>
  <c r="CQ33" i="3"/>
  <c r="CQ32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43" i="3"/>
  <c r="CQ39" i="3"/>
  <c r="CW78" i="2"/>
  <c r="CW77" i="2"/>
  <c r="CW76" i="2"/>
  <c r="CW75" i="2"/>
  <c r="CW74" i="2"/>
  <c r="CW73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19" i="2"/>
  <c r="CW15" i="2"/>
  <c r="CQ74" i="3"/>
  <c r="CQ73" i="3"/>
  <c r="CQ63" i="3"/>
  <c r="CQ62" i="3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1" i="2"/>
  <c r="CQ75" i="3"/>
  <c r="CQ61" i="3"/>
  <c r="CQ45" i="3"/>
  <c r="CQ44" i="3"/>
  <c r="CQ41" i="3"/>
  <c r="F23" i="1" l="1"/>
  <c r="F22" i="1"/>
  <c r="F21" i="1"/>
  <c r="F20" i="1"/>
  <c r="F19" i="1"/>
  <c r="F18" i="1"/>
  <c r="F17" i="1"/>
  <c r="F16" i="1"/>
  <c r="F15" i="1"/>
  <c r="F14" i="1"/>
  <c r="F13" i="1"/>
  <c r="F12" i="1"/>
  <c r="CP77" i="3"/>
  <c r="CQ14" i="3"/>
  <c r="CQ77" i="3" s="1"/>
  <c r="CH13" i="3"/>
  <c r="I3" i="2"/>
  <c r="D3" i="3"/>
  <c r="E6" i="1"/>
  <c r="CJ77" i="3"/>
  <c r="CL14" i="3"/>
  <c r="CL77" i="3" s="1"/>
  <c r="F11" i="1"/>
  <c r="D25" i="1"/>
  <c r="B6" i="1"/>
  <c r="H6" i="1" s="1"/>
  <c r="I3" i="3"/>
  <c r="D3" i="2"/>
  <c r="CN13" i="2"/>
  <c r="CW72" i="2"/>
  <c r="CW79" i="2" s="1"/>
  <c r="CR72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<sst xmlns="http://schemas.openxmlformats.org/spreadsheetml/2006/main" count="592" uniqueCount="176">
  <si>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</si>
  <si>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</si>
  <si>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</si>
  <si>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</si>
  <si>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</si>
  <si>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</si>
  <si>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</si>
  <si>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</si>
  <si>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</si>
  <si>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</si>
  <si>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</si>
  <si>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</si>
  <si>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</si>
  <si>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</si>
  <si>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</si>
  <si>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</si>
  <si>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</si>
  <si>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</si>
  <si>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</si>
  <si>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</si>
  <si>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</si>
  <si>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</si>
  <si>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</si>
  <si>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</si>
  <si>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</si>
  <si>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</si>
  <si>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</si>
  <si>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</si>
  <si>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</si>
  <si>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</si>
  <si>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</si>
  <si>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</si>
  <si>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</si>
  <si>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</si>
  <si>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</si>
  <si>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</si>
  <si>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</si>
  <si>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</si>
  <si>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</si>
  <si>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</si>
  <si>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</si>
  <si>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</si>
  <si>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</si>
  <si>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</si>
  <si>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</si>
  <si>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</si>
  <si>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</si>
  <si>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</si>
  <si>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</si>
  <si>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</si>
  <si>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</si>
  <si>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</si>
  <si>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</si>
  <si>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</si>
  <si>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</si>
  <si>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</si>
  <si>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</si>
  <si>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</si>
  <si>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</si>
  <si>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</si>
  <si>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</si>
  <si>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</si>
  <si>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</si>
  <si>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</si>
  <si>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</si>
  <si>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</si>
  <si>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</si>
  <si>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</si>
  <si>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</si>
  <si>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</si>
  <si>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</si>
  <si>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</si>
  <si>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</si>
  <si>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</si>
  <si>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</si>
  <si>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</si>
  <si>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</si>
  <si>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</si>
  <si>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</si>
  <si>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</si>
  <si>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</si>
  <si>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</si>
  <si>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</si>
  <si>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</si>
  <si>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</si>
  <si>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</si>
  <si>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</si>
  <si>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</si>
  <si>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</si>
  <si>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</si>
  <si>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</si>
  <si>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</si>
  <si>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</si>
  <si>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</si>
  <si>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</si>
  <si>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</si>
  <si>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</si>
  <si>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</si>
  <si>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</si>
  <si>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</si>
  <si>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</si>
  <si>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</si>
  <si>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</si>
  <si>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</si>
  <si>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</si>
  <si>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</si>
  <si>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</si>
  <si>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</si>
  <si>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</si>
  <si>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</si>
  <si>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</si>
  <si>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</si>
  <si>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16:01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</si>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</sst>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1051</v>
      </c>
      <c r="C6" s="89"/>
      <c r="E6" s="88">
        <f>'Programa CAJAS REPORTE DIARIO'!CH77</f>
        <v>3097</v>
      </c>
      <c r="F6" s="89"/>
      <c r="H6" s="101">
        <f>B6+E6</f>
        <v>4148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143</v>
      </c>
      <c r="E24" s="72">
        <f>'Programa CAJAS REPORTE DIARIO'!AU77</f>
        <v>622</v>
      </c>
      <c r="F24" s="72">
        <f t="shared" si="0"/>
        <v>765</v>
      </c>
      <c r="G24" s="72">
        <f t="shared" si="1"/>
        <v>4148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1051</v>
      </c>
      <c r="E25" s="75">
        <f>SUM(E11:E24)</f>
        <v>3097</v>
      </c>
      <c r="F25" s="75">
        <f>SUM(F11:F24)</f>
        <v>4148</v>
      </c>
      <c r="G25" s="75">
        <f>F25</f>
        <v>4148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1051</v>
      </c>
      <c r="F3" s="79" t="s">
        <v>1</v>
      </c>
      <c r="I3" s="80">
        <f>'Programa CAJAS REPORTE DIARIO'!CH77+CN79</f>
        <v>4148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143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1051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218</v>
      </c>
      <c r="CP27" s="27">
        <f t="shared" si="4"/>
        <v>218</v>
      </c>
      <c r="CQ27" s="22">
        <v>0</v>
      </c>
      <c r="CR27" s="22">
        <f t="shared" si="5"/>
        <v>218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20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133</v>
      </c>
      <c r="CP29" s="27">
        <f t="shared" si="4"/>
        <v>133</v>
      </c>
      <c r="CQ29" s="22">
        <v>0</v>
      </c>
      <c r="CR29" s="22">
        <f t="shared" si="5"/>
        <v>133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175</v>
      </c>
      <c r="CP42" s="27">
        <f t="shared" si="4"/>
        <v>175</v>
      </c>
      <c r="CQ42" s="22">
        <v>0</v>
      </c>
      <c r="CR42" s="22">
        <f t="shared" si="5"/>
        <v>175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55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117</v>
      </c>
      <c r="CP56" s="27">
        <f t="shared" si="11"/>
        <v>117</v>
      </c>
      <c r="CQ56" s="22">
        <v>0</v>
      </c>
      <c r="CR56" s="22">
        <f t="shared" si="12"/>
        <v>117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-117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143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1051</v>
      </c>
      <c r="CP79" s="25">
        <f>+SUM(CP14:CP78)</f>
        <v>1051</v>
      </c>
      <c r="CQ79" s="25">
        <f>+SUM(CQ14:CQ78)</f>
        <v>0</v>
      </c>
      <c r="CR79" s="25">
        <f>+SUM(CR14:CR78)</f>
        <v>1051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6215.5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3097</v>
      </c>
      <c r="F3" s="79" t="s">
        <v>1</v>
      </c>
      <c r="I3" s="80">
        <f>'Programa CASETAS REPORTE DIARIO'!CN79+CH77</f>
        <v>4148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622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3097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492</v>
      </c>
      <c r="CJ27" s="27">
        <f t="shared" si="3"/>
        <v>492</v>
      </c>
      <c r="CK27" s="22">
        <v>0</v>
      </c>
      <c r="CL27" s="22">
        <f t="shared" si="4"/>
        <v>492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294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140</v>
      </c>
      <c r="CJ29" s="27">
        <f t="shared" si="3"/>
        <v>140</v>
      </c>
      <c r="CK29" s="22">
        <v>0</v>
      </c>
      <c r="CL29" s="22">
        <f t="shared" si="4"/>
        <v>140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1196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116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202</v>
      </c>
      <c r="CJ37" s="27">
        <f t="shared" si="3"/>
        <v>202</v>
      </c>
      <c r="CK37" s="22">
        <v>0</v>
      </c>
      <c r="CL37" s="22">
        <f t="shared" si="4"/>
        <v>202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43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102</v>
      </c>
      <c r="CJ41" s="27">
        <f t="shared" si="3"/>
        <v>102</v>
      </c>
      <c r="CK41" s="22">
        <v>0</v>
      </c>
      <c r="CL41" s="22">
        <f t="shared" si="4"/>
        <v>102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478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236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409</v>
      </c>
      <c r="CJ53" s="27">
        <f t="shared" si="11"/>
        <v>409</v>
      </c>
      <c r="CK53" s="22">
        <v>0</v>
      </c>
      <c r="CL53" s="22">
        <f t="shared" si="12"/>
        <v>409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-341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20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103</v>
      </c>
      <c r="CJ55" s="27">
        <f t="shared" si="11"/>
        <v>103</v>
      </c>
      <c r="CK55" s="22">
        <v>0</v>
      </c>
      <c r="CL55" s="22">
        <f t="shared" si="12"/>
        <v>103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622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3097</v>
      </c>
      <c r="CJ77" s="25">
        <f>+SUM(CJ14:CJ76)</f>
        <v>3097</v>
      </c>
      <c r="CK77" s="25">
        <f>+SUM(CK14:CK76)</f>
        <v>0</v>
      </c>
      <c r="CL77" s="25">
        <f>+SUM(CL14:CL76)</f>
        <v>3097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8297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2026-10-30T22:01:01Z</dcterms:modified>
</cp:coreProperties>
</file>