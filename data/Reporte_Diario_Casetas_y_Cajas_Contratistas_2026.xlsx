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C1E65B8-94AC-4670-ABED-4E0747C9066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W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N85" i="2" l="1"/>
  <c r="CW39" i="2"/>
  <c r="CQ30" i="3"/>
  <c r="CQ29" i="3"/>
  <c r="CQ26" i="3"/>
  <c r="CQ19" i="3"/>
  <c r="CW78" i="2"/>
  <c r="CW32" i="2"/>
  <c r="CW76" i="2"/>
  <c r="CW75" i="2"/>
  <c r="CW71" i="2"/>
  <c r="CW70" i="2"/>
  <c r="CW68" i="2"/>
  <c r="CW66" i="2"/>
  <c r="CW64" i="2"/>
  <c r="CW63" i="2"/>
  <c r="CW59" i="2"/>
  <c r="CW58" i="2"/>
  <c r="CW57" i="2"/>
  <c r="CW54" i="2"/>
  <c r="CW52" i="2"/>
  <c r="CW50" i="2"/>
  <c r="CW48" i="2"/>
  <c r="CW47" i="2"/>
  <c r="CW45" i="2"/>
  <c r="CW42" i="2"/>
  <c r="CW40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P14" i="3"/>
  <c r="CO77" i="3"/>
  <c r="CJ14" i="3"/>
  <c r="CH77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D19" i="1"/>
  <c r="F19" i="1" s="1"/>
  <c r="AJ13" i="2"/>
  <c r="D18" i="1"/>
  <c r="F18" i="1" s="1"/>
  <c r="AI13" i="2"/>
  <c r="D17" i="1"/>
  <c r="F17" i="1" s="1"/>
  <c r="AH13" i="2"/>
  <c r="AG13" i="2"/>
  <c r="D16" i="1"/>
  <c r="F16" i="1" s="1"/>
  <c r="D15" i="1"/>
  <c r="F15" i="1" s="1"/>
  <c r="AF13" i="2"/>
  <c r="AE13" i="2"/>
  <c r="D14" i="1"/>
  <c r="F14" i="1" s="1"/>
  <c r="AD13" i="2"/>
  <c r="D13" i="1"/>
  <c r="F13" i="1" s="1"/>
  <c r="AC13" i="2"/>
  <c r="D12" i="1"/>
  <c r="F12" i="1" s="1"/>
  <c r="D11" i="1"/>
  <c r="AB13" i="2"/>
  <c r="CV14" i="2"/>
  <c r="CU79" i="2"/>
  <c r="CP14" i="2"/>
  <c r="CN79" i="2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7" i="3"/>
  <c r="CQ25" i="3"/>
  <c r="CQ24" i="3"/>
  <c r="CQ21" i="3"/>
  <c r="CQ20" i="3"/>
  <c r="CW49" i="2"/>
  <c r="CW44" i="2"/>
  <c r="CW43" i="2"/>
  <c r="CW33" i="2"/>
  <c r="CW27" i="2"/>
  <c r="CQ28" i="3"/>
  <c r="CQ23" i="3"/>
  <c r="CQ22" i="3"/>
  <c r="CQ18" i="3"/>
  <c r="CQ17" i="3"/>
  <c r="CQ16" i="3"/>
  <c r="CQ15" i="3"/>
  <c r="CW77" i="2"/>
  <c r="CW74" i="2"/>
  <c r="CW73" i="2"/>
  <c r="CW72" i="2"/>
  <c r="CW69" i="2"/>
  <c r="CW67" i="2"/>
  <c r="CW65" i="2"/>
  <c r="CW51" i="2"/>
  <c r="CW34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W62" i="2"/>
  <c r="CW61" i="2"/>
  <c r="CW60" i="2"/>
  <c r="CW56" i="2"/>
  <c r="CW55" i="2"/>
  <c r="CW53" i="2"/>
  <c r="CW46" i="2"/>
  <c r="CW41" i="2"/>
  <c r="CW38" i="2"/>
  <c r="CW37" i="2"/>
  <c r="CW35" i="2"/>
  <c r="CW30" i="2"/>
  <c r="CW29" i="2"/>
  <c r="CQ14" i="3" l="1"/>
  <c r="CQ77" i="3" s="1"/>
  <c r="CP77" i="3"/>
  <c r="CL14" i="3"/>
  <c r="CL77" i="3" s="1"/>
  <c r="CJ77" i="3"/>
  <c r="I3" i="2"/>
  <c r="E6" i="1"/>
  <c r="D3" i="3"/>
  <c r="CH13" i="3"/>
  <c r="F11" i="1"/>
  <c r="D24" i="1"/>
  <c r="CW14" i="2"/>
  <c r="CW79" i="2" s="1"/>
  <c r="CV79" i="2"/>
  <c r="CR14" i="2"/>
  <c r="CR79" i="2" s="1"/>
  <c r="CP79" i="2"/>
  <c r="B6" i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<sst xmlns="http://schemas.openxmlformats.org/spreadsheetml/2006/main" count="589" uniqueCount="175">
  <si>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</si>
  <si>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</si>
  <si>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</si>
  <si>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</si>
  <si>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</si>
  <si>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</si>
  <si>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</si>
  <si>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</si>
  <si>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</si>
  <si>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</si>
  <si>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</si>
  <si>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</si>
  <si>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</si>
  <si>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</si>
  <si>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</si>
  <si>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</si>
  <si>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</si>
  <si>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</si>
  <si>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</si>
  <si>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</si>
  <si>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</si>
  <si>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</si>
  <si>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</si>
  <si>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</si>
  <si>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</si>
  <si>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</si>
  <si>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</si>
  <si>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</si>
  <si>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</si>
  <si>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</si>
  <si>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</si>
  <si>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</si>
  <si>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</si>
  <si>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</si>
  <si>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</si>
  <si>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</si>
  <si>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</si>
  <si>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</si>
  <si>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</si>
  <si>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</si>
  <si>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</si>
  <si>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</si>
  <si>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</si>
  <si>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</si>
  <si>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</si>
  <si>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</si>
  <si>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</si>
  <si>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</si>
  <si>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</si>
  <si>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</si>
  <si>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</si>
  <si>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</si>
  <si>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</si>
  <si>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</si>
  <si>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</si>
  <si>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</si>
  <si>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</si>
  <si>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</si>
  <si>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</si>
  <si>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</si>
  <si>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</si>
  <si>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</si>
  <si>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</si>
  <si>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</si>
  <si>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</si>
  <si>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</si>
  <si>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</si>
  <si>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</si>
  <si>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</si>
  <si>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</si>
  <si>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</si>
  <si>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</si>
  <si>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</si>
  <si>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</si>
  <si>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</si>
  <si>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</si>
  <si>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</si>
  <si>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</si>
  <si>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</si>
  <si>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</si>
  <si>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</si>
  <si>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</si>
  <si>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</si>
  <si>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</si>
  <si>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</si>
  <si>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</si>
  <si>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</si>
  <si>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</si>
  <si>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</si>
  <si>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</si>
  <si>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</si>
  <si>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</si>
  <si>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</si>
  <si>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</si>
  <si>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</si>
  <si>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</si>
  <si>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</si>
  <si>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</si>
  <si>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</si>
  <si>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</si>
  <si>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</si>
  <si>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</si>
  <si>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</si>
  <si>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</si>
  <si>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</si>
  <si>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</si>
  <si>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</si>
  <si>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</si>
  <si>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</si>
  <si>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</si>
  <si>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</si>
  <si>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</si>
  <si>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17:05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</si>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</sst>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876</v>
      </c>
      <c r="C6" s="89"/>
      <c r="E6" s="88">
        <f>'Programa CAJAS REPORTE DIARIO'!CH77</f>
        <v>2274</v>
      </c>
      <c r="F6" s="89"/>
      <c r="H6" s="101">
        <f>B6+E6</f>
        <v>3150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545</v>
      </c>
      <c r="F23" s="70">
        <f t="shared" si="0"/>
        <v>762</v>
      </c>
      <c r="G23" s="70">
        <f t="shared" si="1"/>
        <v>3150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876</v>
      </c>
      <c r="E24" s="75">
        <f>SUM(E11:E23)</f>
        <v>2274</v>
      </c>
      <c r="F24" s="75">
        <f>SUM(F11:F23)</f>
        <v>3150</v>
      </c>
      <c r="G24" s="75">
        <f>F24</f>
        <v>3150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3150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2274</v>
      </c>
      <c r="F3" s="79" t="s">
        <v>1</v>
      </c>
      <c r="I3" s="80">
        <f>'Programa CASETAS REPORTE DIARIO'!CN79+CH77</f>
        <v>3150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545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2274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412</v>
      </c>
      <c r="CJ27" s="27">
        <f t="shared" si="3"/>
        <v>412</v>
      </c>
      <c r="CK27" s="22">
        <v>0</v>
      </c>
      <c r="CL27" s="22">
        <f t="shared" si="4"/>
        <v>412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315</v>
      </c>
      <c r="CJ28" s="27">
        <f t="shared" si="3"/>
        <v>315</v>
      </c>
      <c r="CK28" s="22">
        <v>0</v>
      </c>
      <c r="CL28" s="22">
        <f t="shared" si="4"/>
        <v>315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102</v>
      </c>
      <c r="CJ29" s="27">
        <f t="shared" si="3"/>
        <v>102</v>
      </c>
      <c r="CK29" s="22">
        <v>0</v>
      </c>
      <c r="CL29" s="22">
        <f t="shared" si="4"/>
        <v>102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150</v>
      </c>
      <c r="CJ53" s="27">
        <f t="shared" si="11"/>
        <v>150</v>
      </c>
      <c r="CK53" s="22">
        <v>0</v>
      </c>
      <c r="CL53" s="22">
        <f t="shared" si="12"/>
        <v>150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545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2274</v>
      </c>
      <c r="CJ77" s="25">
        <f>+SUM(CJ14:CJ76)</f>
        <v>2274</v>
      </c>
      <c r="CK77" s="25">
        <f>+SUM(CK14:CK76)</f>
        <v>0</v>
      </c>
      <c r="CL77" s="25">
        <f>+SUM(CL14:CL76)</f>
        <v>2274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8958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2026-10-29T23:05:52Z</dcterms:modified>
</cp:coreProperties>
</file>