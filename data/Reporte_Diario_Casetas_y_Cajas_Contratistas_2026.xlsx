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A0AC4BD-A1BF-42F6-BE01-A228D264EA63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Q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2" i="3" l="1"/>
  <c r="CQ35" i="3"/>
  <c r="CQ34" i="3"/>
  <c r="CQ15" i="3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Q67" i="3"/>
  <c r="CQ65" i="3"/>
  <c r="CQ62" i="3"/>
  <c r="CQ61" i="3"/>
  <c r="CW49" i="2"/>
  <c r="CQ60" i="3"/>
  <c r="CQ37" i="3"/>
  <c r="CQ46" i="3"/>
  <c r="CQ44" i="3"/>
  <c r="CQ41" i="3"/>
  <c r="CQ31" i="3"/>
  <c r="CQ24" i="3"/>
  <c r="CW48" i="2"/>
  <c r="CW15" i="2"/>
  <c r="CP14" i="2"/>
  <c r="CN79" i="2"/>
  <c r="B6" i="1" s="1"/>
  <c r="CO77" i="3"/>
  <c r="CP14" i="3"/>
  <c r="CH77" i="3"/>
  <c r="I3" i="3" s="1"/>
  <c r="CJ14" i="3"/>
  <c r="F11" i="1"/>
  <c r="D21" i="1"/>
  <c r="D3" i="2"/>
  <c r="CN13" i="2"/>
  <c r="CV43" i="2"/>
  <c r="CW43" i="2" s="1"/>
  <c r="CU79" i="2"/>
  <c r="CW14" i="2"/>
  <c r="CV79" i="2"/>
  <c r="CR14" i="2"/>
  <c r="CR79" i="2" s="1"/>
  <c r="CP79" i="2"/>
  <c r="CQ32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0" i="3"/>
  <c r="CQ39" i="3"/>
  <c r="CQ38" i="3"/>
  <c r="CQ36" i="3"/>
  <c r="CQ30" i="3"/>
  <c r="CQ29" i="3"/>
  <c r="CQ28" i="3"/>
  <c r="CQ27" i="3"/>
  <c r="CQ26" i="3"/>
  <c r="CQ25" i="3"/>
  <c r="CQ22" i="3"/>
  <c r="CQ18" i="3"/>
  <c r="CQ16" i="3"/>
  <c r="CQ2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Q74" i="3"/>
  <c r="CQ71" i="3"/>
  <c r="CQ70" i="3"/>
  <c r="CQ69" i="3"/>
  <c r="CQ68" i="3"/>
  <c r="CQ66" i="3"/>
  <c r="CQ33" i="3"/>
  <c r="CQ43" i="3"/>
  <c r="CQ23" i="3"/>
  <c r="CW47" i="2"/>
  <c r="CW46" i="2"/>
  <c r="CW45" i="2"/>
  <c r="CW44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Q76" i="3"/>
  <c r="CQ75" i="3"/>
  <c r="CQ73" i="3"/>
  <c r="CQ72" i="3"/>
  <c r="CQ64" i="3"/>
  <c r="CQ63" i="3"/>
  <c r="CQ45" i="3"/>
  <c r="CQ19" i="3"/>
  <c r="CQ17" i="3"/>
  <c r="E21" i="1" l="1"/>
  <c r="CW79" i="2"/>
  <c r="CQ14" i="3"/>
  <c r="CQ77" i="3" s="1"/>
  <c r="CP77" i="3"/>
  <c r="I3" i="2"/>
  <c r="D3" i="3"/>
  <c r="E6" i="1"/>
  <c r="H6" i="1" s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<sst xmlns="http://schemas.openxmlformats.org/spreadsheetml/2006/main" count="580" uniqueCount="171">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</sst>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456</v>
      </c>
      <c r="C6" s="89"/>
      <c r="E6" s="88">
        <f>'Programa CAJAS REPORTE DIARIO'!CH77</f>
        <v>1240</v>
      </c>
      <c r="F6" s="89"/>
      <c r="H6" s="101">
        <f>B6+E6</f>
        <v>1696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456</v>
      </c>
      <c r="F3" s="79" t="s">
        <v>1</v>
      </c>
      <c r="I3" s="80">
        <f>'Programa CAJAS REPORTE DIARIO'!CH77+CN79</f>
        <v>1696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112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22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31</v>
      </c>
      <c r="CP42" s="27">
        <f t="shared" si="4"/>
        <v>31</v>
      </c>
      <c r="CQ42" s="22">
        <v>0</v>
      </c>
      <c r="CR42" s="22">
        <f t="shared" si="5"/>
        <v>31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-31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112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456</v>
      </c>
      <c r="CP79" s="25">
        <f>+SUM(CP14:CP78)</f>
        <v>456</v>
      </c>
      <c r="CQ79" s="25">
        <f>+SUM(CQ14:CQ78)</f>
        <v>0</v>
      </c>
      <c r="CR79" s="25">
        <f>+SUM(CR14:CR78)</f>
        <v>456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1240</v>
      </c>
      <c r="F3" s="79" t="s">
        <v>1</v>
      </c>
      <c r="I3" s="80">
        <f>'Programa CASETAS REPORTE DIARIO'!CN79+CH77</f>
        <v>1696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381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8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12</v>
      </c>
      <c r="CJ41" s="27">
        <f t="shared" si="3"/>
        <v>12</v>
      </c>
      <c r="CK41" s="22">
        <v>0</v>
      </c>
      <c r="CL41" s="22">
        <f t="shared" si="4"/>
        <v>12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381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1240</v>
      </c>
      <c r="CJ77" s="25">
        <f>+SUM(CJ14:CJ76)</f>
        <v>1240</v>
      </c>
      <c r="CK77" s="25">
        <f>+SUM(CK14:CK76)</f>
        <v>0</v>
      </c>
      <c r="CL77" s="25">
        <f>+SUM(CL14:CL76)</f>
        <v>1240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2026-10-28T00:20:06Z</dcterms:modified>
</cp:coreProperties>
</file>