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09920E0-F48A-4E3A-AD59-6BD849FD5BDA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V14" i="2" s="1"/>
  <c r="CN14" i="2"/>
  <c r="CP14" i="2" s="1"/>
  <c r="CW41" i="2" l="1"/>
  <c r="CW55" i="2"/>
  <c r="CW51" i="2"/>
  <c r="CW52" i="2"/>
  <c r="CQ76" i="3"/>
  <c r="CQ69" i="3"/>
  <c r="CQ61" i="3"/>
  <c r="CQ59" i="3"/>
  <c r="CW19" i="2"/>
  <c r="CW18" i="2"/>
  <c r="E24" i="1"/>
  <c r="AU13" i="3"/>
  <c r="E23" i="1"/>
  <c r="AT13" i="3"/>
  <c r="AS13" i="3"/>
  <c r="E22" i="1"/>
  <c r="E21" i="1"/>
  <c r="AR13" i="3"/>
  <c r="E20" i="1"/>
  <c r="AQ13" i="3"/>
  <c r="AP13" i="3"/>
  <c r="E19" i="1"/>
  <c r="AO13" i="3"/>
  <c r="E18" i="1"/>
  <c r="E17" i="1"/>
  <c r="AN13" i="3"/>
  <c r="E16" i="1"/>
  <c r="AM13" i="3"/>
  <c r="AL13" i="3"/>
  <c r="E15" i="1"/>
  <c r="AK13" i="3"/>
  <c r="E14" i="1"/>
  <c r="E13" i="1"/>
  <c r="AJ13" i="3"/>
  <c r="AI13" i="3"/>
  <c r="E12" i="1"/>
  <c r="E11" i="1"/>
  <c r="AH13" i="3"/>
  <c r="CP32" i="3"/>
  <c r="CO77" i="3"/>
  <c r="CJ19" i="3"/>
  <c r="CH77" i="3"/>
  <c r="CQ14" i="3"/>
  <c r="CL14" i="3"/>
  <c r="CJ77" i="3"/>
  <c r="AO13" i="2"/>
  <c r="D24" i="1"/>
  <c r="AN13" i="2"/>
  <c r="D23" i="1"/>
  <c r="AM13" i="2"/>
  <c r="D22" i="1"/>
  <c r="AL13" i="2"/>
  <c r="D21" i="1"/>
  <c r="D20" i="1"/>
  <c r="AK13" i="2"/>
  <c r="D19" i="1"/>
  <c r="AJ13" i="2"/>
  <c r="D18" i="1"/>
  <c r="AI13" i="2"/>
  <c r="D17" i="1"/>
  <c r="AH13" i="2"/>
  <c r="D16" i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V30" i="2"/>
  <c r="CW30" i="2" s="1"/>
  <c r="CU79" i="2"/>
  <c r="CN79" i="2"/>
  <c r="CP17" i="2"/>
  <c r="CW14" i="2"/>
  <c r="CV79" i="2"/>
  <c r="CR14" i="2"/>
  <c r="CP79" i="2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0" i="2"/>
  <c r="CW44" i="2"/>
  <c r="CW40" i="2"/>
  <c r="CW38" i="2"/>
  <c r="CW37" i="2"/>
  <c r="CW36" i="2"/>
  <c r="CW35" i="2"/>
  <c r="CW34" i="2"/>
  <c r="CW33" i="2"/>
  <c r="CW32" i="2"/>
  <c r="CW31" i="2"/>
  <c r="CW29" i="2"/>
  <c r="CW28" i="2"/>
  <c r="CW27" i="2"/>
  <c r="CW25" i="2"/>
  <c r="CW24" i="2"/>
  <c r="CW16" i="2"/>
  <c r="CQ75" i="3"/>
  <c r="CQ74" i="3"/>
  <c r="CQ73" i="3"/>
  <c r="CQ72" i="3"/>
  <c r="CQ60" i="3"/>
  <c r="CQ56" i="3"/>
  <c r="CW54" i="2"/>
  <c r="CW48" i="2"/>
  <c r="CW46" i="2"/>
  <c r="CW26" i="2"/>
  <c r="CW20" i="2"/>
  <c r="CQ71" i="3"/>
  <c r="CQ70" i="3"/>
  <c r="CQ68" i="3"/>
  <c r="CQ67" i="3"/>
  <c r="CQ66" i="3"/>
  <c r="CQ65" i="3"/>
  <c r="CQ64" i="3"/>
  <c r="CQ63" i="3"/>
  <c r="CQ62" i="3"/>
  <c r="CQ58" i="3"/>
  <c r="CQ57" i="3"/>
  <c r="CQ55" i="3"/>
  <c r="CW56" i="2"/>
  <c r="CW53" i="2"/>
  <c r="CW50" i="2"/>
  <c r="CW43" i="2"/>
  <c r="E25" i="1" l="1"/>
  <c r="F23" i="1"/>
  <c r="F22" i="1"/>
  <c r="F20" i="1"/>
  <c r="F19" i="1"/>
  <c r="F17" i="1"/>
  <c r="F16" i="1"/>
  <c r="F24" i="1"/>
  <c r="F21" i="1"/>
  <c r="F18" i="1"/>
  <c r="CQ32" i="3"/>
  <c r="CP77" i="3"/>
  <c r="CQ19" i="3"/>
  <c r="CQ77" i="3" s="1"/>
  <c r="CL19" i="3"/>
  <c r="CL77" i="3" s="1"/>
  <c r="I3" i="2"/>
  <c r="D3" i="3"/>
  <c r="CH13" i="3"/>
  <c r="E6" i="1"/>
  <c r="D25" i="1"/>
  <c r="F11" i="1"/>
  <c r="B6" i="1"/>
  <c r="D3" i="2"/>
  <c r="CN13" i="2"/>
  <c r="I3" i="3"/>
  <c r="CW17" i="2"/>
  <c r="CW79" i="2" s="1"/>
  <c r="CR17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<sst xmlns="http://schemas.openxmlformats.org/spreadsheetml/2006/main" count="592" uniqueCount="176">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</sst>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918</v>
      </c>
      <c r="C6" s="89"/>
      <c r="E6" s="88">
        <f>'Programa CAJAS REPORTE DIARIO'!CH77</f>
        <v>2521</v>
      </c>
      <c r="F6" s="89"/>
      <c r="H6" s="101">
        <f>B6+E6</f>
        <v>3439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</v>
      </c>
      <c r="E24" s="72">
        <f>'Programa CAJAS REPORTE DIARIO'!AU77</f>
        <v>46</v>
      </c>
      <c r="F24" s="72">
        <f t="shared" si="0"/>
        <v>56</v>
      </c>
      <c r="G24" s="72">
        <f t="shared" si="1"/>
        <v>3439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918</v>
      </c>
      <c r="E25" s="75">
        <f>SUM(E11:E24)</f>
        <v>2521</v>
      </c>
      <c r="F25" s="75">
        <f>SUM(F11:F24)</f>
        <v>3439</v>
      </c>
      <c r="G25" s="75">
        <f>F25</f>
        <v>3439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918</v>
      </c>
      <c r="F3" s="79" t="s">
        <v>1</v>
      </c>
      <c r="I3" s="80">
        <f>'Programa CAJAS REPORTE DIARIO'!CH77+CN79</f>
        <v>3439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918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3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116</v>
      </c>
      <c r="CP29" s="27">
        <f t="shared" si="4"/>
        <v>116</v>
      </c>
      <c r="CQ29" s="22">
        <v>0</v>
      </c>
      <c r="CR29" s="22">
        <f t="shared" si="5"/>
        <v>116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6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68</v>
      </c>
      <c r="CP56" s="27">
        <f t="shared" si="11"/>
        <v>68</v>
      </c>
      <c r="CQ56" s="22">
        <v>0</v>
      </c>
      <c r="CR56" s="22">
        <f t="shared" si="12"/>
        <v>68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-68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918</v>
      </c>
      <c r="CP79" s="25">
        <f>+SUM(CP14:CP78)</f>
        <v>918</v>
      </c>
      <c r="CQ79" s="25">
        <f>+SUM(CQ14:CQ78)</f>
        <v>0</v>
      </c>
      <c r="CR79" s="25">
        <f>+SUM(CR14:CR78)</f>
        <v>918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6348.5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2521</v>
      </c>
      <c r="F3" s="79" t="s">
        <v>1</v>
      </c>
      <c r="I3" s="80">
        <f>'Programa CASETAS REPORTE DIARIO'!CN79+CH77</f>
        <v>3439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46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2521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440</v>
      </c>
      <c r="CJ27" s="27">
        <f t="shared" si="3"/>
        <v>440</v>
      </c>
      <c r="CK27" s="22">
        <v>0</v>
      </c>
      <c r="CL27" s="22">
        <f t="shared" si="4"/>
        <v>440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331</v>
      </c>
      <c r="CJ28" s="27">
        <f t="shared" si="3"/>
        <v>331</v>
      </c>
      <c r="CK28" s="22">
        <v>0</v>
      </c>
      <c r="CL28" s="22">
        <f t="shared" si="4"/>
        <v>331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107</v>
      </c>
      <c r="CJ29" s="27">
        <f t="shared" si="3"/>
        <v>107</v>
      </c>
      <c r="CK29" s="22">
        <v>0</v>
      </c>
      <c r="CL29" s="22">
        <f t="shared" si="4"/>
        <v>107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9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95</v>
      </c>
      <c r="CJ37" s="27">
        <f t="shared" si="3"/>
        <v>95</v>
      </c>
      <c r="CK37" s="22">
        <v>0</v>
      </c>
      <c r="CL37" s="22">
        <f t="shared" si="4"/>
        <v>95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181</v>
      </c>
      <c r="CJ43" s="27">
        <f t="shared" si="3"/>
        <v>181</v>
      </c>
      <c r="CK43" s="22">
        <v>0</v>
      </c>
      <c r="CL43" s="22">
        <f t="shared" si="4"/>
        <v>181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-161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175</v>
      </c>
      <c r="CJ53" s="27">
        <f t="shared" si="11"/>
        <v>175</v>
      </c>
      <c r="CK53" s="22">
        <v>0</v>
      </c>
      <c r="CL53" s="22">
        <f t="shared" si="12"/>
        <v>175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46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2521</v>
      </c>
      <c r="CJ77" s="25">
        <f>+SUM(CJ14:CJ76)</f>
        <v>2521</v>
      </c>
      <c r="CK77" s="25">
        <f>+SUM(CK14:CK76)</f>
        <v>0</v>
      </c>
      <c r="CL77" s="25">
        <f>+SUM(CL14:CL76)</f>
        <v>2521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8873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2026-10-30T16:27:56Z</dcterms:modified>
</cp:coreProperties>
</file>