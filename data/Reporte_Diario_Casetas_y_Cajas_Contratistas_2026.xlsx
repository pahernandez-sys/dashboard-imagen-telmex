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488A5CF-E60E-4956-B0C2-83CC742044A1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E20" i="1"/>
  <c r="E19" i="1"/>
  <c r="E18" i="1"/>
  <c r="E17" i="1"/>
  <c r="E16" i="1"/>
  <c r="E15" i="1"/>
  <c r="E14" i="1"/>
  <c r="E13" i="1"/>
  <c r="E12" i="1"/>
  <c r="E11" i="1"/>
  <c r="E21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38" i="3" l="1"/>
  <c r="CW56" i="2"/>
  <c r="CQ65" i="3"/>
  <c r="CQ61" i="3"/>
  <c r="CQ46" i="3"/>
  <c r="CQ44" i="3"/>
  <c r="CQ41" i="3"/>
  <c r="CQ30" i="3"/>
  <c r="CQ29" i="3"/>
  <c r="CQ28" i="3"/>
  <c r="CW43" i="2"/>
  <c r="CW33" i="2"/>
  <c r="D20" i="1"/>
  <c r="F20" i="1" s="1"/>
  <c r="AK13" i="2"/>
  <c r="D19" i="1"/>
  <c r="F19" i="1" s="1"/>
  <c r="AJ13" i="2"/>
  <c r="D18" i="1"/>
  <c r="F18" i="1" s="1"/>
  <c r="AI13" i="2"/>
  <c r="D17" i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W49" i="2"/>
  <c r="CR49" i="2"/>
  <c r="CO77" i="3"/>
  <c r="CP14" i="3"/>
  <c r="CH77" i="3"/>
  <c r="CJ14" i="3"/>
  <c r="F11" i="1"/>
  <c r="CV14" i="2"/>
  <c r="CU79" i="2"/>
  <c r="CN79" i="2"/>
  <c r="CP14" i="2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5" i="3"/>
  <c r="CQ43" i="3"/>
  <c r="CQ40" i="3"/>
  <c r="CQ37" i="3"/>
  <c r="CQ36" i="3"/>
  <c r="CQ35" i="3"/>
  <c r="CQ34" i="3"/>
  <c r="CQ27" i="3"/>
  <c r="CQ26" i="3"/>
  <c r="CQ25" i="3"/>
  <c r="CQ24" i="3"/>
  <c r="CQ23" i="3"/>
  <c r="CQ22" i="3"/>
  <c r="CQ20" i="3"/>
  <c r="CQ19" i="3"/>
  <c r="CQ18" i="3"/>
  <c r="CQ17" i="3"/>
  <c r="CQ16" i="3"/>
  <c r="CQ47" i="3"/>
  <c r="CQ42" i="3"/>
  <c r="CQ39" i="3"/>
  <c r="CQ33" i="3"/>
  <c r="CQ32" i="3"/>
  <c r="CQ31" i="3"/>
  <c r="CQ21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5" i="2"/>
  <c r="CW54" i="2"/>
  <c r="CW53" i="2"/>
  <c r="CW52" i="2"/>
  <c r="CW51" i="2"/>
  <c r="CW50" i="2"/>
  <c r="CW48" i="2"/>
  <c r="CW47" i="2"/>
  <c r="CW46" i="2"/>
  <c r="CW45" i="2"/>
  <c r="CW44" i="2"/>
  <c r="CW42" i="2"/>
  <c r="CW41" i="2"/>
  <c r="CW40" i="2"/>
  <c r="CW39" i="2"/>
  <c r="CW38" i="2"/>
  <c r="CW37" i="2"/>
  <c r="CW36" i="2"/>
  <c r="CW35" i="2"/>
  <c r="CW34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4" i="3"/>
  <c r="CQ63" i="3"/>
  <c r="CQ62" i="3"/>
  <c r="F17" i="1" l="1"/>
  <c r="D21" i="1"/>
  <c r="CQ14" i="3"/>
  <c r="CQ77" i="3" s="1"/>
  <c r="CP77" i="3"/>
  <c r="I3" i="2"/>
  <c r="D3" i="3"/>
  <c r="E6" i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I3" i="3"/>
  <c r="D3" i="2"/>
  <c r="B6" i="1"/>
  <c r="CN1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<sst xmlns="http://schemas.openxmlformats.org/spreadsheetml/2006/main" count="580" uniqueCount="171">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</sst>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463</v>
      </c>
      <c r="C6" s="89"/>
      <c r="E6" s="88">
        <f>'Programa CAJAS REPORTE DIARIO'!CH77</f>
        <v>1305</v>
      </c>
      <c r="F6" s="89"/>
      <c r="H6" s="101">
        <f>B6+E6</f>
        <v>1768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463</v>
      </c>
      <c r="F3" s="79" t="s">
        <v>1</v>
      </c>
      <c r="I3" s="80">
        <f>'Programa CAJAS REPORTE DIARIO'!CH77+CN79</f>
        <v>1768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119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29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38</v>
      </c>
      <c r="CP42" s="27">
        <f t="shared" si="4"/>
        <v>38</v>
      </c>
      <c r="CQ42" s="22">
        <v>0</v>
      </c>
      <c r="CR42" s="22">
        <f t="shared" si="5"/>
        <v>38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-38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119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463</v>
      </c>
      <c r="CP79" s="25">
        <f>+SUM(CP14:CP78)</f>
        <v>463</v>
      </c>
      <c r="CQ79" s="25">
        <f>+SUM(CQ14:CQ78)</f>
        <v>0</v>
      </c>
      <c r="CR79" s="25">
        <f>+SUM(CR14:CR78)</f>
        <v>463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2669.5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1768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2026-10-28T01:14:15Z</dcterms:modified>
</cp:coreProperties>
</file>