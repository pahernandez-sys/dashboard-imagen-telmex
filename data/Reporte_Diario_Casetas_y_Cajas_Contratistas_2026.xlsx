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D848892-DD01-44B0-970B-410825160B5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Q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Q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CQ25" i="3" l="1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W71" i="2"/>
  <c r="CW64" i="2"/>
  <c r="CW62" i="2"/>
  <c r="CW63" i="2"/>
  <c r="CQ41" i="3"/>
  <c r="CQ38" i="3"/>
  <c r="CQ36" i="3"/>
  <c r="CQ30" i="3"/>
  <c r="CW76" i="2"/>
  <c r="CW67" i="2"/>
  <c r="CW72" i="2"/>
  <c r="CW30" i="2"/>
  <c r="CW29" i="2"/>
  <c r="CW21" i="2"/>
  <c r="CW20" i="2"/>
  <c r="CW19" i="2"/>
  <c r="CW17" i="2"/>
  <c r="E22" i="1"/>
  <c r="F22" i="1" s="1"/>
  <c r="AS13" i="3"/>
  <c r="E21" i="1"/>
  <c r="F21" i="1" s="1"/>
  <c r="AR13" i="3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E12" i="1"/>
  <c r="F12" i="1" s="1"/>
  <c r="AI13" i="3"/>
  <c r="AH13" i="3"/>
  <c r="E11" i="1"/>
  <c r="CH77" i="3"/>
  <c r="CJ46" i="3"/>
  <c r="CP32" i="3"/>
  <c r="CQ32" i="3" s="1"/>
  <c r="CO77" i="3"/>
  <c r="CQ14" i="3"/>
  <c r="CP77" i="3"/>
  <c r="CL14" i="3"/>
  <c r="CJ77" i="3"/>
  <c r="F11" i="1"/>
  <c r="D23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45" i="3"/>
  <c r="CQ44" i="3"/>
  <c r="CQ40" i="3"/>
  <c r="CQ37" i="3"/>
  <c r="CQ35" i="3"/>
  <c r="CQ34" i="3"/>
  <c r="CQ31" i="3"/>
  <c r="CQ27" i="3"/>
  <c r="CQ24" i="3"/>
  <c r="CQ23" i="3"/>
  <c r="CQ18" i="3"/>
  <c r="CQ17" i="3"/>
  <c r="CQ16" i="3"/>
  <c r="CQ15" i="3"/>
  <c r="CW75" i="2"/>
  <c r="CW74" i="2"/>
  <c r="CW70" i="2"/>
  <c r="CW61" i="2"/>
  <c r="CW28" i="2"/>
  <c r="CW24" i="2"/>
  <c r="CQ53" i="3"/>
  <c r="CQ52" i="3"/>
  <c r="CQ51" i="3"/>
  <c r="CQ50" i="3"/>
  <c r="CQ49" i="3"/>
  <c r="CQ48" i="3"/>
  <c r="CQ47" i="3"/>
  <c r="CQ43" i="3"/>
  <c r="CQ42" i="3"/>
  <c r="CQ39" i="3"/>
  <c r="CQ33" i="3"/>
  <c r="CQ29" i="3"/>
  <c r="CQ26" i="3"/>
  <c r="CQ22" i="3"/>
  <c r="CQ21" i="3"/>
  <c r="CQ20" i="3"/>
  <c r="CW57" i="2"/>
  <c r="CW26" i="2"/>
  <c r="CW18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16" i="2"/>
  <c r="CW15" i="2"/>
  <c r="CW77" i="2"/>
  <c r="CW73" i="2"/>
  <c r="CW66" i="2"/>
  <c r="CW65" i="2"/>
  <c r="CW59" i="2"/>
  <c r="CW27" i="2"/>
  <c r="CW25" i="2"/>
  <c r="CW23" i="2"/>
  <c r="CW22" i="2"/>
  <c r="I3" i="2" l="1"/>
  <c r="E6" i="1"/>
  <c r="D3" i="3"/>
  <c r="CH13" i="3"/>
  <c r="CQ46" i="3"/>
  <c r="CQ77" i="3" s="1"/>
  <c r="CL46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B6" i="1"/>
  <c r="I3" i="3"/>
  <c r="D3" i="2"/>
  <c r="CN13" i="2"/>
  <c r="CR14" i="2"/>
  <c r="CR79" i="2" s="1"/>
  <c r="CP79" i="2"/>
  <c r="E23" i="1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<sst xmlns="http://schemas.openxmlformats.org/spreadsheetml/2006/main" count="586" uniqueCount="174">
  <si>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</si>
  <si>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</si>
  <si>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</si>
  <si>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</si>
  <si>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</si>
  <si>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</si>
  <si>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</si>
  <si>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</si>
  <si>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</si>
  <si>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</si>
  <si>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</si>
  <si>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</si>
  <si>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</si>
  <si>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</si>
  <si>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</si>
  <si>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</si>
  <si>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</si>
  <si>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</si>
  <si>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</si>
  <si>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</si>
  <si>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</si>
  <si>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</si>
  <si>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</si>
  <si>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</si>
  <si>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</si>
  <si>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</si>
  <si>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</si>
  <si>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</si>
  <si>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</si>
  <si>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</si>
  <si>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</si>
  <si>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</si>
  <si>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</si>
  <si>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</si>
  <si>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</si>
  <si>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</si>
  <si>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</si>
  <si>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</si>
  <si>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</si>
  <si>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</si>
  <si>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</si>
  <si>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</si>
  <si>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</si>
  <si>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</si>
  <si>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</si>
  <si>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</si>
  <si>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</si>
  <si>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</si>
  <si>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</si>
  <si>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</si>
  <si>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</si>
  <si>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</si>
  <si>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</si>
  <si>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</si>
  <si>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</si>
  <si>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</si>
  <si>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</si>
  <si>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</si>
  <si>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</si>
  <si>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</si>
  <si>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</si>
  <si>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</si>
  <si>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</si>
  <si>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</si>
  <si>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</si>
  <si>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</si>
  <si>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</si>
  <si>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</si>
  <si>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</si>
  <si>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</si>
  <si>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</si>
  <si>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</si>
  <si>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</si>
  <si>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</si>
  <si>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</si>
  <si>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</si>
  <si>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</si>
  <si>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</si>
  <si>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</si>
  <si>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</si>
  <si>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</si>
  <si>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</si>
  <si>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</si>
  <si>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</si>
  <si>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</si>
  <si>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</si>
  <si>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</si>
  <si>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</si>
  <si>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</si>
  <si>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</si>
  <si>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</si>
  <si>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</si>
  <si>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</si>
  <si>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</si>
  <si>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</si>
  <si>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</si>
  <si>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</si>
  <si>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</si>
  <si>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</si>
  <si>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</si>
  <si>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</si>
  <si>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</si>
  <si>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</si>
  <si>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</si>
  <si>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</si>
  <si>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</si>
  <si>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</si>
  <si>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</si>
  <si>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</si>
  <si>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</si>
  <si>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</si>
  <si>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</si>
  <si>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20:33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</si>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</sst>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1719</v>
      </c>
      <c r="F6" s="89"/>
      <c r="H6" s="101">
        <f>B6+E6</f>
        <v>2378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394</v>
      </c>
      <c r="F22" s="72">
        <f t="shared" si="0"/>
        <v>571</v>
      </c>
      <c r="G22" s="72">
        <f t="shared" si="1"/>
        <v>2378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1719</v>
      </c>
      <c r="F23" s="75">
        <f>SUM(F11:F22)</f>
        <v>2378</v>
      </c>
      <c r="G23" s="75">
        <f>F23</f>
        <v>2378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2378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1719</v>
      </c>
      <c r="F3" s="79" t="s">
        <v>1</v>
      </c>
      <c r="I3" s="80">
        <f>'Programa CASETAS REPORTE DIARIO'!CN79+CH77</f>
        <v>2378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394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1719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34</v>
      </c>
      <c r="CJ41" s="27">
        <f t="shared" si="3"/>
        <v>34</v>
      </c>
      <c r="CK41" s="22">
        <v>0</v>
      </c>
      <c r="CL41" s="22">
        <f t="shared" si="4"/>
        <v>34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394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1719</v>
      </c>
      <c r="CJ77" s="25">
        <f>+SUM(CJ14:CJ76)</f>
        <v>1719</v>
      </c>
      <c r="CK77" s="25">
        <f>+SUM(CK14:CK76)</f>
        <v>0</v>
      </c>
      <c r="CL77" s="25">
        <f>+SUM(CL14:CL76)</f>
        <v>1719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2026-10-29T02:33:19Z</dcterms:modified>
</cp:coreProperties>
</file>