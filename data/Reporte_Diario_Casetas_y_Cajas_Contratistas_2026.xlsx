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8096EB6-B971-4539-8891-BB188BF5BA85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W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W54" i="2" l="1"/>
  <c r="CW59" i="2"/>
  <c r="CW56" i="2"/>
  <c r="CW51" i="2"/>
  <c r="CW38" i="2"/>
  <c r="CW31" i="2"/>
  <c r="CW30" i="2"/>
  <c r="CW29" i="2"/>
  <c r="CW26" i="2"/>
  <c r="CW25" i="2"/>
  <c r="CW22" i="2"/>
  <c r="CW18" i="2"/>
  <c r="CW17" i="2"/>
  <c r="CW78" i="2"/>
  <c r="CQ74" i="3"/>
  <c r="CW77" i="2"/>
  <c r="CW16" i="2"/>
  <c r="E23" i="1"/>
  <c r="AT13" i="3"/>
  <c r="CW71" i="2"/>
  <c r="CW44" i="2"/>
  <c r="E22" i="1"/>
  <c r="AS13" i="3"/>
  <c r="AR13" i="3"/>
  <c r="E21" i="1"/>
  <c r="E20" i="1"/>
  <c r="AQ13" i="3"/>
  <c r="E19" i="1"/>
  <c r="AP13" i="3"/>
  <c r="AO13" i="3"/>
  <c r="E18" i="1"/>
  <c r="E17" i="1"/>
  <c r="AN13" i="3"/>
  <c r="E16" i="1"/>
  <c r="AM13" i="3"/>
  <c r="AL13" i="3"/>
  <c r="E15" i="1"/>
  <c r="E14" i="1"/>
  <c r="AK13" i="3"/>
  <c r="E13" i="1"/>
  <c r="AJ13" i="3"/>
  <c r="E12" i="1"/>
  <c r="AI13" i="3"/>
  <c r="E11" i="1"/>
  <c r="AH13" i="3"/>
  <c r="CO77" i="3"/>
  <c r="CP14" i="3"/>
  <c r="CH77" i="3"/>
  <c r="CJ14" i="3"/>
  <c r="D23" i="1"/>
  <c r="F23" i="1" s="1"/>
  <c r="AN13" i="2"/>
  <c r="D22" i="1"/>
  <c r="AM13" i="2"/>
  <c r="AL13" i="2"/>
  <c r="D21" i="1"/>
  <c r="AK13" i="2"/>
  <c r="D20" i="1"/>
  <c r="D19" i="1"/>
  <c r="AJ13" i="2"/>
  <c r="D18" i="1"/>
  <c r="AI13" i="2"/>
  <c r="D17" i="1"/>
  <c r="AH13" i="2"/>
  <c r="D16" i="1"/>
  <c r="AG13" i="2"/>
  <c r="AF13" i="2"/>
  <c r="D15" i="1"/>
  <c r="D14" i="1"/>
  <c r="AE13" i="2"/>
  <c r="D13" i="1"/>
  <c r="AD13" i="2"/>
  <c r="D12" i="1"/>
  <c r="AC13" i="2"/>
  <c r="D11" i="1"/>
  <c r="AB13" i="2"/>
  <c r="CP72" i="2"/>
  <c r="CN79" i="2"/>
  <c r="CV57" i="2"/>
  <c r="CW57" i="2" s="1"/>
  <c r="CU79" i="2"/>
  <c r="CW14" i="2"/>
  <c r="CV79" i="2"/>
  <c r="CR14" i="2"/>
  <c r="CP79" i="2"/>
  <c r="CQ73" i="3"/>
  <c r="CQ72" i="3"/>
  <c r="CQ71" i="3"/>
  <c r="CQ70" i="3"/>
  <c r="CQ69" i="3"/>
  <c r="CQ68" i="3"/>
  <c r="CQ67" i="3"/>
  <c r="CQ66" i="3"/>
  <c r="CQ65" i="3"/>
  <c r="CQ64" i="3"/>
  <c r="CQ63" i="3"/>
  <c r="CQ62" i="3"/>
  <c r="CQ19" i="3"/>
  <c r="CQ16" i="3"/>
  <c r="CQ15" i="3"/>
  <c r="CW73" i="2"/>
  <c r="CW61" i="2"/>
  <c r="CW60" i="2"/>
  <c r="CW37" i="2"/>
  <c r="CW27" i="2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W74" i="2"/>
  <c r="CW69" i="2"/>
  <c r="CW67" i="2"/>
  <c r="CQ76" i="3"/>
  <c r="CQ75" i="3"/>
  <c r="CW75" i="2"/>
  <c r="CW65" i="2"/>
  <c r="CW63" i="2"/>
  <c r="CW62" i="2"/>
  <c r="CW55" i="2"/>
  <c r="CW45" i="2"/>
  <c r="CW43" i="2"/>
  <c r="CW42" i="2"/>
  <c r="CW41" i="2"/>
  <c r="CW40" i="2"/>
  <c r="CW39" i="2"/>
  <c r="CW36" i="2"/>
  <c r="CW35" i="2"/>
  <c r="CW34" i="2"/>
  <c r="CW33" i="2"/>
  <c r="CW32" i="2"/>
  <c r="CW28" i="2"/>
  <c r="CW24" i="2"/>
  <c r="CW23" i="2"/>
  <c r="CW21" i="2"/>
  <c r="CW20" i="2"/>
  <c r="CW19" i="2"/>
  <c r="CW15" i="2"/>
  <c r="CW50" i="2"/>
  <c r="CW49" i="2"/>
  <c r="CW48" i="2"/>
  <c r="CW47" i="2"/>
  <c r="CW46" i="2"/>
  <c r="CQ14" i="3" l="1"/>
  <c r="CQ77" i="3" s="1"/>
  <c r="CP77" i="3"/>
  <c r="I3" i="2"/>
  <c r="E6" i="1"/>
  <c r="D3" i="3"/>
  <c r="CH13" i="3"/>
  <c r="CJ77" i="3"/>
  <c r="CL14" i="3"/>
  <c r="CL77" i="3" s="1"/>
  <c r="F11" i="1"/>
  <c r="D24" i="1"/>
  <c r="CW72" i="2"/>
  <c r="CW79" i="2" s="1"/>
  <c r="CR72" i="2"/>
  <c r="CR79" i="2" s="1"/>
  <c r="B6" i="1"/>
  <c r="I3" i="3"/>
  <c r="D3" i="2"/>
  <c r="CN13" i="2"/>
  <c r="E24" i="1"/>
  <c r="F22" i="1"/>
  <c r="F21" i="1"/>
  <c r="F20" i="1"/>
  <c r="F18" i="1"/>
  <c r="F17" i="1"/>
  <c r="F19" i="1"/>
  <c r="F16" i="1"/>
  <c r="F15" i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<sst xmlns="http://schemas.openxmlformats.org/spreadsheetml/2006/main" count="589" uniqueCount="175">
  <si>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</si>
  <si>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</si>
  <si>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</si>
  <si>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</si>
  <si>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</si>
  <si>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</si>
  <si>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</si>
  <si>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</si>
  <si>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</si>
  <si>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</si>
  <si>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</si>
  <si>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</si>
  <si>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</si>
  <si>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</si>
  <si>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</si>
  <si>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</si>
  <si>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</si>
  <si>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</si>
  <si>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</si>
  <si>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</si>
  <si>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</si>
  <si>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</si>
  <si>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</si>
  <si>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</si>
  <si>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</si>
  <si>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</si>
  <si>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</si>
  <si>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</si>
  <si>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</si>
  <si>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</si>
  <si>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</si>
  <si>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</si>
  <si>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</si>
  <si>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</si>
  <si>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</si>
  <si>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</si>
  <si>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</si>
  <si>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</si>
  <si>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</si>
  <si>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</si>
  <si>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</si>
  <si>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</si>
  <si>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</si>
  <si>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</si>
  <si>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</si>
  <si>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</si>
  <si>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</si>
  <si>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</si>
  <si>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</si>
  <si>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</si>
  <si>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</si>
  <si>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</si>
  <si>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</si>
  <si>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</si>
  <si>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</si>
  <si>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</si>
  <si>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</si>
  <si>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</si>
  <si>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</si>
  <si>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</si>
  <si>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</si>
  <si>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</si>
  <si>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</si>
  <si>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</si>
  <si>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</si>
  <si>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</si>
  <si>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</si>
  <si>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</si>
  <si>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</si>
  <si>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</si>
  <si>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</si>
  <si>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</si>
  <si>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</si>
  <si>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</si>
  <si>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</si>
  <si>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</si>
  <si>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</si>
  <si>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</si>
  <si>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</si>
  <si>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</si>
  <si>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</si>
  <si>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</si>
  <si>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</si>
  <si>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</si>
  <si>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</si>
  <si>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</si>
  <si>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</si>
  <si>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</si>
  <si>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</si>
  <si>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</si>
  <si>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</si>
  <si>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</si>
  <si>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</si>
  <si>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</si>
  <si>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</si>
  <si>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</si>
  <si>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</si>
  <si>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</si>
  <si>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</si>
  <si>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</si>
  <si>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</si>
  <si>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</si>
  <si>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</si>
  <si>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</si>
  <si>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</si>
  <si>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</si>
  <si>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</si>
  <si>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</si>
  <si>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</si>
  <si>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</si>
  <si>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</si>
  <si>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</si>
  <si>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12:31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</si>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</sst>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729</v>
      </c>
      <c r="C6" s="89"/>
      <c r="E6" s="88">
        <f>'Programa CAJAS REPORTE DIARIO'!CH77</f>
        <v>1935</v>
      </c>
      <c r="F6" s="89"/>
      <c r="H6" s="101">
        <f>B6+E6</f>
        <v>2664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70</v>
      </c>
      <c r="E23" s="70">
        <f>'Programa CAJAS REPORTE DIARIO'!AT77</f>
        <v>206</v>
      </c>
      <c r="F23" s="70">
        <f t="shared" si="0"/>
        <v>276</v>
      </c>
      <c r="G23" s="70">
        <f t="shared" si="1"/>
        <v>2664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729</v>
      </c>
      <c r="E24" s="75">
        <f>SUM(E11:E23)</f>
        <v>1935</v>
      </c>
      <c r="F24" s="75">
        <f>SUM(F11:F23)</f>
        <v>2664</v>
      </c>
      <c r="G24" s="75">
        <f>F24</f>
        <v>2664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729</v>
      </c>
      <c r="F3" s="79" t="s">
        <v>1</v>
      </c>
      <c r="I3" s="80">
        <f>'Programa CAJAS REPORTE DIARIO'!CH77+CN79</f>
        <v>2664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70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729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163</v>
      </c>
      <c r="CP28" s="27">
        <f t="shared" si="4"/>
        <v>163</v>
      </c>
      <c r="CQ28" s="22">
        <v>0</v>
      </c>
      <c r="CR28" s="22">
        <f t="shared" si="5"/>
        <v>163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102</v>
      </c>
      <c r="CP29" s="27">
        <f t="shared" si="4"/>
        <v>102</v>
      </c>
      <c r="CQ29" s="22">
        <v>0</v>
      </c>
      <c r="CR29" s="22">
        <f t="shared" si="5"/>
        <v>102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72</v>
      </c>
      <c r="CP42" s="27">
        <f t="shared" si="4"/>
        <v>72</v>
      </c>
      <c r="CQ42" s="22">
        <v>0</v>
      </c>
      <c r="CR42" s="22">
        <f t="shared" si="5"/>
        <v>72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70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729</v>
      </c>
      <c r="CP79" s="25">
        <f>+SUM(CP14:CP78)</f>
        <v>729</v>
      </c>
      <c r="CQ79" s="25">
        <f>+SUM(CQ14:CQ78)</f>
        <v>0</v>
      </c>
      <c r="CR79" s="25">
        <f>+SUM(CR14:CR78)</f>
        <v>729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6537.5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1935</v>
      </c>
      <c r="F3" s="79" t="s">
        <v>1</v>
      </c>
      <c r="I3" s="80">
        <f>'Programa CASETAS REPORTE DIARIO'!CN79+CH77</f>
        <v>2664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206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1935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25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390</v>
      </c>
      <c r="CJ27" s="27">
        <f t="shared" si="3"/>
        <v>390</v>
      </c>
      <c r="CK27" s="22">
        <v>0</v>
      </c>
      <c r="CL27" s="22">
        <f t="shared" si="4"/>
        <v>390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22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302</v>
      </c>
      <c r="CJ28" s="27">
        <f t="shared" si="3"/>
        <v>302</v>
      </c>
      <c r="CK28" s="22">
        <v>0</v>
      </c>
      <c r="CL28" s="22">
        <f t="shared" si="4"/>
        <v>302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47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140</v>
      </c>
      <c r="CJ35" s="27">
        <f t="shared" si="3"/>
        <v>140</v>
      </c>
      <c r="CK35" s="22">
        <v>0</v>
      </c>
      <c r="CL35" s="22">
        <f t="shared" si="4"/>
        <v>140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2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48</v>
      </c>
      <c r="CJ36" s="27">
        <f t="shared" si="3"/>
        <v>48</v>
      </c>
      <c r="CK36" s="22">
        <v>0</v>
      </c>
      <c r="CL36" s="22">
        <f t="shared" si="4"/>
        <v>48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-48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1262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23</v>
      </c>
      <c r="CJ53" s="27">
        <f t="shared" si="11"/>
        <v>23</v>
      </c>
      <c r="CK53" s="22">
        <v>0</v>
      </c>
      <c r="CL53" s="22">
        <f t="shared" si="12"/>
        <v>23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45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1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81</v>
      </c>
      <c r="CJ55" s="27">
        <f t="shared" si="11"/>
        <v>81</v>
      </c>
      <c r="CK55" s="22">
        <v>0</v>
      </c>
      <c r="CL55" s="22">
        <f t="shared" si="12"/>
        <v>81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9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56</v>
      </c>
      <c r="CJ61" s="27">
        <f t="shared" si="11"/>
        <v>56</v>
      </c>
      <c r="CK61" s="22">
        <v>0</v>
      </c>
      <c r="CL61" s="22">
        <f t="shared" si="12"/>
        <v>56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206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1935</v>
      </c>
      <c r="CJ77" s="25">
        <f>+SUM(CJ14:CJ76)</f>
        <v>1935</v>
      </c>
      <c r="CK77" s="25">
        <f>+SUM(CK14:CK76)</f>
        <v>0</v>
      </c>
      <c r="CL77" s="25">
        <f>+SUM(CL14:CL76)</f>
        <v>1935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9297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2026-10-29T18:31:34Z</dcterms:modified>
</cp:coreProperties>
</file>