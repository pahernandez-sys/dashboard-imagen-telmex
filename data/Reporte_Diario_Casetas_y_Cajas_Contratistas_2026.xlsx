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638720C-4675-4726-9C5B-1A4751538DB7}" xr6:coauthVersionLast="47" xr6:coauthVersionMax="47" xr10:uidLastSave="{00000000-0000-0000-0000-000000000000}"/>
  <bookViews>
    <workbookView xWindow="380" yWindow="380" windowWidth="5400" windowHeight="109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4" i="3" l="1"/>
  <c r="CQ68" i="3"/>
  <c r="CQ62" i="3"/>
  <c r="CQ55" i="3"/>
  <c r="CQ54" i="3"/>
  <c r="CQ51" i="3"/>
  <c r="CQ50" i="3"/>
  <c r="CQ49" i="3"/>
  <c r="CW17" i="2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O77" i="3"/>
  <c r="CP14" i="3"/>
  <c r="CJ14" i="3"/>
  <c r="CH77" i="3"/>
  <c r="D21" i="1"/>
  <c r="CU79" i="2"/>
  <c r="CV14" i="2"/>
  <c r="CP14" i="2"/>
  <c r="CN79" i="2"/>
  <c r="CQ5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64" i="3"/>
  <c r="CQ63" i="3"/>
  <c r="CQ60" i="3"/>
  <c r="CQ58" i="3"/>
  <c r="CQ57" i="3"/>
  <c r="CQ56" i="3"/>
  <c r="CQ52" i="3"/>
  <c r="CW16" i="2"/>
  <c r="CW15" i="2"/>
  <c r="CQ76" i="3"/>
  <c r="CQ75" i="3"/>
  <c r="CQ73" i="3"/>
  <c r="CQ72" i="3"/>
  <c r="CQ71" i="3"/>
  <c r="CQ70" i="3"/>
  <c r="CQ69" i="3"/>
  <c r="CQ67" i="3"/>
  <c r="CQ66" i="3"/>
  <c r="CQ65" i="3"/>
  <c r="CQ61" i="3"/>
  <c r="CQ53" i="3"/>
  <c r="E21" i="1" l="1"/>
  <c r="F11" i="1"/>
  <c r="CQ14" i="3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<sst xmlns="http://schemas.openxmlformats.org/spreadsheetml/2006/main" count="580" uniqueCount="171">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</sst>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455</v>
      </c>
      <c r="C6" s="89"/>
      <c r="E6" s="88">
        <f>'Programa CAJAS REPORTE DIARIO'!CH77</f>
        <v>1240</v>
      </c>
      <c r="F6" s="89"/>
      <c r="H6" s="101">
        <f>B6+E6</f>
        <v>1695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455</v>
      </c>
      <c r="F3" s="79" t="s">
        <v>1</v>
      </c>
      <c r="I3" s="80">
        <f>'Programa CAJAS REPORTE DIARIO'!CH77+CN79</f>
        <v>1695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21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30</v>
      </c>
      <c r="CP42" s="27">
        <f t="shared" si="4"/>
        <v>30</v>
      </c>
      <c r="CQ42" s="22">
        <v>0</v>
      </c>
      <c r="CR42" s="22">
        <f t="shared" si="5"/>
        <v>30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-30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455</v>
      </c>
      <c r="CP79" s="25">
        <f>+SUM(CP14:CP78)</f>
        <v>455</v>
      </c>
      <c r="CQ79" s="25">
        <f>+SUM(CQ14:CQ78)</f>
        <v>0</v>
      </c>
      <c r="CR79" s="25">
        <f>+SUM(CR14:CR78)</f>
        <v>455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1240</v>
      </c>
      <c r="F3" s="79" t="s">
        <v>1</v>
      </c>
      <c r="I3" s="80">
        <f>'Programa CASETAS REPORTE DIARIO'!CN79+CH77</f>
        <v>1695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381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8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12</v>
      </c>
      <c r="CJ41" s="27">
        <f t="shared" si="3"/>
        <v>12</v>
      </c>
      <c r="CK41" s="22">
        <v>0</v>
      </c>
      <c r="CL41" s="22">
        <f t="shared" si="4"/>
        <v>12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381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1240</v>
      </c>
      <c r="CJ77" s="25">
        <f>+SUM(CJ14:CJ76)</f>
        <v>1240</v>
      </c>
      <c r="CK77" s="25">
        <f>+SUM(CK14:CK76)</f>
        <v>0</v>
      </c>
      <c r="CL77" s="25">
        <f>+SUM(CL14:CL76)</f>
        <v>1240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2026-10-28T00:14:11Z</dcterms:modified>
</cp:coreProperties>
</file>