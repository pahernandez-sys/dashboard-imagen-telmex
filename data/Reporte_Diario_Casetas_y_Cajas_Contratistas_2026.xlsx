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0AC23289-6925-45FE-8E87-F63890D219F0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 s="1"/>
  <c r="CP60" i="3" s="1"/>
  <c r="CH60" i="3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W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W72" i="2" s="1"/>
  <c r="CN72" i="2"/>
  <c r="CP72" i="2" s="1"/>
  <c r="CR72" i="2" s="1"/>
  <c r="DD71" i="2"/>
  <c r="CU71" i="2" s="1"/>
  <c r="CV71" i="2" s="1"/>
  <c r="CN71" i="2"/>
  <c r="CP71" i="2" s="1"/>
  <c r="DD70" i="2"/>
  <c r="CU70" i="2"/>
  <c r="CV70" i="2" s="1"/>
  <c r="CN70" i="2"/>
  <c r="CP70" i="2" s="1"/>
  <c r="CR70" i="2" s="1"/>
  <c r="DD69" i="2"/>
  <c r="CU69" i="2" s="1"/>
  <c r="CV69" i="2" s="1"/>
  <c r="CW69" i="2" s="1"/>
  <c r="CN69" i="2"/>
  <c r="CP69" i="2" s="1"/>
  <c r="CR69" i="2" s="1"/>
  <c r="DD68" i="2"/>
  <c r="CU68" i="2"/>
  <c r="CV68" i="2" s="1"/>
  <c r="CW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W64" i="2" s="1"/>
  <c r="CN64" i="2"/>
  <c r="CP64" i="2" s="1"/>
  <c r="CR64" i="2" s="1"/>
  <c r="DD63" i="2"/>
  <c r="CU63" i="2" s="1"/>
  <c r="CV63" i="2" s="1"/>
  <c r="CW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W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W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W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DD17" i="2"/>
  <c r="CU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V14" i="2" s="1"/>
  <c r="CN14" i="2"/>
  <c r="CP14" i="2" s="1"/>
  <c r="CW75" i="2" l="1"/>
  <c r="CW67" i="2"/>
  <c r="CW56" i="2"/>
  <c r="CW19" i="2"/>
  <c r="CQ22" i="3"/>
  <c r="CW78" i="2"/>
  <c r="CW76" i="2"/>
  <c r="CW65" i="2"/>
  <c r="CW60" i="2"/>
  <c r="CW57" i="2"/>
  <c r="CW73" i="2"/>
  <c r="CW62" i="2"/>
  <c r="CQ36" i="3"/>
  <c r="CQ23" i="3"/>
  <c r="CW70" i="2"/>
  <c r="CW16" i="2"/>
  <c r="AM13" i="2"/>
  <c r="D22" i="1"/>
  <c r="CW71" i="2"/>
  <c r="CR71" i="2"/>
  <c r="CW34" i="2"/>
  <c r="AT13" i="3"/>
  <c r="E23" i="1"/>
  <c r="AS13" i="3"/>
  <c r="E22" i="1"/>
  <c r="F22" i="1" s="1"/>
  <c r="AR13" i="3"/>
  <c r="E21" i="1"/>
  <c r="AQ13" i="3"/>
  <c r="E20" i="1"/>
  <c r="AP13" i="3"/>
  <c r="E19" i="1"/>
  <c r="E18" i="1"/>
  <c r="AO13" i="3"/>
  <c r="AN13" i="3"/>
  <c r="E17" i="1"/>
  <c r="E16" i="1"/>
  <c r="AM13" i="3"/>
  <c r="AL13" i="3"/>
  <c r="E15" i="1"/>
  <c r="AK13" i="3"/>
  <c r="E14" i="1"/>
  <c r="E13" i="1"/>
  <c r="AJ13" i="3"/>
  <c r="E12" i="1"/>
  <c r="AI13" i="3"/>
  <c r="E11" i="1"/>
  <c r="AH13" i="3"/>
  <c r="CH77" i="3"/>
  <c r="CJ60" i="3"/>
  <c r="CP19" i="3"/>
  <c r="CQ19" i="3" s="1"/>
  <c r="CO77" i="3"/>
  <c r="CQ14" i="3"/>
  <c r="CP77" i="3"/>
  <c r="CL14" i="3"/>
  <c r="CJ77" i="3"/>
  <c r="D23" i="1"/>
  <c r="AN13" i="2"/>
  <c r="AL13" i="2"/>
  <c r="D21" i="1"/>
  <c r="AK13" i="2"/>
  <c r="D20" i="1"/>
  <c r="AJ13" i="2"/>
  <c r="D19" i="1"/>
  <c r="D18" i="1"/>
  <c r="AI13" i="2"/>
  <c r="AH13" i="2"/>
  <c r="D17" i="1"/>
  <c r="AG13" i="2"/>
  <c r="D16" i="1"/>
  <c r="AF13" i="2"/>
  <c r="D15" i="1"/>
  <c r="D14" i="1"/>
  <c r="AE13" i="2"/>
  <c r="D13" i="1"/>
  <c r="AD13" i="2"/>
  <c r="D12" i="1"/>
  <c r="AC13" i="2"/>
  <c r="D11" i="1"/>
  <c r="AB13" i="2"/>
  <c r="CP18" i="2"/>
  <c r="CN79" i="2"/>
  <c r="CV17" i="2"/>
  <c r="CW17" i="2" s="1"/>
  <c r="CU79" i="2"/>
  <c r="CW14" i="2"/>
  <c r="CV79" i="2"/>
  <c r="CR14" i="2"/>
  <c r="CP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59" i="3"/>
  <c r="CQ58" i="3"/>
  <c r="CQ57" i="3"/>
  <c r="CQ56" i="3"/>
  <c r="CQ55" i="3"/>
  <c r="CQ33" i="3"/>
  <c r="CQ26" i="3"/>
  <c r="CQ25" i="3"/>
  <c r="CQ20" i="3"/>
  <c r="CW52" i="2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5" i="3"/>
  <c r="CQ34" i="3"/>
  <c r="CQ32" i="3"/>
  <c r="CQ31" i="3"/>
  <c r="CQ30" i="3"/>
  <c r="CQ29" i="3"/>
  <c r="CQ28" i="3"/>
  <c r="CQ27" i="3"/>
  <c r="CQ24" i="3"/>
  <c r="CQ18" i="3"/>
  <c r="CW54" i="2"/>
  <c r="CW55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Q21" i="3"/>
  <c r="CQ17" i="3"/>
  <c r="CQ16" i="3"/>
  <c r="CW58" i="2"/>
  <c r="CW15" i="2"/>
  <c r="CQ15" i="3"/>
  <c r="CW74" i="2"/>
  <c r="CW66" i="2"/>
  <c r="E24" i="1" l="1"/>
  <c r="F23" i="1"/>
  <c r="F21" i="1"/>
  <c r="F20" i="1"/>
  <c r="F19" i="1"/>
  <c r="F18" i="1"/>
  <c r="F17" i="1"/>
  <c r="F16" i="1"/>
  <c r="F15" i="1"/>
  <c r="F14" i="1"/>
  <c r="I3" i="2"/>
  <c r="D3" i="3"/>
  <c r="CH13" i="3"/>
  <c r="E6" i="1"/>
  <c r="CQ60" i="3"/>
  <c r="CQ77" i="3" s="1"/>
  <c r="CL60" i="3"/>
  <c r="CL77" i="3" s="1"/>
  <c r="F11" i="1"/>
  <c r="D24" i="1"/>
  <c r="CW18" i="2"/>
  <c r="CW79" i="2" s="1"/>
  <c r="CR18" i="2"/>
  <c r="CR79" i="2" s="1"/>
  <c r="D3" i="2"/>
  <c r="CN13" i="2"/>
  <c r="I3" i="3"/>
  <c r="B6" i="1"/>
  <c r="F13" i="1"/>
  <c r="F12" i="1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<sst xmlns="http://schemas.openxmlformats.org/spreadsheetml/2006/main" count="589" uniqueCount="175">
  <si>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</si>
  <si>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</si>
  <si>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</si>
  <si>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</si>
  <si>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</si>
  <si>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</si>
  <si>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</si>
  <si>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</si>
  <si>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</si>
  <si>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</si>
  <si>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</si>
  <si>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</si>
  <si>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</si>
  <si>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</si>
  <si>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</si>
  <si>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</si>
  <si>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</si>
  <si>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</si>
  <si>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</si>
  <si>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</si>
  <si>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</si>
  <si>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</si>
  <si>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</si>
  <si>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</si>
  <si>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</si>
  <si>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</si>
  <si>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</si>
  <si>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</si>
  <si>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</si>
  <si>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</si>
  <si>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</si>
  <si>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</si>
  <si>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</si>
  <si>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</si>
  <si>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</si>
  <si>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</si>
  <si>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</si>
  <si>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</si>
  <si>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</si>
  <si>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</si>
  <si>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</si>
  <si>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</si>
  <si>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</si>
  <si>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</si>
  <si>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</si>
  <si>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</si>
  <si>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</si>
  <si>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</si>
  <si>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</si>
  <si>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</si>
  <si>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</si>
  <si>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</si>
  <si>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</si>
  <si>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</si>
  <si>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</si>
  <si>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</si>
  <si>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</si>
  <si>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</si>
  <si>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</si>
  <si>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</si>
  <si>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</si>
  <si>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</si>
  <si>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</si>
  <si>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</si>
  <si>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</si>
  <si>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</si>
  <si>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</si>
  <si>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</si>
  <si>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</si>
  <si>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</si>
  <si>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</si>
  <si>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</si>
  <si>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</si>
  <si>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</si>
  <si>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</si>
  <si>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</si>
  <si>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</si>
  <si>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</si>
  <si>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</si>
  <si>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</si>
  <si>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</si>
  <si>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</si>
  <si>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</si>
  <si>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</si>
  <si>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</si>
  <si>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</si>
  <si>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</si>
  <si>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</si>
  <si>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</si>
  <si>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</si>
  <si>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</si>
  <si>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</si>
  <si>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</si>
  <si>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</si>
  <si>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</si>
  <si>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</si>
  <si>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</si>
  <si>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</si>
  <si>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</si>
  <si>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</si>
  <si>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</si>
  <si>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</si>
  <si>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</si>
  <si>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</si>
  <si>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</si>
  <si>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</si>
  <si>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</si>
  <si>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</si>
  <si>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</si>
  <si>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</si>
  <si>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</si>
  <si>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</si>
  <si>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13:09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</si>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</sst>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743</v>
      </c>
      <c r="C6" s="89"/>
      <c r="E6" s="88">
        <f>'Programa CAJAS REPORTE DIARIO'!CH77</f>
        <v>1985</v>
      </c>
      <c r="F6" s="89"/>
      <c r="H6" s="101">
        <f>B6+E6</f>
        <v>2728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84</v>
      </c>
      <c r="E23" s="70">
        <f>'Programa CAJAS REPORTE DIARIO'!AT77</f>
        <v>256</v>
      </c>
      <c r="F23" s="70">
        <f t="shared" si="0"/>
        <v>340</v>
      </c>
      <c r="G23" s="70">
        <f t="shared" si="1"/>
        <v>2728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743</v>
      </c>
      <c r="E24" s="75">
        <f>SUM(E11:E23)</f>
        <v>1985</v>
      </c>
      <c r="F24" s="75">
        <f>SUM(F11:F23)</f>
        <v>2728</v>
      </c>
      <c r="G24" s="75">
        <f>F24</f>
        <v>2728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743</v>
      </c>
      <c r="F3" s="79" t="s">
        <v>1</v>
      </c>
      <c r="I3" s="80">
        <f>'Programa CAJAS REPORTE DIARIO'!CH77+CN79</f>
        <v>2728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84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743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5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188</v>
      </c>
      <c r="CP27" s="27">
        <f t="shared" si="4"/>
        <v>188</v>
      </c>
      <c r="CQ27" s="22">
        <v>0</v>
      </c>
      <c r="CR27" s="22">
        <f t="shared" si="5"/>
        <v>188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19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164</v>
      </c>
      <c r="CP28" s="27">
        <f t="shared" si="4"/>
        <v>164</v>
      </c>
      <c r="CQ28" s="22">
        <v>0</v>
      </c>
      <c r="CR28" s="22">
        <f t="shared" si="5"/>
        <v>164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20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106</v>
      </c>
      <c r="CP29" s="27">
        <f t="shared" si="4"/>
        <v>106</v>
      </c>
      <c r="CQ29" s="22">
        <v>0</v>
      </c>
      <c r="CR29" s="22">
        <f t="shared" si="5"/>
        <v>106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300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</v>
      </c>
      <c r="CP37" s="27">
        <f t="shared" si="4"/>
        <v>2</v>
      </c>
      <c r="CQ37" s="22">
        <v>0</v>
      </c>
      <c r="CR37" s="22">
        <f t="shared" si="5"/>
        <v>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4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74</v>
      </c>
      <c r="CP42" s="27">
        <f t="shared" si="4"/>
        <v>74</v>
      </c>
      <c r="CQ42" s="22">
        <v>0</v>
      </c>
      <c r="CR42" s="22">
        <f t="shared" si="5"/>
        <v>74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-74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24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24</v>
      </c>
      <c r="CP56" s="27">
        <f t="shared" si="11"/>
        <v>24</v>
      </c>
      <c r="CQ56" s="22">
        <v>0</v>
      </c>
      <c r="CR56" s="22">
        <f t="shared" si="12"/>
        <v>24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-24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5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5</v>
      </c>
      <c r="CP76" s="27">
        <f t="shared" si="11"/>
        <v>5</v>
      </c>
      <c r="CQ76" s="22">
        <v>0</v>
      </c>
      <c r="CR76" s="22">
        <f t="shared" si="12"/>
        <v>5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-5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84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743</v>
      </c>
      <c r="CP79" s="25">
        <f>+SUM(CP14:CP78)</f>
        <v>743</v>
      </c>
      <c r="CQ79" s="25">
        <f>+SUM(CQ14:CQ78)</f>
        <v>0</v>
      </c>
      <c r="CR79" s="25">
        <f>+SUM(CR14:CR78)</f>
        <v>743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6523.5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1985</v>
      </c>
      <c r="F3" s="79" t="s">
        <v>1</v>
      </c>
      <c r="I3" s="80">
        <f>'Programa CASETAS REPORTE DIARIO'!CN79+CH77</f>
        <v>2728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256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1985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28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393</v>
      </c>
      <c r="CJ27" s="27">
        <f t="shared" si="3"/>
        <v>393</v>
      </c>
      <c r="CK27" s="22">
        <v>0</v>
      </c>
      <c r="CL27" s="22">
        <f t="shared" si="4"/>
        <v>393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393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26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306</v>
      </c>
      <c r="CJ28" s="27">
        <f t="shared" si="3"/>
        <v>306</v>
      </c>
      <c r="CK28" s="22">
        <v>0</v>
      </c>
      <c r="CL28" s="22">
        <f t="shared" si="4"/>
        <v>306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-128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4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41</v>
      </c>
      <c r="CJ29" s="27">
        <f t="shared" si="3"/>
        <v>41</v>
      </c>
      <c r="CK29" s="22">
        <v>0</v>
      </c>
      <c r="CL29" s="22">
        <f t="shared" si="4"/>
        <v>41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1295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50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143</v>
      </c>
      <c r="CJ35" s="27">
        <f t="shared" si="3"/>
        <v>143</v>
      </c>
      <c r="CK35" s="22">
        <v>0</v>
      </c>
      <c r="CL35" s="22">
        <f t="shared" si="4"/>
        <v>143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3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49</v>
      </c>
      <c r="CJ36" s="27">
        <f t="shared" si="3"/>
        <v>49</v>
      </c>
      <c r="CK36" s="22">
        <v>0</v>
      </c>
      <c r="CL36" s="22">
        <f t="shared" si="4"/>
        <v>49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-49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7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50</v>
      </c>
      <c r="CJ37" s="27">
        <f t="shared" si="3"/>
        <v>50</v>
      </c>
      <c r="CK37" s="22">
        <v>0</v>
      </c>
      <c r="CL37" s="22">
        <f t="shared" si="4"/>
        <v>50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525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27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134</v>
      </c>
      <c r="CJ43" s="27">
        <f t="shared" si="3"/>
        <v>134</v>
      </c>
      <c r="CK43" s="22">
        <v>0</v>
      </c>
      <c r="CL43" s="22">
        <f t="shared" si="4"/>
        <v>134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-114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42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268</v>
      </c>
      <c r="CJ46" s="27">
        <f t="shared" ref="CJ46:CJ76" si="11">CH46</f>
        <v>268</v>
      </c>
      <c r="CK46" s="22">
        <v>0</v>
      </c>
      <c r="CL46" s="22">
        <f t="shared" ref="CL46:CL77" si="12">CJ46+CK46</f>
        <v>268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1260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40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45</v>
      </c>
      <c r="CJ53" s="27">
        <f t="shared" si="11"/>
        <v>45</v>
      </c>
      <c r="CK53" s="22">
        <v>0</v>
      </c>
      <c r="CL53" s="22">
        <f t="shared" si="12"/>
        <v>45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23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10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57</v>
      </c>
      <c r="CJ61" s="27">
        <f t="shared" si="11"/>
        <v>57</v>
      </c>
      <c r="CK61" s="22">
        <v>0</v>
      </c>
      <c r="CL61" s="22">
        <f t="shared" si="12"/>
        <v>57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-25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7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81</v>
      </c>
      <c r="CJ70" s="27">
        <f t="shared" si="11"/>
        <v>81</v>
      </c>
      <c r="CK70" s="22">
        <v>0</v>
      </c>
      <c r="CL70" s="22">
        <f t="shared" si="12"/>
        <v>81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-67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256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1985</v>
      </c>
      <c r="CJ77" s="25">
        <f>+SUM(CJ14:CJ76)</f>
        <v>1985</v>
      </c>
      <c r="CK77" s="25">
        <f>+SUM(CK14:CK76)</f>
        <v>0</v>
      </c>
      <c r="CL77" s="25">
        <f>+SUM(CL14:CL76)</f>
        <v>1985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9247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2026-10-29T19:09:27Z</dcterms:modified>
</cp:coreProperties>
</file>