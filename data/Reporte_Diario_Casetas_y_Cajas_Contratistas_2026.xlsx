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9361840-5209-4911-A3D2-9D244C917E4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Y77" i="3"/>
  <c r="BX77" i="3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BZ13" i="3"/>
  <c r="BY13" i="3"/>
  <c r="BX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CW47" i="2" l="1"/>
  <c r="CW78" i="2"/>
  <c r="D15" i="1"/>
  <c r="AF13" i="2"/>
  <c r="D14" i="1"/>
  <c r="AE13" i="2"/>
  <c r="D13" i="1"/>
  <c r="AD13" i="2"/>
  <c r="D12" i="1"/>
  <c r="AC13" i="2"/>
  <c r="D11" i="1"/>
  <c r="AB13" i="2"/>
  <c r="CW54" i="2"/>
  <c r="CW51" i="2"/>
  <c r="CW53" i="2"/>
  <c r="CW41" i="2"/>
  <c r="CW35" i="2"/>
  <c r="CW34" i="2"/>
  <c r="CW32" i="2"/>
  <c r="CW31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AH13" i="3"/>
  <c r="E11" i="1"/>
  <c r="CP14" i="3"/>
  <c r="CO77" i="3"/>
  <c r="CJ14" i="3"/>
  <c r="CH77" i="3"/>
  <c r="D23" i="1"/>
  <c r="CU79" i="2"/>
  <c r="CV14" i="2"/>
  <c r="CN79" i="2"/>
  <c r="CP14" i="2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7" i="2"/>
  <c r="CW76" i="2"/>
  <c r="CW75" i="2"/>
  <c r="CW74" i="2"/>
  <c r="CW73" i="2"/>
  <c r="CW72" i="2"/>
  <c r="CW70" i="2"/>
  <c r="CW69" i="2"/>
  <c r="CW68" i="2"/>
  <c r="CW52" i="2"/>
  <c r="CW50" i="2"/>
  <c r="CW49" i="2"/>
  <c r="CW48" i="2"/>
  <c r="CW46" i="2"/>
  <c r="CW45" i="2"/>
  <c r="CW44" i="2"/>
  <c r="CW43" i="2"/>
  <c r="CW42" i="2"/>
  <c r="CW40" i="2"/>
  <c r="CW39" i="2"/>
  <c r="CW38" i="2"/>
  <c r="CW37" i="2"/>
  <c r="CW36" i="2"/>
  <c r="CW33" i="2"/>
  <c r="CW30" i="2"/>
  <c r="CQ38" i="3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E23" i="1" l="1"/>
  <c r="F11" i="1"/>
  <c r="CQ14" i="3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B6" i="1"/>
  <c r="I3" i="3"/>
  <c r="CN13" i="2"/>
  <c r="D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<sst xmlns="http://schemas.openxmlformats.org/spreadsheetml/2006/main" count="586" uniqueCount="174">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</sst>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1649</v>
      </c>
      <c r="F6" s="89"/>
      <c r="H6" s="101">
        <f>B6+E6</f>
        <v>2281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324</v>
      </c>
      <c r="F22" s="72">
        <f t="shared" si="0"/>
        <v>474</v>
      </c>
      <c r="G22" s="72">
        <f t="shared" si="1"/>
        <v>2281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1649</v>
      </c>
      <c r="F23" s="75">
        <f>SUM(F11:F22)</f>
        <v>2281</v>
      </c>
      <c r="G23" s="75">
        <f>F23</f>
        <v>2281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1649</v>
      </c>
      <c r="F3" s="79" t="s">
        <v>1</v>
      </c>
      <c r="I3" s="80">
        <f>'Programa CASETAS REPORTE DIARIO'!CN79+CH77</f>
        <v>2281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8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90</v>
      </c>
      <c r="CJ35" s="27">
        <f t="shared" si="3"/>
        <v>90</v>
      </c>
      <c r="CK35" s="22">
        <v>0</v>
      </c>
      <c r="CL35" s="22">
        <f t="shared" si="4"/>
        <v>90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4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17</v>
      </c>
      <c r="CJ41" s="27">
        <f t="shared" si="3"/>
        <v>17</v>
      </c>
      <c r="CK41" s="22">
        <v>0</v>
      </c>
      <c r="CL41" s="22">
        <f t="shared" si="4"/>
        <v>17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1649</v>
      </c>
      <c r="CJ77" s="25">
        <f>+SUM(CJ14:CJ76)</f>
        <v>1649</v>
      </c>
      <c r="CK77" s="25">
        <f>+SUM(CK14:CK76)</f>
        <v>0</v>
      </c>
      <c r="CL77" s="25">
        <f>+SUM(CL14:CL76)</f>
        <v>1649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2026-10-28T23:27:49Z</dcterms:modified>
</cp:coreProperties>
</file>