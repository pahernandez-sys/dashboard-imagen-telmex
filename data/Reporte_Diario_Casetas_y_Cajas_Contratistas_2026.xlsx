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FB36EFE-26F1-42ED-A380-6F56CC5DD7A2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DC19" i="3"/>
  <c r="CO19" i="3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CW35" i="2" l="1"/>
  <c r="CW32" i="2"/>
  <c r="CQ28" i="3"/>
  <c r="CQ29" i="3"/>
  <c r="CW44" i="2"/>
  <c r="CW43" i="2"/>
  <c r="CW42" i="2"/>
  <c r="CW41" i="2"/>
  <c r="CW40" i="2"/>
  <c r="CW38" i="2"/>
  <c r="CW34" i="2"/>
  <c r="CW33" i="2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D24" i="1" s="1"/>
  <c r="AF13" i="2"/>
  <c r="D14" i="1"/>
  <c r="AE13" i="2"/>
  <c r="D13" i="1"/>
  <c r="AD13" i="2"/>
  <c r="D12" i="1"/>
  <c r="AC13" i="2"/>
  <c r="D11" i="1"/>
  <c r="AB13" i="2"/>
  <c r="AT13" i="3"/>
  <c r="E23" i="1"/>
  <c r="AS13" i="3"/>
  <c r="E22" i="1"/>
  <c r="E21" i="1"/>
  <c r="AR13" i="3"/>
  <c r="E20" i="1"/>
  <c r="AQ13" i="3"/>
  <c r="E19" i="1"/>
  <c r="AP13" i="3"/>
  <c r="E18" i="1"/>
  <c r="AO13" i="3"/>
  <c r="AN13" i="3"/>
  <c r="E17" i="1"/>
  <c r="AM13" i="3"/>
  <c r="E16" i="1"/>
  <c r="AL13" i="3"/>
  <c r="E15" i="1"/>
  <c r="AK13" i="3"/>
  <c r="E14" i="1"/>
  <c r="F14" i="1" s="1"/>
  <c r="AJ13" i="3"/>
  <c r="E13" i="1"/>
  <c r="F13" i="1" s="1"/>
  <c r="E12" i="1"/>
  <c r="F12" i="1" s="1"/>
  <c r="AI13" i="3"/>
  <c r="AH13" i="3"/>
  <c r="E11" i="1"/>
  <c r="CJ20" i="3"/>
  <c r="CH77" i="3"/>
  <c r="CO77" i="3"/>
  <c r="CP19" i="3"/>
  <c r="CQ19" i="3" s="1"/>
  <c r="CQ14" i="3"/>
  <c r="CP77" i="3"/>
  <c r="CL14" i="3"/>
  <c r="CJ77" i="3"/>
  <c r="F11" i="1"/>
  <c r="CV14" i="2"/>
  <c r="CU79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W39" i="2"/>
  <c r="CW37" i="2"/>
  <c r="CW36" i="2"/>
  <c r="CW31" i="2"/>
  <c r="CW30" i="2"/>
  <c r="CQ27" i="3"/>
  <c r="CQ26" i="3"/>
  <c r="CQ25" i="3"/>
  <c r="CQ24" i="3"/>
  <c r="CQ23" i="3"/>
  <c r="CQ22" i="3"/>
  <c r="CQ21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F23" i="1" l="1"/>
  <c r="F22" i="1"/>
  <c r="F21" i="1"/>
  <c r="F20" i="1"/>
  <c r="F19" i="1"/>
  <c r="F18" i="1"/>
  <c r="F17" i="1"/>
  <c r="F16" i="1"/>
  <c r="F15" i="1"/>
  <c r="F24" i="1" s="1"/>
  <c r="G24" i="1" s="1"/>
  <c r="E24" i="1"/>
  <c r="CQ20" i="3"/>
  <c r="CQ77" i="3" s="1"/>
  <c r="CL20" i="3"/>
  <c r="CL77" i="3" s="1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CW14" i="2"/>
  <c r="CW79" i="2" s="1"/>
  <c r="CV79" i="2"/>
  <c r="CR14" i="2"/>
  <c r="CR79" i="2" s="1"/>
  <c r="CP79" i="2"/>
  <c r="B6" i="1"/>
  <c r="I3" i="3"/>
  <c r="D3" i="2"/>
  <c r="CN13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<sst xmlns="http://schemas.openxmlformats.org/spreadsheetml/2006/main" count="589" uniqueCount="175">
  <si>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</si>
  <si>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</si>
  <si>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</si>
  <si>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</si>
  <si>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</si>
  <si>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</si>
  <si>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</si>
  <si>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</si>
  <si>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</si>
  <si>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</si>
  <si>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</si>
  <si>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</si>
  <si>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</si>
  <si>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</si>
  <si>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</si>
  <si>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</si>
  <si>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</si>
  <si>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</si>
  <si>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</si>
  <si>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</si>
  <si>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</si>
  <si>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</si>
  <si>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</si>
  <si>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</si>
  <si>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</si>
  <si>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</si>
  <si>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</si>
  <si>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</si>
  <si>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</si>
  <si>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</si>
  <si>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</si>
  <si>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</si>
  <si>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</si>
  <si>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</si>
  <si>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</si>
  <si>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</si>
  <si>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</si>
  <si>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</si>
  <si>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</si>
  <si>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</si>
  <si>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</si>
  <si>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</si>
  <si>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</si>
  <si>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</si>
  <si>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</si>
  <si>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</si>
  <si>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</si>
  <si>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</si>
  <si>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</si>
  <si>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</si>
  <si>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</si>
  <si>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</si>
  <si>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</si>
  <si>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</si>
  <si>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</si>
  <si>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</si>
  <si>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</si>
  <si>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</si>
  <si>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</si>
  <si>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</si>
  <si>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</si>
  <si>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</si>
  <si>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</si>
  <si>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</si>
  <si>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</si>
  <si>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</si>
  <si>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</si>
  <si>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</si>
  <si>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</si>
  <si>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</si>
  <si>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</si>
  <si>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</si>
  <si>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</si>
  <si>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</si>
  <si>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</si>
  <si>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</si>
  <si>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</si>
  <si>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</si>
  <si>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</si>
  <si>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</si>
  <si>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</si>
  <si>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</si>
  <si>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</si>
  <si>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</si>
  <si>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</si>
  <si>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</si>
  <si>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</si>
  <si>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</si>
  <si>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</si>
  <si>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</si>
  <si>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</si>
  <si>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</si>
  <si>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</si>
  <si>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</si>
  <si>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</si>
  <si>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</si>
  <si>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</si>
  <si>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</si>
  <si>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</si>
  <si>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</si>
  <si>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</si>
  <si>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</si>
  <si>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</si>
  <si>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</si>
  <si>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</si>
  <si>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</si>
  <si>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</si>
  <si>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</si>
  <si>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</si>
  <si>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</si>
  <si>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</si>
  <si>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</si>
  <si>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15:49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</si>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</sst>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818</v>
      </c>
      <c r="C6" s="89"/>
      <c r="E6" s="88">
        <f>'Programa CAJAS REPORTE DIARIO'!CH77</f>
        <v>2209</v>
      </c>
      <c r="F6" s="89"/>
      <c r="H6" s="101">
        <f>B6+E6</f>
        <v>3027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159</v>
      </c>
      <c r="E23" s="70">
        <f>'Programa CAJAS REPORTE DIARIO'!AT77</f>
        <v>480</v>
      </c>
      <c r="F23" s="70">
        <f t="shared" si="0"/>
        <v>639</v>
      </c>
      <c r="G23" s="70">
        <f t="shared" si="1"/>
        <v>3027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818</v>
      </c>
      <c r="E24" s="75">
        <f>SUM(E11:E23)</f>
        <v>2209</v>
      </c>
      <c r="F24" s="75">
        <f>SUM(F11:F23)</f>
        <v>3027</v>
      </c>
      <c r="G24" s="75">
        <f>F24</f>
        <v>3027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818</v>
      </c>
      <c r="F3" s="79" t="s">
        <v>1</v>
      </c>
      <c r="I3" s="80">
        <f>'Programa CAJAS REPORTE DIARIO'!CH77+CN79</f>
        <v>3027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159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818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190</v>
      </c>
      <c r="CP27" s="27">
        <f t="shared" si="4"/>
        <v>190</v>
      </c>
      <c r="CQ27" s="22">
        <v>0</v>
      </c>
      <c r="CR27" s="22">
        <f t="shared" si="5"/>
        <v>190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26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171</v>
      </c>
      <c r="CP28" s="27">
        <f t="shared" si="4"/>
        <v>171</v>
      </c>
      <c r="CQ28" s="22">
        <v>0</v>
      </c>
      <c r="CR28" s="22">
        <f t="shared" si="5"/>
        <v>171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21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91</v>
      </c>
      <c r="CP42" s="27">
        <f t="shared" si="4"/>
        <v>91</v>
      </c>
      <c r="CQ42" s="22">
        <v>0</v>
      </c>
      <c r="CR42" s="22">
        <f t="shared" si="5"/>
        <v>91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-91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43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43</v>
      </c>
      <c r="CP56" s="27">
        <f t="shared" si="11"/>
        <v>43</v>
      </c>
      <c r="CQ56" s="22">
        <v>0</v>
      </c>
      <c r="CR56" s="22">
        <f t="shared" si="12"/>
        <v>43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-43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159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818</v>
      </c>
      <c r="CP79" s="25">
        <f>+SUM(CP14:CP78)</f>
        <v>818</v>
      </c>
      <c r="CQ79" s="25">
        <f>+SUM(CQ14:CQ78)</f>
        <v>0</v>
      </c>
      <c r="CR79" s="25">
        <f>+SUM(CR14:CR78)</f>
        <v>818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6448.5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2209</v>
      </c>
      <c r="F3" s="79" t="s">
        <v>1</v>
      </c>
      <c r="I3" s="80">
        <f>'Programa CASETAS REPORTE DIARIO'!CN79+CH77</f>
        <v>3027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480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2209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40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405</v>
      </c>
      <c r="CJ27" s="27">
        <f t="shared" si="3"/>
        <v>405</v>
      </c>
      <c r="CK27" s="22">
        <v>0</v>
      </c>
      <c r="CL27" s="22">
        <f t="shared" si="4"/>
        <v>405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56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93</v>
      </c>
      <c r="CJ29" s="27">
        <f t="shared" si="3"/>
        <v>93</v>
      </c>
      <c r="CK29" s="22">
        <v>0</v>
      </c>
      <c r="CL29" s="22">
        <f t="shared" si="4"/>
        <v>93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1243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155</v>
      </c>
      <c r="CJ35" s="27">
        <f t="shared" si="3"/>
        <v>155</v>
      </c>
      <c r="CK35" s="22">
        <v>0</v>
      </c>
      <c r="CL35" s="22">
        <f t="shared" si="4"/>
        <v>155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273</v>
      </c>
      <c r="CJ46" s="27">
        <f t="shared" ref="CJ46:CJ76" si="11">CH46</f>
        <v>273</v>
      </c>
      <c r="CK46" s="22">
        <v>0</v>
      </c>
      <c r="CL46" s="22">
        <f t="shared" ref="CL46:CL77" si="12">CJ46+CK46</f>
        <v>273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115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120</v>
      </c>
      <c r="CJ53" s="27">
        <f t="shared" si="11"/>
        <v>120</v>
      </c>
      <c r="CK53" s="22">
        <v>0</v>
      </c>
      <c r="CL53" s="22">
        <f t="shared" si="12"/>
        <v>120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-52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17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64</v>
      </c>
      <c r="CJ61" s="27">
        <f t="shared" si="11"/>
        <v>64</v>
      </c>
      <c r="CK61" s="22">
        <v>0</v>
      </c>
      <c r="CL61" s="22">
        <f t="shared" si="12"/>
        <v>64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480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2209</v>
      </c>
      <c r="CJ77" s="25">
        <f>+SUM(CJ14:CJ76)</f>
        <v>2209</v>
      </c>
      <c r="CK77" s="25">
        <f>+SUM(CK14:CK76)</f>
        <v>0</v>
      </c>
      <c r="CL77" s="25">
        <f>+SUM(CL14:CL76)</f>
        <v>2209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9023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2026-10-29T21:49:28Z</dcterms:modified>
</cp:coreProperties>
</file>