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1DD9218-9A3B-4EBD-8FD3-CCBA0270D27E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W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15" i="2" l="1"/>
  <c r="CW42" i="2"/>
  <c r="CW41" i="2"/>
  <c r="CW39" i="2"/>
  <c r="CW23" i="2"/>
  <c r="CW34" i="2"/>
  <c r="CW33" i="2"/>
  <c r="CW32" i="2"/>
  <c r="CW31" i="2"/>
  <c r="CW22" i="2"/>
  <c r="CW26" i="2"/>
  <c r="CQ52" i="3"/>
  <c r="CQ44" i="3"/>
  <c r="CW40" i="2"/>
  <c r="CW25" i="2"/>
  <c r="CW24" i="2"/>
  <c r="CW30" i="2"/>
  <c r="CW71" i="2"/>
  <c r="CW51" i="2"/>
  <c r="CW49" i="2"/>
  <c r="CW48" i="2"/>
  <c r="CW47" i="2"/>
  <c r="CQ19" i="3"/>
  <c r="CL19" i="3"/>
  <c r="AT13" i="3"/>
  <c r="E23" i="1"/>
  <c r="AS13" i="3"/>
  <c r="E22" i="1"/>
  <c r="E21" i="1"/>
  <c r="AR13" i="3"/>
  <c r="E20" i="1"/>
  <c r="AQ13" i="3"/>
  <c r="AP13" i="3"/>
  <c r="E19" i="1"/>
  <c r="AO13" i="3"/>
  <c r="E18" i="1"/>
  <c r="E17" i="1"/>
  <c r="AN13" i="3"/>
  <c r="E16" i="1"/>
  <c r="AM13" i="3"/>
  <c r="E15" i="1"/>
  <c r="AL13" i="3"/>
  <c r="AK13" i="3"/>
  <c r="E14" i="1"/>
  <c r="AJ13" i="3"/>
  <c r="E13" i="1"/>
  <c r="AI13" i="3"/>
  <c r="E12" i="1"/>
  <c r="AH13" i="3"/>
  <c r="E11" i="1"/>
  <c r="E24" i="1" s="1"/>
  <c r="CO77" i="3"/>
  <c r="CP14" i="3"/>
  <c r="CH77" i="3"/>
  <c r="CJ14" i="3"/>
  <c r="D23" i="1"/>
  <c r="F23" i="1" s="1"/>
  <c r="AN13" i="2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AF13" i="2"/>
  <c r="D14" i="1"/>
  <c r="AE13" i="2"/>
  <c r="D13" i="1"/>
  <c r="AD13" i="2"/>
  <c r="D12" i="1"/>
  <c r="AC13" i="2"/>
  <c r="D11" i="1"/>
  <c r="AB13" i="2"/>
  <c r="CP18" i="2"/>
  <c r="CN79" i="2"/>
  <c r="CU79" i="2"/>
  <c r="CV17" i="2"/>
  <c r="CW17" i="2" s="1"/>
  <c r="CW14" i="2"/>
  <c r="CV79" i="2"/>
  <c r="CR14" i="2"/>
  <c r="CP79" i="2"/>
  <c r="CQ43" i="3"/>
  <c r="CQ76" i="3"/>
  <c r="CQ75" i="3"/>
  <c r="CQ74" i="3"/>
  <c r="CQ73" i="3"/>
  <c r="CQ72" i="3"/>
  <c r="CQ71" i="3"/>
  <c r="CQ70" i="3"/>
  <c r="CQ69" i="3"/>
  <c r="CQ68" i="3"/>
  <c r="CQ67" i="3"/>
  <c r="CQ51" i="3"/>
  <c r="CQ50" i="3"/>
  <c r="CQ49" i="3"/>
  <c r="CQ48" i="3"/>
  <c r="CQ47" i="3"/>
  <c r="CQ46" i="3"/>
  <c r="CQ45" i="3"/>
  <c r="CQ42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29" i="2"/>
  <c r="CW28" i="2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0" i="2"/>
  <c r="CW46" i="2"/>
  <c r="CW44" i="2"/>
  <c r="CW43" i="2"/>
  <c r="CW45" i="2"/>
  <c r="CW35" i="2"/>
  <c r="CW27" i="2"/>
  <c r="CW20" i="2"/>
  <c r="CW19" i="2"/>
  <c r="CW16" i="2"/>
  <c r="CW38" i="2"/>
  <c r="CW37" i="2"/>
  <c r="CW36" i="2"/>
  <c r="F15" i="1" l="1"/>
  <c r="F14" i="1"/>
  <c r="F13" i="1"/>
  <c r="F12" i="1"/>
  <c r="CQ14" i="3"/>
  <c r="CQ77" i="3" s="1"/>
  <c r="CP77" i="3"/>
  <c r="I3" i="2"/>
  <c r="D3" i="3"/>
  <c r="E6" i="1"/>
  <c r="CH13" i="3"/>
  <c r="CL14" i="3"/>
  <c r="CL77" i="3" s="1"/>
  <c r="CJ77" i="3"/>
  <c r="F11" i="1"/>
  <c r="D24" i="1"/>
  <c r="CW18" i="2"/>
  <c r="CW79" i="2" s="1"/>
  <c r="CR18" i="2"/>
  <c r="CR79" i="2" s="1"/>
  <c r="I3" i="3"/>
  <c r="B6" i="1"/>
  <c r="D3" i="2"/>
  <c r="CN13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<sst xmlns="http://schemas.openxmlformats.org/spreadsheetml/2006/main" count="589" uniqueCount="175">
  <si>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</si>
  <si>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</si>
  <si>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</si>
  <si>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</si>
  <si>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</si>
  <si>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</si>
  <si>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</si>
  <si>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</si>
  <si>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</si>
  <si>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</si>
  <si>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</si>
  <si>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</si>
  <si>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</si>
  <si>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</si>
  <si>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</si>
  <si>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</si>
  <si>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</si>
  <si>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</si>
  <si>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</si>
  <si>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</si>
  <si>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</si>
  <si>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</si>
  <si>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</si>
  <si>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</si>
  <si>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</si>
  <si>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</si>
  <si>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</si>
  <si>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</si>
  <si>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</si>
  <si>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</si>
  <si>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</si>
  <si>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</si>
  <si>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</si>
  <si>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</si>
  <si>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</si>
  <si>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</si>
  <si>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</si>
  <si>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</si>
  <si>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</si>
  <si>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</si>
  <si>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</si>
  <si>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</si>
  <si>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</si>
  <si>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</si>
  <si>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</si>
  <si>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</si>
  <si>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</si>
  <si>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</si>
  <si>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</si>
  <si>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</si>
  <si>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</si>
  <si>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</si>
  <si>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</si>
  <si>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</si>
  <si>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</si>
  <si>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</si>
  <si>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</si>
  <si>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</si>
  <si>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</si>
  <si>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</si>
  <si>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</si>
  <si>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</si>
  <si>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</si>
  <si>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</si>
  <si>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</si>
  <si>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</si>
  <si>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</si>
  <si>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</si>
  <si>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</si>
  <si>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</si>
  <si>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</si>
  <si>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</si>
  <si>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</si>
  <si>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</si>
  <si>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</si>
  <si>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</si>
  <si>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</si>
  <si>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</si>
  <si>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</si>
  <si>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</si>
  <si>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</si>
  <si>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</si>
  <si>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</si>
  <si>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</si>
  <si>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</si>
  <si>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</si>
  <si>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</si>
  <si>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</si>
  <si>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</si>
  <si>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</si>
  <si>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</si>
  <si>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</si>
  <si>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</si>
  <si>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</si>
  <si>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</si>
  <si>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</si>
  <si>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</si>
  <si>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</si>
  <si>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</si>
  <si>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</si>
  <si>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</si>
  <si>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</si>
  <si>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</si>
  <si>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</si>
  <si>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</si>
  <si>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</si>
  <si>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</si>
  <si>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</si>
  <si>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</si>
  <si>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</si>
  <si>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</si>
  <si>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</si>
  <si>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11:58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</si>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</sst>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719</v>
      </c>
      <c r="C6" s="89"/>
      <c r="E6" s="88">
        <f>'Programa CAJAS REPORTE DIARIO'!CH77</f>
        <v>1903</v>
      </c>
      <c r="F6" s="89"/>
      <c r="H6" s="101">
        <f>B6+E6</f>
        <v>2622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60</v>
      </c>
      <c r="E23" s="70">
        <f>'Programa CAJAS REPORTE DIARIO'!AT77</f>
        <v>174</v>
      </c>
      <c r="F23" s="70">
        <f t="shared" si="0"/>
        <v>234</v>
      </c>
      <c r="G23" s="70">
        <f t="shared" si="1"/>
        <v>2622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719</v>
      </c>
      <c r="E24" s="75">
        <f>SUM(E11:E23)</f>
        <v>1903</v>
      </c>
      <c r="F24" s="75">
        <f>SUM(F11:F23)</f>
        <v>2622</v>
      </c>
      <c r="G24" s="75">
        <f>F24</f>
        <v>2622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719</v>
      </c>
      <c r="F3" s="79" t="s">
        <v>1</v>
      </c>
      <c r="I3" s="80">
        <f>'Programa CAJAS REPORTE DIARIO'!CH77+CN79</f>
        <v>2622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60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719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3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186</v>
      </c>
      <c r="CP27" s="27">
        <f t="shared" si="4"/>
        <v>186</v>
      </c>
      <c r="CQ27" s="22">
        <v>0</v>
      </c>
      <c r="CR27" s="22">
        <f t="shared" si="5"/>
        <v>186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16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161</v>
      </c>
      <c r="CP28" s="27">
        <f t="shared" si="4"/>
        <v>161</v>
      </c>
      <c r="CQ28" s="22">
        <v>0</v>
      </c>
      <c r="CR28" s="22">
        <f t="shared" si="5"/>
        <v>161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13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99</v>
      </c>
      <c r="CP29" s="27">
        <f t="shared" si="4"/>
        <v>99</v>
      </c>
      <c r="CQ29" s="22">
        <v>0</v>
      </c>
      <c r="CR29" s="22">
        <f t="shared" si="5"/>
        <v>99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307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23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23</v>
      </c>
      <c r="CP56" s="27">
        <f t="shared" si="11"/>
        <v>23</v>
      </c>
      <c r="CQ56" s="22">
        <v>0</v>
      </c>
      <c r="CR56" s="22">
        <f t="shared" si="12"/>
        <v>23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60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719</v>
      </c>
      <c r="CP79" s="25">
        <f>+SUM(CP14:CP78)</f>
        <v>719</v>
      </c>
      <c r="CQ79" s="25">
        <f>+SUM(CQ14:CQ78)</f>
        <v>0</v>
      </c>
      <c r="CR79" s="25">
        <f>+SUM(CR14:CR78)</f>
        <v>719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6547.5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1903</v>
      </c>
      <c r="F3" s="79" t="s">
        <v>1</v>
      </c>
      <c r="I3" s="80">
        <f>'Programa CASETAS REPORTE DIARIO'!CN79+CH77</f>
        <v>2622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174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1903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21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386</v>
      </c>
      <c r="CJ27" s="27">
        <f t="shared" si="3"/>
        <v>386</v>
      </c>
      <c r="CK27" s="22">
        <v>0</v>
      </c>
      <c r="CL27" s="22">
        <f t="shared" si="4"/>
        <v>386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400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16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296</v>
      </c>
      <c r="CJ28" s="27">
        <f t="shared" si="3"/>
        <v>296</v>
      </c>
      <c r="CK28" s="22">
        <v>0</v>
      </c>
      <c r="CL28" s="22">
        <f t="shared" si="4"/>
        <v>296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-118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35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128</v>
      </c>
      <c r="CJ35" s="27">
        <f t="shared" si="3"/>
        <v>128</v>
      </c>
      <c r="CK35" s="22">
        <v>0</v>
      </c>
      <c r="CL35" s="22">
        <f t="shared" si="4"/>
        <v>128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-29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21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128</v>
      </c>
      <c r="CJ43" s="27">
        <f t="shared" si="3"/>
        <v>128</v>
      </c>
      <c r="CK43" s="22">
        <v>0</v>
      </c>
      <c r="CL43" s="22">
        <f t="shared" si="4"/>
        <v>128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40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266</v>
      </c>
      <c r="CJ46" s="27">
        <f t="shared" ref="CJ46:CJ76" si="11">CH46</f>
        <v>266</v>
      </c>
      <c r="CK46" s="22">
        <v>0</v>
      </c>
      <c r="CL46" s="22">
        <f t="shared" ref="CL46:CL77" si="12">CJ46+CK46</f>
        <v>266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1262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13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18</v>
      </c>
      <c r="CJ53" s="27">
        <f t="shared" si="11"/>
        <v>18</v>
      </c>
      <c r="CK53" s="22">
        <v>0</v>
      </c>
      <c r="CL53" s="22">
        <f t="shared" si="12"/>
        <v>18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50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7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54</v>
      </c>
      <c r="CJ61" s="27">
        <f t="shared" si="11"/>
        <v>54</v>
      </c>
      <c r="CK61" s="22">
        <v>0</v>
      </c>
      <c r="CL61" s="22">
        <f t="shared" si="12"/>
        <v>54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5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79</v>
      </c>
      <c r="CJ70" s="27">
        <f t="shared" si="11"/>
        <v>79</v>
      </c>
      <c r="CK70" s="22">
        <v>0</v>
      </c>
      <c r="CL70" s="22">
        <f t="shared" si="12"/>
        <v>79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174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1903</v>
      </c>
      <c r="CJ77" s="25">
        <f>+SUM(CJ14:CJ76)</f>
        <v>1903</v>
      </c>
      <c r="CK77" s="25">
        <f>+SUM(CK14:CK76)</f>
        <v>0</v>
      </c>
      <c r="CL77" s="25">
        <f>+SUM(CL14:CL76)</f>
        <v>1903</v>
      </c>
      <c r="CM77" s="25"/>
      <c r="CN77" s="25"/>
      <c r="CO77" s="25">
        <f>+SUM(CO14:CO76)</f>
        <v>10918</v>
      </c>
      <c r="CP77" s="25">
        <f>+SUM(CP14:CP76)</f>
        <v>10918</v>
      </c>
      <c r="CQ77" s="25">
        <f>+SUM(CQ14:CQ76)</f>
        <v>9015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2026-10-29T17:58:53Z</dcterms:modified>
</cp:coreProperties>
</file>