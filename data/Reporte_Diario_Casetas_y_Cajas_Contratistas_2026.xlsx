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DCD2CB9-8A28-401D-AB2F-D0747B39EB2C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W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W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W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CQ27" i="3" l="1"/>
  <c r="CQ30" i="3"/>
  <c r="CQ29" i="3"/>
  <c r="CQ28" i="3"/>
  <c r="CW69" i="2"/>
  <c r="CQ18" i="3"/>
  <c r="CQ64" i="3"/>
  <c r="CQ61" i="3"/>
  <c r="CQ60" i="3"/>
  <c r="CQ59" i="3"/>
  <c r="CQ49" i="3"/>
  <c r="CQ45" i="3"/>
  <c r="CQ42" i="3"/>
  <c r="CQ19" i="3"/>
  <c r="CW75" i="2"/>
  <c r="AN13" i="2"/>
  <c r="D23" i="1"/>
  <c r="AM13" i="2"/>
  <c r="D22" i="1"/>
  <c r="AL13" i="2"/>
  <c r="D21" i="1"/>
  <c r="AK13" i="2"/>
  <c r="D20" i="1"/>
  <c r="AJ13" i="2"/>
  <c r="D19" i="1"/>
  <c r="AI13" i="2"/>
  <c r="D18" i="1"/>
  <c r="AH13" i="2"/>
  <c r="D17" i="1"/>
  <c r="AG13" i="2"/>
  <c r="D16" i="1"/>
  <c r="AF13" i="2"/>
  <c r="D15" i="1"/>
  <c r="AE13" i="2"/>
  <c r="D14" i="1"/>
  <c r="AD13" i="2"/>
  <c r="D13" i="1"/>
  <c r="AC13" i="2"/>
  <c r="D12" i="1"/>
  <c r="AB13" i="2"/>
  <c r="D11" i="1"/>
  <c r="CP14" i="2"/>
  <c r="CN79" i="2"/>
  <c r="CW44" i="2"/>
  <c r="E23" i="1"/>
  <c r="F23" i="1" s="1"/>
  <c r="AT13" i="3"/>
  <c r="AS13" i="3"/>
  <c r="E22" i="1"/>
  <c r="F22" i="1" s="1"/>
  <c r="AR13" i="3"/>
  <c r="E21" i="1"/>
  <c r="F21" i="1" s="1"/>
  <c r="E20" i="1"/>
  <c r="F20" i="1" s="1"/>
  <c r="AQ13" i="3"/>
  <c r="E19" i="1"/>
  <c r="F19" i="1" s="1"/>
  <c r="AP13" i="3"/>
  <c r="E18" i="1"/>
  <c r="F18" i="1" s="1"/>
  <c r="AO13" i="3"/>
  <c r="AN13" i="3"/>
  <c r="E17" i="1"/>
  <c r="F17" i="1" s="1"/>
  <c r="AM13" i="3"/>
  <c r="E16" i="1"/>
  <c r="F16" i="1" s="1"/>
  <c r="AL13" i="3"/>
  <c r="E15" i="1"/>
  <c r="F15" i="1" s="1"/>
  <c r="E14" i="1"/>
  <c r="F14" i="1" s="1"/>
  <c r="AK13" i="3"/>
  <c r="AJ13" i="3"/>
  <c r="E13" i="1"/>
  <c r="AI13" i="3"/>
  <c r="E12" i="1"/>
  <c r="AH13" i="3"/>
  <c r="E11" i="1"/>
  <c r="CJ33" i="3"/>
  <c r="CH77" i="3"/>
  <c r="CP32" i="3"/>
  <c r="CQ32" i="3" s="1"/>
  <c r="CO77" i="3"/>
  <c r="CQ14" i="3"/>
  <c r="CP77" i="3"/>
  <c r="CL14" i="3"/>
  <c r="CJ77" i="3"/>
  <c r="F11" i="1"/>
  <c r="D24" i="1"/>
  <c r="B6" i="1"/>
  <c r="I3" i="3"/>
  <c r="CN13" i="2"/>
  <c r="D3" i="2"/>
  <c r="CV30" i="2"/>
  <c r="CU79" i="2"/>
  <c r="CW14" i="2"/>
  <c r="CR14" i="2"/>
  <c r="CR79" i="2" s="1"/>
  <c r="CP79" i="2"/>
  <c r="CQ76" i="3"/>
  <c r="CQ75" i="3"/>
  <c r="CQ74" i="3"/>
  <c r="CQ73" i="3"/>
  <c r="CQ72" i="3"/>
  <c r="CQ71" i="3"/>
  <c r="CQ70" i="3"/>
  <c r="CQ69" i="3"/>
  <c r="CQ68" i="3"/>
  <c r="CQ67" i="3"/>
  <c r="CQ65" i="3"/>
  <c r="CQ63" i="3"/>
  <c r="CQ58" i="3"/>
  <c r="CQ57" i="3"/>
  <c r="CQ56" i="3"/>
  <c r="CQ55" i="3"/>
  <c r="CQ50" i="3"/>
  <c r="CQ48" i="3"/>
  <c r="CQ47" i="3"/>
  <c r="CQ46" i="3"/>
  <c r="CQ41" i="3"/>
  <c r="CQ39" i="3"/>
  <c r="CQ35" i="3"/>
  <c r="CQ34" i="3"/>
  <c r="CQ26" i="3"/>
  <c r="CQ25" i="3"/>
  <c r="CQ17" i="3"/>
  <c r="CQ66" i="3"/>
  <c r="CQ62" i="3"/>
  <c r="CQ54" i="3"/>
  <c r="CQ53" i="3"/>
  <c r="CQ52" i="3"/>
  <c r="CQ51" i="3"/>
  <c r="CQ44" i="3"/>
  <c r="CQ43" i="3"/>
  <c r="CQ37" i="3"/>
  <c r="CW78" i="2"/>
  <c r="CW77" i="2"/>
  <c r="CW76" i="2"/>
  <c r="CW72" i="2"/>
  <c r="CQ23" i="3"/>
  <c r="CQ21" i="3"/>
  <c r="CQ20" i="3"/>
  <c r="CW74" i="2"/>
  <c r="CW73" i="2"/>
  <c r="CW70" i="2"/>
  <c r="CW67" i="2"/>
  <c r="CW66" i="2"/>
  <c r="CW65" i="2"/>
  <c r="CW64" i="2"/>
  <c r="CW63" i="2"/>
  <c r="CQ16" i="3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40" i="3"/>
  <c r="CQ38" i="3"/>
  <c r="CQ36" i="3"/>
  <c r="CQ31" i="3"/>
  <c r="CQ24" i="3"/>
  <c r="CQ22" i="3"/>
  <c r="CQ15" i="3"/>
  <c r="F13" i="1" l="1"/>
  <c r="F12" i="1"/>
  <c r="F24" i="1" s="1"/>
  <c r="G24" i="1" s="1"/>
  <c r="E24" i="1"/>
  <c r="CQ33" i="3"/>
  <c r="CQ77" i="3" s="1"/>
  <c r="CL33" i="3"/>
  <c r="CL77" i="3" s="1"/>
  <c r="I3" i="2"/>
  <c r="E6" i="1"/>
  <c r="H6" i="1" s="1"/>
  <c r="CH13" i="3"/>
  <c r="D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CW30" i="2"/>
  <c r="CW79" i="2" s="1"/>
  <c r="CV79" i="2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<sst xmlns="http://schemas.openxmlformats.org/spreadsheetml/2006/main" count="589" uniqueCount="175">
  <si>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</si>
  <si>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</si>
  <si>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</si>
  <si>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</si>
  <si>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</si>
  <si>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</si>
  <si>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</si>
  <si>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</si>
  <si>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</si>
  <si>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</si>
  <si>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</si>
  <si>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</si>
  <si>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</si>
  <si>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</si>
  <si>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</si>
  <si>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</si>
  <si>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</si>
  <si>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</si>
  <si>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</si>
  <si>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</si>
  <si>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</si>
  <si>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</si>
  <si>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</si>
  <si>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</si>
  <si>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</si>
  <si>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</si>
  <si>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</si>
  <si>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</si>
  <si>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</si>
  <si>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</si>
  <si>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</si>
  <si>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</si>
  <si>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</si>
  <si>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</si>
  <si>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</si>
  <si>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</si>
  <si>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</si>
  <si>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</si>
  <si>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</si>
  <si>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</si>
  <si>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</si>
  <si>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</si>
  <si>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</si>
  <si>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</si>
  <si>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</si>
  <si>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</si>
  <si>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</si>
  <si>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</si>
  <si>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</si>
  <si>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</si>
  <si>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</si>
  <si>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</si>
  <si>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</si>
  <si>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</si>
  <si>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</si>
  <si>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</si>
  <si>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</si>
  <si>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</si>
  <si>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</si>
  <si>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</si>
  <si>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</si>
  <si>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</si>
  <si>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</si>
  <si>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</si>
  <si>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</si>
  <si>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</si>
  <si>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</si>
  <si>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</si>
  <si>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</si>
  <si>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</si>
  <si>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</si>
  <si>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</si>
  <si>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</si>
  <si>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</si>
  <si>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</si>
  <si>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</si>
  <si>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</si>
  <si>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</si>
  <si>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</si>
  <si>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</si>
  <si>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</si>
  <si>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</si>
  <si>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</si>
  <si>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</si>
  <si>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</si>
  <si>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</si>
  <si>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</si>
  <si>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</si>
  <si>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</si>
  <si>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</si>
  <si>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</si>
  <si>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</si>
  <si>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</si>
  <si>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</si>
  <si>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</si>
  <si>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</si>
  <si>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</si>
  <si>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</si>
  <si>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</si>
  <si>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</si>
  <si>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</si>
  <si>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</si>
  <si>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</si>
  <si>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</si>
  <si>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</si>
  <si>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</si>
  <si>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</si>
  <si>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</si>
  <si>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</si>
  <si>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</si>
  <si>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</si>
  <si>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</si>
  <si>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16:14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</si>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</sst>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861</v>
      </c>
      <c r="C6" s="89"/>
      <c r="E6" s="88">
        <f>'Programa CAJAS REPORTE DIARIO'!CH77</f>
        <v>2228</v>
      </c>
      <c r="F6" s="89"/>
      <c r="H6" s="101">
        <f>B6+E6</f>
        <v>3089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202</v>
      </c>
      <c r="E23" s="70">
        <f>'Programa CAJAS REPORTE DIARIO'!AT77</f>
        <v>499</v>
      </c>
      <c r="F23" s="70">
        <f t="shared" si="0"/>
        <v>701</v>
      </c>
      <c r="G23" s="70">
        <f t="shared" si="1"/>
        <v>3089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861</v>
      </c>
      <c r="E24" s="75">
        <f>SUM(E11:E23)</f>
        <v>2228</v>
      </c>
      <c r="F24" s="75">
        <f>SUM(F11:F23)</f>
        <v>3089</v>
      </c>
      <c r="G24" s="75">
        <f>F24</f>
        <v>3089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861</v>
      </c>
      <c r="F3" s="79" t="s">
        <v>1</v>
      </c>
      <c r="I3" s="80">
        <f>'Programa CAJAS REPORTE DIARIO'!CH77+CN79</f>
        <v>3089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202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861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28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173</v>
      </c>
      <c r="CP28" s="27">
        <f t="shared" si="4"/>
        <v>173</v>
      </c>
      <c r="CQ28" s="22">
        <v>0</v>
      </c>
      <c r="CR28" s="22">
        <f t="shared" si="5"/>
        <v>173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45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115</v>
      </c>
      <c r="CP42" s="27">
        <f t="shared" si="4"/>
        <v>115</v>
      </c>
      <c r="CQ42" s="22">
        <v>0</v>
      </c>
      <c r="CR42" s="22">
        <f t="shared" si="5"/>
        <v>115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-115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59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59</v>
      </c>
      <c r="CP56" s="27">
        <f t="shared" si="11"/>
        <v>59</v>
      </c>
      <c r="CQ56" s="22">
        <v>0</v>
      </c>
      <c r="CR56" s="22">
        <f t="shared" si="12"/>
        <v>59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-59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202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861</v>
      </c>
      <c r="CP79" s="25">
        <f>+SUM(CP14:CP78)</f>
        <v>861</v>
      </c>
      <c r="CQ79" s="25">
        <f>+SUM(CQ14:CQ78)</f>
        <v>0</v>
      </c>
      <c r="CR79" s="25">
        <f>+SUM(CR14:CR78)</f>
        <v>861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6405.5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2228</v>
      </c>
      <c r="F3" s="79" t="s">
        <v>1</v>
      </c>
      <c r="I3" s="80">
        <f>'Programa CASETAS REPORTE DIARIO'!CN79+CH77</f>
        <v>3089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499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2228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42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407</v>
      </c>
      <c r="CJ27" s="27">
        <f t="shared" si="3"/>
        <v>407</v>
      </c>
      <c r="CK27" s="22">
        <v>0</v>
      </c>
      <c r="CL27" s="22">
        <f t="shared" si="4"/>
        <v>407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379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34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314</v>
      </c>
      <c r="CJ28" s="27">
        <f t="shared" si="3"/>
        <v>314</v>
      </c>
      <c r="CK28" s="22">
        <v>0</v>
      </c>
      <c r="CL28" s="22">
        <f t="shared" si="4"/>
        <v>314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58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95</v>
      </c>
      <c r="CJ29" s="27">
        <f t="shared" si="3"/>
        <v>95</v>
      </c>
      <c r="CK29" s="22">
        <v>0</v>
      </c>
      <c r="CL29" s="22">
        <f t="shared" si="4"/>
        <v>95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1241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62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155</v>
      </c>
      <c r="CJ35" s="27">
        <f t="shared" si="3"/>
        <v>155</v>
      </c>
      <c r="CK35" s="22">
        <v>0</v>
      </c>
      <c r="CL35" s="22">
        <f t="shared" si="4"/>
        <v>155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-56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4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48</v>
      </c>
      <c r="CJ41" s="27">
        <f t="shared" si="3"/>
        <v>48</v>
      </c>
      <c r="CK41" s="22">
        <v>0</v>
      </c>
      <c r="CL41" s="22">
        <f t="shared" si="4"/>
        <v>48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432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49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275</v>
      </c>
      <c r="CJ46" s="27">
        <f t="shared" ref="CJ46:CJ76" si="11">CH46</f>
        <v>275</v>
      </c>
      <c r="CK46" s="22">
        <v>0</v>
      </c>
      <c r="CL46" s="22">
        <f t="shared" ref="CL46:CL77" si="12">CJ46+CK46</f>
        <v>275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1253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125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130</v>
      </c>
      <c r="CJ53" s="27">
        <f t="shared" si="11"/>
        <v>130</v>
      </c>
      <c r="CK53" s="22">
        <v>0</v>
      </c>
      <c r="CL53" s="22">
        <f t="shared" si="12"/>
        <v>130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-62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19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66</v>
      </c>
      <c r="CJ61" s="27">
        <f t="shared" si="11"/>
        <v>66</v>
      </c>
      <c r="CK61" s="22">
        <v>0</v>
      </c>
      <c r="CL61" s="22">
        <f t="shared" si="12"/>
        <v>66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499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2228</v>
      </c>
      <c r="CJ77" s="25">
        <f>+SUM(CJ14:CJ76)</f>
        <v>2228</v>
      </c>
      <c r="CK77" s="25">
        <f>+SUM(CK14:CK76)</f>
        <v>0</v>
      </c>
      <c r="CL77" s="25">
        <f>+SUM(CL14:CL76)</f>
        <v>2228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9004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2026-10-29T22:14:58Z</dcterms:modified>
</cp:coreProperties>
</file>