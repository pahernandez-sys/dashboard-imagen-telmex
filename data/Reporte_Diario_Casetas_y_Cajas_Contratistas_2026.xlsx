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86422D7-BA1A-42FB-A7C2-A0ED005219C6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30" i="2" l="1"/>
  <c r="CW23" i="2"/>
  <c r="CW20" i="2"/>
  <c r="CQ16" i="3"/>
  <c r="CW78" i="2"/>
  <c r="CW77" i="2"/>
  <c r="CW76" i="2"/>
  <c r="CW75" i="2"/>
  <c r="CW73" i="2"/>
  <c r="CW71" i="2"/>
  <c r="CW70" i="2"/>
  <c r="CW31" i="2"/>
  <c r="CW68" i="2"/>
  <c r="CW67" i="2"/>
  <c r="CW60" i="2"/>
  <c r="CW58" i="2"/>
  <c r="CW52" i="2"/>
  <c r="CW48" i="2"/>
  <c r="CW47" i="2"/>
  <c r="CW44" i="2"/>
  <c r="CW43" i="2"/>
  <c r="CW42" i="2"/>
  <c r="CW41" i="2"/>
  <c r="CW40" i="2"/>
  <c r="CW39" i="2"/>
  <c r="CW38" i="2"/>
  <c r="CW37" i="2"/>
  <c r="CW36" i="2"/>
  <c r="CW32" i="2"/>
  <c r="CW22" i="2"/>
  <c r="AT13" i="3"/>
  <c r="E23" i="1"/>
  <c r="F23" i="1" s="1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E24" i="1" s="1"/>
  <c r="CP14" i="3"/>
  <c r="CO77" i="3"/>
  <c r="CH77" i="3"/>
  <c r="CJ14" i="3"/>
  <c r="F11" i="1"/>
  <c r="D24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41" i="3"/>
  <c r="CQ36" i="3"/>
  <c r="CQ32" i="3"/>
  <c r="CQ31" i="3"/>
  <c r="CQ29" i="3"/>
  <c r="CQ26" i="3"/>
  <c r="CQ24" i="3"/>
  <c r="CQ22" i="3"/>
  <c r="CQ19" i="3"/>
  <c r="CW62" i="2"/>
  <c r="CW61" i="2"/>
  <c r="CW59" i="2"/>
  <c r="CW57" i="2"/>
  <c r="CW56" i="2"/>
  <c r="CW55" i="2"/>
  <c r="CW54" i="2"/>
  <c r="CW53" i="2"/>
  <c r="CW50" i="2"/>
  <c r="CW49" i="2"/>
  <c r="CW46" i="2"/>
  <c r="CW45" i="2"/>
  <c r="CW35" i="2"/>
  <c r="CW34" i="2"/>
  <c r="CW33" i="2"/>
  <c r="CW29" i="2"/>
  <c r="CW28" i="2"/>
  <c r="CW27" i="2"/>
  <c r="CW26" i="2"/>
  <c r="CW25" i="2"/>
  <c r="CW21" i="2"/>
  <c r="CW17" i="2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0" i="3"/>
  <c r="CQ39" i="3"/>
  <c r="CQ38" i="3"/>
  <c r="CQ37" i="3"/>
  <c r="CQ35" i="3"/>
  <c r="CQ34" i="3"/>
  <c r="CQ33" i="3"/>
  <c r="CQ30" i="3"/>
  <c r="CQ28" i="3"/>
  <c r="CQ27" i="3"/>
  <c r="CQ25" i="3"/>
  <c r="CQ23" i="3"/>
  <c r="CQ21" i="3"/>
  <c r="CQ20" i="3"/>
  <c r="CQ18" i="3"/>
  <c r="CQ17" i="3"/>
  <c r="CQ15" i="3"/>
  <c r="CW74" i="2"/>
  <c r="CW72" i="2"/>
  <c r="CW66" i="2"/>
  <c r="CW65" i="2"/>
  <c r="CW64" i="2"/>
  <c r="CW63" i="2"/>
  <c r="CW51" i="2"/>
  <c r="CW24" i="2"/>
  <c r="CW19" i="2"/>
  <c r="CW18" i="2"/>
  <c r="CW16" i="2"/>
  <c r="CW15" i="2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B6" i="1"/>
  <c r="I3" i="3"/>
  <c r="CN13" i="2"/>
  <c r="D3" i="2"/>
  <c r="CP79" i="2"/>
  <c r="CR14" i="2"/>
  <c r="CR79" i="2" s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<sst xmlns="http://schemas.openxmlformats.org/spreadsheetml/2006/main" count="589" uniqueCount="175">
  <si>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</si>
  <si>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</si>
  <si>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</si>
  <si>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</si>
  <si>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</si>
  <si>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</si>
  <si>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</si>
  <si>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</si>
  <si>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</si>
  <si>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</si>
  <si>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</si>
  <si>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</si>
  <si>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</si>
  <si>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</si>
  <si>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</si>
  <si>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</si>
  <si>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</si>
  <si>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</si>
  <si>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</si>
  <si>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</si>
  <si>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</si>
  <si>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</si>
  <si>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</si>
  <si>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</si>
  <si>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</si>
  <si>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</si>
  <si>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</si>
  <si>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</si>
  <si>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</si>
  <si>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</si>
  <si>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</si>
  <si>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</si>
  <si>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</si>
  <si>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</si>
  <si>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</si>
  <si>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</si>
  <si>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</si>
  <si>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</si>
  <si>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</si>
  <si>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</si>
  <si>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</si>
  <si>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</si>
  <si>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</si>
  <si>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</si>
  <si>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</si>
  <si>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</si>
  <si>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</si>
  <si>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</si>
  <si>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</si>
  <si>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</si>
  <si>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</si>
  <si>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</si>
  <si>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</si>
  <si>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</si>
  <si>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</si>
  <si>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</si>
  <si>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</si>
  <si>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</si>
  <si>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</si>
  <si>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</si>
  <si>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</si>
  <si>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</si>
  <si>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</si>
  <si>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</si>
  <si>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</si>
  <si>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</si>
  <si>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</si>
  <si>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</si>
  <si>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</si>
  <si>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</si>
  <si>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</si>
  <si>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</si>
  <si>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</si>
  <si>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</si>
  <si>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</si>
  <si>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</si>
  <si>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</si>
  <si>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</si>
  <si>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</si>
  <si>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</si>
  <si>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</si>
  <si>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</si>
  <si>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</si>
  <si>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</si>
  <si>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</si>
  <si>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</si>
  <si>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</si>
  <si>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</si>
  <si>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</si>
  <si>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</si>
  <si>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</si>
  <si>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</si>
  <si>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</si>
  <si>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</si>
  <si>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</si>
  <si>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</si>
  <si>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</si>
  <si>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</si>
  <si>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</si>
  <si>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</si>
  <si>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</si>
  <si>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</si>
  <si>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</si>
  <si>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</si>
  <si>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</si>
  <si>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</si>
  <si>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</si>
  <si>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</si>
  <si>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</si>
  <si>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</si>
  <si>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</si>
  <si>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</si>
  <si>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12:44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</si>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</sst>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731</v>
      </c>
      <c r="C6" s="89"/>
      <c r="E6" s="88">
        <f>'Programa CAJAS REPORTE DIARIO'!CH77</f>
        <v>1948</v>
      </c>
      <c r="F6" s="89"/>
      <c r="H6" s="101">
        <f>B6+E6</f>
        <v>2679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72</v>
      </c>
      <c r="E23" s="70">
        <f>'Programa CAJAS REPORTE DIARIO'!AT77</f>
        <v>219</v>
      </c>
      <c r="F23" s="70">
        <f t="shared" si="0"/>
        <v>291</v>
      </c>
      <c r="G23" s="70">
        <f t="shared" si="1"/>
        <v>2679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731</v>
      </c>
      <c r="E24" s="75">
        <f>SUM(E11:E23)</f>
        <v>1948</v>
      </c>
      <c r="F24" s="75">
        <f>SUM(F11:F23)</f>
        <v>2679</v>
      </c>
      <c r="G24" s="75">
        <f>F24</f>
        <v>2679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731</v>
      </c>
      <c r="F3" s="79" t="s">
        <v>1</v>
      </c>
      <c r="I3" s="80">
        <f>'Programa CAJAS REPORTE DIARIO'!CH77+CN79</f>
        <v>2679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72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731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102</v>
      </c>
      <c r="CP29" s="27">
        <f t="shared" si="4"/>
        <v>102</v>
      </c>
      <c r="CQ29" s="22">
        <v>0</v>
      </c>
      <c r="CR29" s="22">
        <f t="shared" si="5"/>
        <v>102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2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72</v>
      </c>
      <c r="CP42" s="27">
        <f t="shared" si="4"/>
        <v>72</v>
      </c>
      <c r="CQ42" s="22">
        <v>0</v>
      </c>
      <c r="CR42" s="22">
        <f t="shared" si="5"/>
        <v>72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72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731</v>
      </c>
      <c r="CP79" s="25">
        <f>+SUM(CP14:CP78)</f>
        <v>731</v>
      </c>
      <c r="CQ79" s="25">
        <f>+SUM(CQ14:CQ78)</f>
        <v>0</v>
      </c>
      <c r="CR79" s="25">
        <f>+SUM(CR14:CR78)</f>
        <v>731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6535.5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1948</v>
      </c>
      <c r="F3" s="79" t="s">
        <v>1</v>
      </c>
      <c r="I3" s="80">
        <f>'Programa CASETAS REPORTE DIARIO'!CN79+CH77</f>
        <v>2679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219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1948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25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390</v>
      </c>
      <c r="CJ27" s="27">
        <f t="shared" si="3"/>
        <v>390</v>
      </c>
      <c r="CK27" s="22">
        <v>0</v>
      </c>
      <c r="CL27" s="22">
        <f t="shared" si="4"/>
        <v>390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304</v>
      </c>
      <c r="CJ28" s="27">
        <f t="shared" si="3"/>
        <v>304</v>
      </c>
      <c r="CK28" s="22">
        <v>0</v>
      </c>
      <c r="CL28" s="22">
        <f t="shared" si="4"/>
        <v>304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2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39</v>
      </c>
      <c r="CJ29" s="27">
        <f t="shared" si="3"/>
        <v>39</v>
      </c>
      <c r="CK29" s="22">
        <v>0</v>
      </c>
      <c r="CL29" s="22">
        <f t="shared" si="4"/>
        <v>39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1297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47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140</v>
      </c>
      <c r="CJ35" s="27">
        <f t="shared" si="3"/>
        <v>140</v>
      </c>
      <c r="CK35" s="22">
        <v>0</v>
      </c>
      <c r="CL35" s="22">
        <f t="shared" si="4"/>
        <v>140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22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129</v>
      </c>
      <c r="CJ43" s="27">
        <f t="shared" si="3"/>
        <v>129</v>
      </c>
      <c r="CK43" s="22">
        <v>0</v>
      </c>
      <c r="CL43" s="22">
        <f t="shared" si="4"/>
        <v>129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41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267</v>
      </c>
      <c r="CJ46" s="27">
        <f t="shared" ref="CJ46:CJ76" si="11">CH46</f>
        <v>267</v>
      </c>
      <c r="CK46" s="22">
        <v>0</v>
      </c>
      <c r="CL46" s="22">
        <f t="shared" ref="CL46:CL77" si="12">CJ46+CK46</f>
        <v>267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1261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24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29</v>
      </c>
      <c r="CJ53" s="27">
        <f t="shared" si="11"/>
        <v>29</v>
      </c>
      <c r="CK53" s="22">
        <v>0</v>
      </c>
      <c r="CL53" s="22">
        <f t="shared" si="12"/>
        <v>29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39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1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81</v>
      </c>
      <c r="CJ55" s="27">
        <f t="shared" si="11"/>
        <v>81</v>
      </c>
      <c r="CK55" s="22">
        <v>0</v>
      </c>
      <c r="CL55" s="22">
        <f t="shared" si="12"/>
        <v>81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9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56</v>
      </c>
      <c r="CJ61" s="27">
        <f t="shared" si="11"/>
        <v>56</v>
      </c>
      <c r="CK61" s="22">
        <v>0</v>
      </c>
      <c r="CL61" s="22">
        <f t="shared" si="12"/>
        <v>56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5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79</v>
      </c>
      <c r="CJ70" s="27">
        <f t="shared" si="11"/>
        <v>79</v>
      </c>
      <c r="CK70" s="22">
        <v>0</v>
      </c>
      <c r="CL70" s="22">
        <f t="shared" si="12"/>
        <v>79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-65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219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1948</v>
      </c>
      <c r="CJ77" s="25">
        <f>+SUM(CJ14:CJ76)</f>
        <v>1948</v>
      </c>
      <c r="CK77" s="25">
        <f>+SUM(CK14:CK76)</f>
        <v>0</v>
      </c>
      <c r="CL77" s="25">
        <f>+SUM(CL14:CL76)</f>
        <v>1948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9284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2026-10-29T18:44:04Z</dcterms:modified>
</cp:coreProperties>
</file>