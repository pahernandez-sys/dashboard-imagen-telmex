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A0584EA-11B1-4D21-8499-EADBB5C1C218}" xr6:coauthVersionLast="47" xr6:coauthVersionMax="47" xr10:uidLastSave="{00000000-0000-0000-0000-000000000000}"/>
  <bookViews>
    <workbookView xWindow="1560" yWindow="1560" windowWidth="15375" windowHeight="7725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DD17" i="2"/>
  <c r="CU17" i="2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57" i="3" l="1"/>
  <c r="CQ76" i="3"/>
  <c r="CQ74" i="3"/>
  <c r="CQ71" i="3"/>
  <c r="CQ70" i="3"/>
  <c r="CQ69" i="3"/>
  <c r="CQ68" i="3"/>
  <c r="CQ67" i="3"/>
  <c r="CQ66" i="3"/>
  <c r="CQ64" i="3"/>
  <c r="CQ56" i="3"/>
  <c r="CQ51" i="3"/>
  <c r="CQ63" i="3"/>
  <c r="CQ54" i="3"/>
  <c r="CQ49" i="3"/>
  <c r="CQ46" i="3"/>
  <c r="CQ40" i="3"/>
  <c r="CQ33" i="3"/>
  <c r="CQ36" i="3"/>
  <c r="CW19" i="2"/>
  <c r="CW57" i="2"/>
  <c r="CW34" i="2"/>
  <c r="E20" i="1"/>
  <c r="F20" i="1" s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O77" i="3"/>
  <c r="CP14" i="3"/>
  <c r="CJ14" i="3"/>
  <c r="CH77" i="3"/>
  <c r="F11" i="1"/>
  <c r="D21" i="1"/>
  <c r="CP18" i="2"/>
  <c r="CN79" i="2"/>
  <c r="CV17" i="2"/>
  <c r="CW17" i="2" s="1"/>
  <c r="CU79" i="2"/>
  <c r="CW14" i="2"/>
  <c r="CV79" i="2"/>
  <c r="CR14" i="2"/>
  <c r="CP79" i="2"/>
  <c r="CQ48" i="3"/>
  <c r="CQ47" i="3"/>
  <c r="CQ44" i="3"/>
  <c r="CQ41" i="3"/>
  <c r="CQ38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F19" i="1"/>
  <c r="F18" i="1"/>
  <c r="F17" i="1"/>
  <c r="F16" i="1"/>
  <c r="F15" i="1"/>
  <c r="F14" i="1"/>
  <c r="F13" i="1"/>
  <c r="F12" i="1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16" i="2"/>
  <c r="CW15" i="2"/>
  <c r="E21" i="1"/>
  <c r="CQ61" i="3"/>
  <c r="CQ60" i="3"/>
  <c r="CQ58" i="3"/>
  <c r="CQ55" i="3"/>
  <c r="CQ50" i="3"/>
  <c r="CQ37" i="3"/>
  <c r="CQ72" i="3"/>
  <c r="CQ43" i="3"/>
  <c r="CQ65" i="3"/>
  <c r="CQ62" i="3"/>
  <c r="CQ45" i="3"/>
  <c r="CQ42" i="3"/>
  <c r="CQ39" i="3"/>
  <c r="CQ53" i="3"/>
  <c r="CW20" i="2"/>
  <c r="CQ75" i="3"/>
  <c r="CQ73" i="3"/>
  <c r="CQ59" i="3"/>
  <c r="CQ52" i="3"/>
  <c r="CQ14" i="3" l="1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8" i="2"/>
  <c r="CW79" i="2" s="1"/>
  <c r="CR18" i="2"/>
  <c r="CR79" i="2" s="1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<sst xmlns="http://schemas.openxmlformats.org/spreadsheetml/2006/main" count="580" uniqueCount="171">
  <si>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</si>
  <si>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</si>
  <si>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</si>
  <si>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</si>
  <si>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</si>
  <si>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</si>
  <si>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</si>
  <si>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</si>
  <si>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</si>
  <si>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</si>
  <si>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</si>
  <si>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</si>
  <si>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</si>
  <si>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</si>
  <si>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</si>
  <si>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</si>
  <si>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</si>
  <si>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</si>
  <si>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</si>
  <si>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</si>
  <si>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</si>
  <si>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</si>
  <si>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</si>
  <si>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</si>
  <si>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</si>
  <si>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</si>
  <si>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</si>
  <si>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</si>
  <si>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</si>
  <si>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</si>
  <si>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</si>
  <si>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</si>
  <si>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</si>
  <si>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</si>
  <si>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</si>
  <si>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</si>
  <si>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</si>
  <si>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</si>
  <si>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</si>
  <si>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</si>
  <si>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</si>
  <si>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</si>
  <si>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</si>
  <si>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</si>
  <si>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</si>
  <si>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</si>
  <si>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</si>
  <si>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</si>
  <si>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</si>
  <si>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</si>
  <si>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</si>
  <si>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</si>
  <si>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</si>
  <si>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</si>
  <si>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</si>
  <si>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</si>
  <si>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</si>
  <si>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</si>
  <si>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</si>
  <si>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</si>
  <si>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</si>
  <si>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</si>
  <si>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</si>
  <si>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</si>
  <si>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</si>
  <si>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</si>
  <si>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</si>
  <si>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</si>
  <si>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</si>
  <si>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</si>
  <si>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</si>
  <si>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</si>
  <si>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</si>
  <si>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</si>
  <si>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</si>
  <si>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</si>
  <si>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</si>
  <si>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</si>
  <si>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</si>
  <si>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</si>
  <si>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</si>
  <si>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</si>
  <si>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</si>
  <si>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</si>
  <si>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</si>
  <si>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</si>
  <si>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</si>
  <si>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</si>
  <si>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</si>
  <si>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</si>
  <si>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</si>
  <si>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</si>
  <si>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</si>
  <si>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</si>
  <si>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</si>
  <si>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</si>
  <si>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</si>
  <si>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</si>
  <si>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</si>
  <si>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</si>
  <si>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</si>
  <si>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</si>
  <si>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</si>
  <si>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</si>
  <si>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</si>
  <si>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</si>
  <si>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</si>
  <si>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</si>
  <si>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</si>
  <si>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</si>
  <si>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</si>
  <si>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</si>
  <si>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(26/10/2026, 21:15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</si>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</sst>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9.140625" defaultRowHeight="15" x14ac:dyDescent="0.2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7.95" customHeight="1" x14ac:dyDescent="0.2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.100000000000001" customHeight="1" x14ac:dyDescent="0.2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2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.1" customHeight="1" x14ac:dyDescent="0.25">
      <c r="B6" s="88">
        <f>'Programa CASETAS REPORTE DIARIO'!CN79</f>
        <v>341</v>
      </c>
      <c r="C6" s="89"/>
      <c r="E6" s="88">
        <f>'Programa CAJAS REPORTE DIARIO'!CH77</f>
        <v>859</v>
      </c>
      <c r="F6" s="89"/>
      <c r="H6" s="101">
        <f>B6+E6</f>
        <v>1200</v>
      </c>
      <c r="I6" s="97"/>
      <c r="J6" s="97"/>
    </row>
    <row r="7" spans="2:10" ht="15.95" customHeight="1" x14ac:dyDescent="0.2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75" x14ac:dyDescent="0.2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2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.100000000000001" customHeight="1" x14ac:dyDescent="0.2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.100000000000001" customHeight="1" x14ac:dyDescent="0.2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.100000000000001" customHeight="1" x14ac:dyDescent="0.2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.100000000000001" customHeight="1" x14ac:dyDescent="0.2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.100000000000001" customHeight="1" x14ac:dyDescent="0.2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.100000000000001" customHeight="1" x14ac:dyDescent="0.2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.100000000000001" customHeight="1" x14ac:dyDescent="0.2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.100000000000001" customHeight="1" x14ac:dyDescent="0.2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.100000000000001" customHeight="1" x14ac:dyDescent="0.2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.100000000000001" customHeight="1" x14ac:dyDescent="0.25">
      <c r="B20" s="71" t="s">
        <v>144</v>
      </c>
      <c r="C20" s="71" t="s">
        <v>133</v>
      </c>
      <c r="D20" s="72">
        <f>'Programa CASETAS REPORTE DIARIO'!AK79</f>
        <v>78</v>
      </c>
      <c r="E20" s="72">
        <f>'Programa CAJAS REPORTE DIARIO'!AQ77</f>
        <v>175</v>
      </c>
      <c r="F20" s="72">
        <f t="shared" si="0"/>
        <v>253</v>
      </c>
      <c r="G20" s="72">
        <f t="shared" si="1"/>
        <v>1200</v>
      </c>
      <c r="H20" s="71" t="s">
        <v>145</v>
      </c>
    </row>
    <row r="21" spans="2:8" ht="24" customHeight="1" x14ac:dyDescent="0.25">
      <c r="B21" s="73" t="s">
        <v>146</v>
      </c>
      <c r="C21" s="74"/>
      <c r="D21" s="75">
        <f>SUM(D11:D20)</f>
        <v>341</v>
      </c>
      <c r="E21" s="75">
        <f>SUM(E11:E20)</f>
        <v>859</v>
      </c>
      <c r="F21" s="75">
        <f>SUM(F11:F20)</f>
        <v>1200</v>
      </c>
      <c r="G21" s="75">
        <f>F21</f>
        <v>1200</v>
      </c>
      <c r="H21" s="76" t="s">
        <v>147</v>
      </c>
    </row>
    <row r="23" spans="2:8" x14ac:dyDescent="0.2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2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2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2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2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9.5703125" bestFit="1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9" width="13.42578125" customWidth="1"/>
    <col min="10" max="10" width="15.42578125" customWidth="1"/>
    <col min="11" max="11" width="2.7109375" customWidth="1"/>
    <col min="12" max="12" width="7.5703125" hidden="1" customWidth="1"/>
    <col min="13" max="15" width="7.140625" hidden="1" customWidth="1"/>
    <col min="16" max="16" width="9" hidden="1" customWidth="1"/>
    <col min="17" max="17" width="1.85546875" hidden="1" customWidth="1"/>
    <col min="18" max="18" width="13.5703125" style="3" customWidth="1"/>
    <col min="19" max="19" width="1.5703125" style="3" customWidth="1"/>
    <col min="20" max="21" width="12.85546875" customWidth="1"/>
    <col min="22" max="22" width="3.5703125" customWidth="1"/>
    <col min="23" max="26" width="13.7109375" customWidth="1" outlineLevel="1"/>
    <col min="27" max="27" width="13.5703125" customWidth="1" outlineLevel="1"/>
    <col min="28" max="35" width="13.7109375" customWidth="1" outlineLevel="1"/>
    <col min="36" max="36" width="13.5703125" customWidth="1" outlineLevel="1"/>
    <col min="37" max="37" width="13.42578125" customWidth="1" outlineLevel="1"/>
    <col min="38" max="38" width="13.5703125" customWidth="1" outlineLevel="1"/>
    <col min="39" max="39" width="13.7109375" customWidth="1" outlineLevel="1"/>
    <col min="40" max="40" width="13.5703125" customWidth="1" outlineLevel="1"/>
    <col min="41" max="42" width="13.7109375" customWidth="1" outlineLevel="1"/>
    <col min="43" max="91" width="13.5703125" customWidth="1" outlineLevel="1"/>
    <col min="92" max="92" width="14" customWidth="1"/>
    <col min="93" max="93" width="2.42578125" customWidth="1"/>
    <col min="94" max="95" width="13.85546875" customWidth="1"/>
    <col min="96" max="96" width="14" customWidth="1"/>
    <col min="97" max="97" width="15.7109375" customWidth="1"/>
    <col min="98" max="100" width="11.42578125" customWidth="1"/>
    <col min="101" max="101" width="11.85546875" customWidth="1"/>
    <col min="102" max="103" width="11.42578125" customWidth="1"/>
  </cols>
  <sheetData>
    <row r="3" spans="1:108" ht="21" x14ac:dyDescent="0.25">
      <c r="B3" s="77" t="s">
        <v>0</v>
      </c>
      <c r="D3" s="78">
        <f>+CN79</f>
        <v>341</v>
      </c>
      <c r="F3" s="79" t="s">
        <v>1</v>
      </c>
      <c r="I3" s="80">
        <f>'Programa CAJAS REPORTE DIARIO'!CH77+CN79</f>
        <v>1200</v>
      </c>
    </row>
    <row r="10" spans="1:108" x14ac:dyDescent="0.2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2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2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78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341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2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2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2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2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2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2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2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2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2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2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2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2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2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2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125</v>
      </c>
      <c r="CP27" s="27">
        <f t="shared" si="4"/>
        <v>125</v>
      </c>
      <c r="CQ27" s="22">
        <v>0</v>
      </c>
      <c r="CR27" s="22">
        <f t="shared" si="5"/>
        <v>125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245.5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2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100</v>
      </c>
      <c r="CP28" s="27">
        <f t="shared" si="4"/>
        <v>100</v>
      </c>
      <c r="CQ28" s="22">
        <v>0</v>
      </c>
      <c r="CR28" s="22">
        <f t="shared" si="5"/>
        <v>100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2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2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2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2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94</v>
      </c>
      <c r="CX32" s="43"/>
      <c r="CY32" s="17">
        <v>188</v>
      </c>
      <c r="DD32" s="14">
        <f t="shared" si="9"/>
        <v>188</v>
      </c>
    </row>
    <row r="33" spans="1:108" x14ac:dyDescent="0.2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2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2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2</v>
      </c>
      <c r="CP35" s="27">
        <f t="shared" si="4"/>
        <v>2</v>
      </c>
      <c r="CQ35" s="22">
        <v>0</v>
      </c>
      <c r="CR35" s="22">
        <f t="shared" si="5"/>
        <v>2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-2</v>
      </c>
      <c r="CX35" s="43"/>
      <c r="CY35" s="17"/>
      <c r="DD35" s="14">
        <f t="shared" si="9"/>
        <v>0</v>
      </c>
    </row>
    <row r="36" spans="1:108" x14ac:dyDescent="0.2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8</v>
      </c>
      <c r="CP36" s="27">
        <f t="shared" si="4"/>
        <v>8</v>
      </c>
      <c r="CQ36" s="22">
        <v>0</v>
      </c>
      <c r="CR36" s="22">
        <f t="shared" si="5"/>
        <v>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-8</v>
      </c>
      <c r="CX36" s="43"/>
      <c r="CY36" s="17"/>
      <c r="DD36" s="14">
        <f t="shared" si="9"/>
        <v>0</v>
      </c>
    </row>
    <row r="37" spans="1:108" ht="15.75" customHeight="1" x14ac:dyDescent="0.2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2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2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2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2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2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6</v>
      </c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</v>
      </c>
      <c r="CP42" s="27">
        <f t="shared" si="4"/>
        <v>6</v>
      </c>
      <c r="CQ42" s="22">
        <v>0</v>
      </c>
      <c r="CR42" s="22">
        <f t="shared" si="5"/>
        <v>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</v>
      </c>
      <c r="CX42" s="43"/>
      <c r="CY42" s="17"/>
      <c r="DD42" s="14">
        <f t="shared" si="9"/>
        <v>0</v>
      </c>
    </row>
    <row r="43" spans="1:108" x14ac:dyDescent="0.2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2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2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2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2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2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2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2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2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749</v>
      </c>
      <c r="CX51" s="43"/>
      <c r="CY51" s="17"/>
      <c r="CZ51">
        <v>1500</v>
      </c>
      <c r="DD51" s="14">
        <f t="shared" si="16"/>
        <v>1500</v>
      </c>
    </row>
    <row r="52" spans="1:108" x14ac:dyDescent="0.2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2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2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2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2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2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2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2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2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2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2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2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2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2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2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2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2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2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2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2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2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2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2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2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2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2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2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78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341</v>
      </c>
      <c r="CP79" s="25">
        <f>+SUM(CP14:CP78)</f>
        <v>341</v>
      </c>
      <c r="CQ79" s="25">
        <f>+SUM(CQ14:CQ78)</f>
        <v>0</v>
      </c>
      <c r="CR79" s="25">
        <f>+SUM(CR14:CR78)</f>
        <v>341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2791.5</v>
      </c>
    </row>
    <row r="80" spans="1:108" hidden="1" x14ac:dyDescent="0.2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2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2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2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2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2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2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25">
      <c r="B87" s="32"/>
      <c r="C87" s="32"/>
      <c r="D87" s="32"/>
      <c r="E87" s="32"/>
      <c r="H87" s="14"/>
      <c r="I87" s="14"/>
    </row>
    <row r="88" spans="1:101" x14ac:dyDescent="0.25">
      <c r="B88" s="32"/>
      <c r="C88" s="32"/>
      <c r="D88" s="32"/>
      <c r="E88" s="32"/>
      <c r="H88" s="14"/>
      <c r="I88" s="14"/>
    </row>
    <row r="89" spans="1:101" x14ac:dyDescent="0.2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2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2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2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2.5703125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15" width="13.42578125" customWidth="1"/>
    <col min="16" max="16" width="15.42578125" customWidth="1"/>
    <col min="17" max="17" width="2.7109375" customWidth="1"/>
    <col min="18" max="18" width="7.5703125" hidden="1" customWidth="1"/>
    <col min="19" max="21" width="7.140625" hidden="1" customWidth="1"/>
    <col min="22" max="22" width="9" hidden="1" customWidth="1"/>
    <col min="23" max="23" width="1.85546875" hidden="1" customWidth="1"/>
    <col min="24" max="24" width="13.5703125" style="3" customWidth="1"/>
    <col min="25" max="25" width="1.5703125" style="3" customWidth="1"/>
    <col min="26" max="27" width="12.85546875" customWidth="1"/>
    <col min="28" max="28" width="3.5703125" style="6" customWidth="1"/>
    <col min="29" max="32" width="13.7109375" customWidth="1" outlineLevel="1"/>
    <col min="33" max="33" width="13.5703125" customWidth="1" outlineLevel="1"/>
    <col min="34" max="34" width="13.42578125" customWidth="1" outlineLevel="1"/>
    <col min="35" max="35" width="13.5703125" customWidth="1" outlineLevel="1"/>
    <col min="36" max="36" width="13.7109375" customWidth="1" outlineLevel="1"/>
    <col min="37" max="37" width="13.5703125" customWidth="1" outlineLevel="1"/>
    <col min="38" max="39" width="13.7109375" customWidth="1" outlineLevel="1"/>
    <col min="40" max="85" width="13.5703125" customWidth="1" outlineLevel="1"/>
    <col min="86" max="86" width="14" customWidth="1"/>
    <col min="87" max="87" width="4.28515625" customWidth="1"/>
    <col min="88" max="88" width="13.85546875" customWidth="1"/>
    <col min="89" max="89" width="15.7109375" customWidth="1"/>
    <col min="90" max="90" width="14" customWidth="1"/>
    <col min="91" max="91" width="15.7109375" customWidth="1"/>
    <col min="92" max="94" width="11.42578125" customWidth="1"/>
    <col min="95" max="95" width="11.85546875" customWidth="1"/>
    <col min="96" max="97" width="11.42578125" customWidth="1"/>
  </cols>
  <sheetData>
    <row r="3" spans="1:107" ht="21" x14ac:dyDescent="0.25">
      <c r="B3" s="77" t="s">
        <v>153</v>
      </c>
      <c r="D3" s="78">
        <f>+CH77</f>
        <v>859</v>
      </c>
      <c r="F3" s="79" t="s">
        <v>1</v>
      </c>
      <c r="I3" s="80">
        <f>'Programa CASETAS REPORTE DIARIO'!CN79+CH77</f>
        <v>1200</v>
      </c>
    </row>
    <row r="10" spans="1:107" x14ac:dyDescent="0.2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2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2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859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2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2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2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2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2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2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2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2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2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2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2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2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2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2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288</v>
      </c>
      <c r="CJ27" s="27">
        <f t="shared" si="3"/>
        <v>288</v>
      </c>
      <c r="CK27" s="22">
        <v>0</v>
      </c>
      <c r="CL27" s="22">
        <f t="shared" si="4"/>
        <v>288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498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2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153</v>
      </c>
      <c r="CJ28" s="27">
        <f t="shared" si="3"/>
        <v>153</v>
      </c>
      <c r="CK28" s="22">
        <v>0</v>
      </c>
      <c r="CL28" s="22">
        <f t="shared" si="4"/>
        <v>153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25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2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2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2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2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1</v>
      </c>
      <c r="CJ32" s="27">
        <f t="shared" si="3"/>
        <v>1</v>
      </c>
      <c r="CK32" s="22">
        <v>0</v>
      </c>
      <c r="CL32" s="22">
        <f t="shared" si="4"/>
        <v>1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4331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2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2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2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4</v>
      </c>
      <c r="CJ35" s="27">
        <f t="shared" si="3"/>
        <v>4</v>
      </c>
      <c r="CK35" s="22">
        <v>0</v>
      </c>
      <c r="CL35" s="22">
        <f t="shared" si="4"/>
        <v>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2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22</v>
      </c>
      <c r="CJ36" s="27">
        <f t="shared" si="3"/>
        <v>22</v>
      </c>
      <c r="CK36" s="22">
        <v>0</v>
      </c>
      <c r="CL36" s="22">
        <f t="shared" si="4"/>
        <v>22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-22</v>
      </c>
      <c r="CR36" s="43"/>
      <c r="CS36" s="17"/>
      <c r="DC36" s="14">
        <f t="shared" si="8"/>
        <v>0</v>
      </c>
    </row>
    <row r="37" spans="1:107" x14ac:dyDescent="0.2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</v>
      </c>
      <c r="CJ37" s="27">
        <f t="shared" si="3"/>
        <v>2</v>
      </c>
      <c r="CK37" s="22">
        <v>0</v>
      </c>
      <c r="CL37" s="22">
        <f t="shared" si="4"/>
        <v>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2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2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2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2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2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2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2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2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2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107</v>
      </c>
      <c r="CJ46" s="27">
        <f t="shared" ref="CJ46:CJ76" si="11">CH46</f>
        <v>107</v>
      </c>
      <c r="CK46" s="22">
        <v>0</v>
      </c>
      <c r="CL46" s="22">
        <f t="shared" ref="CL46:CL77" si="12">CJ46+CK46</f>
        <v>107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224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2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2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2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2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2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2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2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2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2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2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2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38</v>
      </c>
      <c r="CJ57" s="27">
        <f t="shared" si="11"/>
        <v>38</v>
      </c>
      <c r="CK57" s="22">
        <v>0</v>
      </c>
      <c r="CL57" s="22">
        <f t="shared" si="12"/>
        <v>38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54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2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2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2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2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26</v>
      </c>
      <c r="CJ61" s="27">
        <f t="shared" si="11"/>
        <v>26</v>
      </c>
      <c r="CK61" s="22">
        <v>0</v>
      </c>
      <c r="CL61" s="22">
        <f t="shared" si="12"/>
        <v>26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2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2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2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36</v>
      </c>
      <c r="CJ64" s="27">
        <f t="shared" si="11"/>
        <v>36</v>
      </c>
      <c r="CK64" s="22">
        <v>0</v>
      </c>
      <c r="CL64" s="22">
        <f t="shared" si="12"/>
        <v>36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-24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2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2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2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2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2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2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39</v>
      </c>
      <c r="CJ70" s="27">
        <f t="shared" si="11"/>
        <v>39</v>
      </c>
      <c r="CK70" s="22">
        <v>0</v>
      </c>
      <c r="CL70" s="22">
        <f t="shared" si="12"/>
        <v>39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-25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2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2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2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2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2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2</v>
      </c>
      <c r="CJ75" s="27">
        <f t="shared" si="11"/>
        <v>2</v>
      </c>
      <c r="CK75" s="22">
        <v>0</v>
      </c>
      <c r="CL75" s="22">
        <f t="shared" si="12"/>
        <v>2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-1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2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0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859</v>
      </c>
      <c r="CJ77" s="25">
        <f>+SUM(CJ14:CJ76)</f>
        <v>859</v>
      </c>
      <c r="CK77" s="25">
        <f>+SUM(CK14:CK76)</f>
        <v>0</v>
      </c>
      <c r="CL77" s="25">
        <f>+SUM(CL14:CL76)</f>
        <v>859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6128</v>
      </c>
    </row>
    <row r="78" spans="1:107" x14ac:dyDescent="0.2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2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2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2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2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2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2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2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2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2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2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2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2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2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2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2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2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2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2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2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2026-10-27T03:15:23Z</dcterms:modified>
</cp:coreProperties>
</file>