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B0C5C7E2-6338-476F-AC72-DDC6873CA7B5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 s="1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 s="1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/>
  <c r="CP40" i="3" s="1"/>
  <c r="CH40" i="3"/>
  <c r="CJ40" i="3" s="1"/>
  <c r="CL40" i="3" s="1"/>
  <c r="DC39" i="3"/>
  <c r="CO39" i="3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/>
  <c r="CP37" i="3" s="1"/>
  <c r="CH37" i="3"/>
  <c r="CJ37" i="3" s="1"/>
  <c r="CL37" i="3" s="1"/>
  <c r="DC36" i="3"/>
  <c r="CO36" i="3" s="1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 s="1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 s="1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 s="1"/>
  <c r="CP25" i="3" s="1"/>
  <c r="CH25" i="3"/>
  <c r="CJ25" i="3" s="1"/>
  <c r="CL25" i="3" s="1"/>
  <c r="DC24" i="3"/>
  <c r="CO24" i="3" s="1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 s="1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 s="1"/>
  <c r="CP20" i="3" s="1"/>
  <c r="CH20" i="3"/>
  <c r="CJ20" i="3" s="1"/>
  <c r="CL20" i="3" s="1"/>
  <c r="DC19" i="3"/>
  <c r="CO19" i="3" s="1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 s="1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K79" i="2"/>
  <c r="CJ79" i="2"/>
  <c r="CJ13" i="2" s="1"/>
  <c r="CI79" i="2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I13" i="2" s="1"/>
  <c r="BH79" i="2"/>
  <c r="BH13" i="2" s="1"/>
  <c r="BG79" i="2"/>
  <c r="BG13" i="2" s="1"/>
  <c r="BF79" i="2"/>
  <c r="BF13" i="2" s="1"/>
  <c r="BE79" i="2"/>
  <c r="BE13" i="2" s="1"/>
  <c r="BD79" i="2"/>
  <c r="BD13" i="2" s="1"/>
  <c r="BC79" i="2"/>
  <c r="BC13" i="2" s="1"/>
  <c r="BB79" i="2"/>
  <c r="BB13" i="2" s="1"/>
  <c r="BA79" i="2"/>
  <c r="BA13" i="2" s="1"/>
  <c r="AZ79" i="2"/>
  <c r="AZ13" i="2" s="1"/>
  <c r="AY79" i="2"/>
  <c r="AY13" i="2" s="1"/>
  <c r="AX79" i="2"/>
  <c r="AX13" i="2" s="1"/>
  <c r="AW79" i="2"/>
  <c r="AW13" i="2" s="1"/>
  <c r="AV79" i="2"/>
  <c r="AV13" i="2" s="1"/>
  <c r="AU79" i="2"/>
  <c r="AU13" i="2" s="1"/>
  <c r="AT79" i="2"/>
  <c r="AT13" i="2" s="1"/>
  <c r="AS79" i="2"/>
  <c r="AS13" i="2" s="1"/>
  <c r="AR79" i="2"/>
  <c r="AR13" i="2" s="1"/>
  <c r="AQ79" i="2"/>
  <c r="AQ13" i="2" s="1"/>
  <c r="AP79" i="2"/>
  <c r="AP13" i="2" s="1"/>
  <c r="AO79" i="2"/>
  <c r="AO13" i="2" s="1"/>
  <c r="AN79" i="2"/>
  <c r="AM79" i="2"/>
  <c r="AL79" i="2"/>
  <c r="AK79" i="2"/>
  <c r="AJ79" i="2"/>
  <c r="AI79" i="2"/>
  <c r="AH79" i="2"/>
  <c r="AG79" i="2"/>
  <c r="AF79" i="2"/>
  <c r="AE79" i="2"/>
  <c r="AD79" i="2"/>
  <c r="AC79" i="2"/>
  <c r="AB79" i="2"/>
  <c r="AA79" i="2"/>
  <c r="AA13" i="2" s="1"/>
  <c r="Z79" i="2"/>
  <c r="Z13" i="2" s="1"/>
  <c r="Y79" i="2"/>
  <c r="Y13" i="2" s="1"/>
  <c r="X79" i="2"/>
  <c r="X13" i="2" s="1"/>
  <c r="W79" i="2"/>
  <c r="W13" i="2" s="1"/>
  <c r="DD78" i="2"/>
  <c r="CU78" i="2" s="1"/>
  <c r="CV78" i="2" s="1"/>
  <c r="CN78" i="2"/>
  <c r="CP78" i="2" s="1"/>
  <c r="CR78" i="2" s="1"/>
  <c r="DD77" i="2"/>
  <c r="CU77" i="2" s="1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/>
  <c r="CV74" i="2" s="1"/>
  <c r="CN74" i="2"/>
  <c r="CP74" i="2" s="1"/>
  <c r="DD73" i="2"/>
  <c r="CU73" i="2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W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 s="1"/>
  <c r="CV68" i="2" s="1"/>
  <c r="CN68" i="2"/>
  <c r="CP68" i="2" s="1"/>
  <c r="CR68" i="2" s="1"/>
  <c r="DD67" i="2"/>
  <c r="CU67" i="2"/>
  <c r="CV67" i="2" s="1"/>
  <c r="CN67" i="2"/>
  <c r="CP67" i="2" s="1"/>
  <c r="CR67" i="2" s="1"/>
  <c r="DD66" i="2"/>
  <c r="CU66" i="2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/>
  <c r="CV50" i="2" s="1"/>
  <c r="CN50" i="2"/>
  <c r="CP50" i="2" s="1"/>
  <c r="CR50" i="2" s="1"/>
  <c r="DD49" i="2"/>
  <c r="CU49" i="2" s="1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 s="1"/>
  <c r="CV45" i="2" s="1"/>
  <c r="CN45" i="2"/>
  <c r="CP45" i="2" s="1"/>
  <c r="CR45" i="2" s="1"/>
  <c r="DD44" i="2"/>
  <c r="CU44" i="2"/>
  <c r="CV44" i="2" s="1"/>
  <c r="CN44" i="2"/>
  <c r="CP44" i="2" s="1"/>
  <c r="DD43" i="2"/>
  <c r="CU43" i="2" s="1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 s="1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 s="1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 s="1"/>
  <c r="CV37" i="2" s="1"/>
  <c r="CN37" i="2"/>
  <c r="CP37" i="2" s="1"/>
  <c r="CR37" i="2" s="1"/>
  <c r="DD36" i="2"/>
  <c r="CU36" i="2" s="1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 s="1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 s="1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 s="1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 s="1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/>
  <c r="CV18" i="2" s="1"/>
  <c r="CN18" i="2"/>
  <c r="CP18" i="2" s="1"/>
  <c r="CR18" i="2" s="1"/>
  <c r="DD17" i="2"/>
  <c r="CU17" i="2" s="1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N15" i="2"/>
  <c r="CP15" i="2" s="1"/>
  <c r="CR15" i="2" s="1"/>
  <c r="DD14" i="2"/>
  <c r="CU14" i="2" s="1"/>
  <c r="CN14" i="2"/>
  <c r="CL13" i="2"/>
  <c r="CK13" i="2"/>
  <c r="CI13" i="2"/>
  <c r="CQ54" i="3" l="1"/>
  <c r="CQ22" i="3"/>
  <c r="CW18" i="2"/>
  <c r="CQ76" i="3"/>
  <c r="CQ75" i="3"/>
  <c r="CQ53" i="3"/>
  <c r="CQ29" i="3"/>
  <c r="CQ44" i="3"/>
  <c r="CQ41" i="3"/>
  <c r="CQ36" i="3"/>
  <c r="CQ34" i="3"/>
  <c r="CQ23" i="3"/>
  <c r="CQ20" i="3"/>
  <c r="CQ18" i="3"/>
  <c r="CQ15" i="3"/>
  <c r="AT13" i="3"/>
  <c r="E23" i="1"/>
  <c r="AS13" i="3"/>
  <c r="E22" i="1"/>
  <c r="AR13" i="3"/>
  <c r="E21" i="1"/>
  <c r="AQ13" i="3"/>
  <c r="E20" i="1"/>
  <c r="AP13" i="3"/>
  <c r="E19" i="1"/>
  <c r="AO13" i="3"/>
  <c r="E18" i="1"/>
  <c r="AN13" i="3"/>
  <c r="E17" i="1"/>
  <c r="AM13" i="3"/>
  <c r="E16" i="1"/>
  <c r="AL13" i="3"/>
  <c r="E15" i="1"/>
  <c r="AK13" i="3"/>
  <c r="E14" i="1"/>
  <c r="AJ13" i="3"/>
  <c r="E13" i="1"/>
  <c r="E12" i="1"/>
  <c r="AI13" i="3"/>
  <c r="E11" i="1"/>
  <c r="AH13" i="3"/>
  <c r="CW74" i="2"/>
  <c r="CR74" i="2"/>
  <c r="CW44" i="2"/>
  <c r="CR44" i="2"/>
  <c r="CO77" i="3"/>
  <c r="CP14" i="3"/>
  <c r="CH77" i="3"/>
  <c r="CJ14" i="3"/>
  <c r="D23" i="1"/>
  <c r="F23" i="1" s="1"/>
  <c r="AN13" i="2"/>
  <c r="D22" i="1"/>
  <c r="F22" i="1" s="1"/>
  <c r="AM13" i="2"/>
  <c r="D21" i="1"/>
  <c r="F21" i="1" s="1"/>
  <c r="AL13" i="2"/>
  <c r="D20" i="1"/>
  <c r="F20" i="1" s="1"/>
  <c r="AK13" i="2"/>
  <c r="D19" i="1"/>
  <c r="F19" i="1" s="1"/>
  <c r="AJ13" i="2"/>
  <c r="D18" i="1"/>
  <c r="F18" i="1" s="1"/>
  <c r="AI13" i="2"/>
  <c r="D17" i="1"/>
  <c r="F17" i="1" s="1"/>
  <c r="AH13" i="2"/>
  <c r="D16" i="1"/>
  <c r="AG13" i="2"/>
  <c r="AF13" i="2"/>
  <c r="D15" i="1"/>
  <c r="F15" i="1" s="1"/>
  <c r="AE13" i="2"/>
  <c r="D14" i="1"/>
  <c r="F14" i="1" s="1"/>
  <c r="AD13" i="2"/>
  <c r="D13" i="1"/>
  <c r="F13" i="1" s="1"/>
  <c r="AC13" i="2"/>
  <c r="D12" i="1"/>
  <c r="F12" i="1" s="1"/>
  <c r="AB13" i="2"/>
  <c r="D11" i="1"/>
  <c r="CU79" i="2"/>
  <c r="CV14" i="2"/>
  <c r="CN79" i="2"/>
  <c r="CP14" i="2"/>
  <c r="CQ67" i="3"/>
  <c r="CQ61" i="3"/>
  <c r="CQ60" i="3"/>
  <c r="CQ58" i="3"/>
  <c r="CQ52" i="3"/>
  <c r="CQ50" i="3"/>
  <c r="CQ49" i="3"/>
  <c r="CQ42" i="3"/>
  <c r="CQ40" i="3"/>
  <c r="CQ39" i="3"/>
  <c r="CQ35" i="3"/>
  <c r="CQ32" i="3"/>
  <c r="CQ30" i="3"/>
  <c r="CQ27" i="3"/>
  <c r="CQ26" i="3"/>
  <c r="CQ25" i="3"/>
  <c r="CQ21" i="3"/>
  <c r="CQ19" i="3"/>
  <c r="CQ16" i="3"/>
  <c r="CW78" i="2"/>
  <c r="CW77" i="2"/>
  <c r="CW76" i="2"/>
  <c r="CW75" i="2"/>
  <c r="CW73" i="2"/>
  <c r="CW72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Q74" i="3"/>
  <c r="CQ73" i="3"/>
  <c r="CQ72" i="3"/>
  <c r="CQ62" i="3"/>
  <c r="CQ48" i="3"/>
  <c r="CQ47" i="3"/>
  <c r="CQ45" i="3"/>
  <c r="CQ28" i="3"/>
  <c r="CW51" i="2"/>
  <c r="CW50" i="2"/>
  <c r="CW49" i="2"/>
  <c r="CW48" i="2"/>
  <c r="CW47" i="2"/>
  <c r="CW46" i="2"/>
  <c r="CW45" i="2"/>
  <c r="CW43" i="2"/>
  <c r="CW42" i="2"/>
  <c r="CW41" i="2"/>
  <c r="CW40" i="2"/>
  <c r="CW39" i="2"/>
  <c r="CW38" i="2"/>
  <c r="CW37" i="2"/>
  <c r="CW36" i="2"/>
  <c r="CW35" i="2"/>
  <c r="CW34" i="2"/>
  <c r="CW33" i="2"/>
  <c r="CW32" i="2"/>
  <c r="CW31" i="2"/>
  <c r="CW30" i="2"/>
  <c r="CW29" i="2"/>
  <c r="CW28" i="2"/>
  <c r="CW27" i="2"/>
  <c r="CW26" i="2"/>
  <c r="CW25" i="2"/>
  <c r="CW24" i="2"/>
  <c r="CW23" i="2"/>
  <c r="CW22" i="2"/>
  <c r="CW21" i="2"/>
  <c r="CW20" i="2"/>
  <c r="CW19" i="2"/>
  <c r="CW17" i="2"/>
  <c r="CW16" i="2"/>
  <c r="CW15" i="2"/>
  <c r="CQ70" i="3"/>
  <c r="CQ69" i="3"/>
  <c r="CQ64" i="3"/>
  <c r="CQ56" i="3"/>
  <c r="CQ43" i="3"/>
  <c r="CQ24" i="3"/>
  <c r="CQ71" i="3"/>
  <c r="CQ68" i="3"/>
  <c r="CQ66" i="3"/>
  <c r="CQ65" i="3"/>
  <c r="CQ63" i="3"/>
  <c r="CQ59" i="3"/>
  <c r="CQ57" i="3"/>
  <c r="CQ55" i="3"/>
  <c r="CQ51" i="3"/>
  <c r="CQ46" i="3"/>
  <c r="CQ38" i="3"/>
  <c r="CQ37" i="3"/>
  <c r="CQ33" i="3"/>
  <c r="CQ31" i="3"/>
  <c r="CQ17" i="3"/>
  <c r="E24" i="1" l="1"/>
  <c r="F16" i="1"/>
  <c r="CQ14" i="3"/>
  <c r="CQ77" i="3" s="1"/>
  <c r="CP77" i="3"/>
  <c r="I3" i="2"/>
  <c r="D3" i="3"/>
  <c r="CH13" i="3"/>
  <c r="E6" i="1"/>
  <c r="CL14" i="3"/>
  <c r="CL77" i="3" s="1"/>
  <c r="CJ77" i="3"/>
  <c r="F11" i="1"/>
  <c r="D24" i="1"/>
  <c r="CW14" i="2"/>
  <c r="CW79" i="2" s="1"/>
  <c r="CV79" i="2"/>
  <c r="B6" i="1"/>
  <c r="D3" i="2"/>
  <c r="CN13" i="2"/>
  <c r="I3" i="3"/>
  <c r="CR14" i="2"/>
  <c r="CR79" i="2" s="1"/>
  <c r="CP79" i="2"/>
  <c r="G11" i="1" l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H6" i="1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<sst xmlns="http://schemas.openxmlformats.org/spreadsheetml/2006/main" count="589" uniqueCount="175">
  <si>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</si>
  <si>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</si>
  <si>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</si>
  <si>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</si>
  <si>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</si>
  <si>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</si>
  <si>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</si>
  <si>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</si>
  <si>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</si>
  <si>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</si>
  <si>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</si>
  <si>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</si>
  <si>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</si>
  <si>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</si>
  <si>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</si>
  <si>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</si>
  <si>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</si>
  <si>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</si>
  <si>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</si>
  <si>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</si>
  <si>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</si>
  <si>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</si>
  <si>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</si>
  <si>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</si>
  <si>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</si>
  <si>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</si>
  <si>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</si>
  <si>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</si>
  <si>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</si>
  <si>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</si>
  <si>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</si>
  <si>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</si>
  <si>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</si>
  <si>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</si>
  <si>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</si>
  <si>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</si>
  <si>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</si>
  <si>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</si>
  <si>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</si>
  <si>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</si>
  <si>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</si>
  <si>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</si>
  <si>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</si>
  <si>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</si>
  <si>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</si>
  <si>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</si>
  <si>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</si>
  <si>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</si>
  <si>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</si>
  <si>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</si>
  <si>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</si>
  <si>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</si>
  <si>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</si>
  <si>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</si>
  <si>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</si>
  <si>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</si>
  <si>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</si>
  <si>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</si>
  <si>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</si>
  <si>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</si>
  <si>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</si>
  <si>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</si>
  <si>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</si>
  <si>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</si>
  <si>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</si>
  <si>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</si>
  <si>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</si>
  <si>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</si>
  <si>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</si>
  <si>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</si>
  <si>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</si>
  <si>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</si>
  <si>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</si>
  <si>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</si>
  <si>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</si>
  <si>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</si>
  <si>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</si>
  <si>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</si>
  <si>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</si>
  <si>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</si>
  <si>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</si>
  <si>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</si>
  <si>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</si>
  <si>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</si>
  <si>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</si>
  <si>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</si>
  <si>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</si>
  <si>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</si>
  <si>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</si>
  <si>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</si>
  <si>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</si>
  <si>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</si>
  <si>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</si>
  <si>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</si>
  <si>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</si>
  <si>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</si>
  <si>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</si>
  <si>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</si>
  <si>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</si>
  <si>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</si>
  <si>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</si>
  <si>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</si>
  <si>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</si>
  <si>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</si>
  <si>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</si>
  <si>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</si>
  <si>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</si>
  <si>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</si>
  <si>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</si>
  <si>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</si>
  <si>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</si>
  <si>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</si>
  <si>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17:24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</si>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</sst>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876</v>
      </c>
      <c r="C6" s="89"/>
      <c r="E6" s="88">
        <f>'Programa CAJAS REPORTE DIARIO'!CH77</f>
        <v>2299</v>
      </c>
      <c r="F6" s="89"/>
      <c r="H6" s="101">
        <f>B6+E6</f>
        <v>3175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217</v>
      </c>
      <c r="E23" s="70">
        <f>'Programa CAJAS REPORTE DIARIO'!AT77</f>
        <v>570</v>
      </c>
      <c r="F23" s="70">
        <f t="shared" si="0"/>
        <v>787</v>
      </c>
      <c r="G23" s="70">
        <f t="shared" si="1"/>
        <v>3175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876</v>
      </c>
      <c r="E24" s="75">
        <f>SUM(E11:E23)</f>
        <v>2299</v>
      </c>
      <c r="F24" s="75">
        <f>SUM(F11:F23)</f>
        <v>3175</v>
      </c>
      <c r="G24" s="75">
        <f>F24</f>
        <v>3175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876</v>
      </c>
      <c r="F3" s="79" t="s">
        <v>1</v>
      </c>
      <c r="I3" s="80">
        <f>'Programa CAJAS REPORTE DIARIO'!CH77+CN79</f>
        <v>3175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217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876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32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177</v>
      </c>
      <c r="CP28" s="27">
        <f t="shared" si="4"/>
        <v>177</v>
      </c>
      <c r="CQ28" s="22">
        <v>0</v>
      </c>
      <c r="CR28" s="22">
        <f t="shared" si="5"/>
        <v>177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1200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53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123</v>
      </c>
      <c r="CP42" s="27">
        <f t="shared" si="4"/>
        <v>123</v>
      </c>
      <c r="CQ42" s="22">
        <v>0</v>
      </c>
      <c r="CR42" s="22">
        <f t="shared" si="5"/>
        <v>123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-123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217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876</v>
      </c>
      <c r="CP79" s="25">
        <f>+SUM(CP14:CP78)</f>
        <v>876</v>
      </c>
      <c r="CQ79" s="25">
        <f>+SUM(CQ14:CQ78)</f>
        <v>0</v>
      </c>
      <c r="CR79" s="25">
        <f>+SUM(CR14:CR78)</f>
        <v>876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6390.5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2299</v>
      </c>
      <c r="F3" s="79" t="s">
        <v>1</v>
      </c>
      <c r="I3" s="80">
        <f>'Programa CASETAS REPORTE DIARIO'!CN79+CH77</f>
        <v>3175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570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2299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48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413</v>
      </c>
      <c r="CJ27" s="27">
        <f t="shared" si="3"/>
        <v>413</v>
      </c>
      <c r="CK27" s="22">
        <v>0</v>
      </c>
      <c r="CL27" s="22">
        <f t="shared" si="4"/>
        <v>413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373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45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325</v>
      </c>
      <c r="CJ28" s="27">
        <f t="shared" si="3"/>
        <v>325</v>
      </c>
      <c r="CK28" s="22">
        <v>0</v>
      </c>
      <c r="CL28" s="22">
        <f t="shared" si="4"/>
        <v>325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-147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66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103</v>
      </c>
      <c r="CJ29" s="27">
        <f t="shared" si="3"/>
        <v>103</v>
      </c>
      <c r="CK29" s="22">
        <v>0</v>
      </c>
      <c r="CL29" s="22">
        <f t="shared" si="4"/>
        <v>103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1233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67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160</v>
      </c>
      <c r="CJ35" s="27">
        <f t="shared" si="3"/>
        <v>160</v>
      </c>
      <c r="CK35" s="22">
        <v>0</v>
      </c>
      <c r="CL35" s="22">
        <f t="shared" si="4"/>
        <v>160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-61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6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50</v>
      </c>
      <c r="CJ41" s="27">
        <f t="shared" si="3"/>
        <v>50</v>
      </c>
      <c r="CK41" s="22">
        <v>0</v>
      </c>
      <c r="CL41" s="22">
        <f t="shared" si="4"/>
        <v>50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430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34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141</v>
      </c>
      <c r="CJ43" s="27">
        <f t="shared" si="3"/>
        <v>141</v>
      </c>
      <c r="CK43" s="22">
        <v>0</v>
      </c>
      <c r="CL43" s="22">
        <f t="shared" si="4"/>
        <v>141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-121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49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275</v>
      </c>
      <c r="CJ46" s="27">
        <f t="shared" ref="CJ46:CJ76" si="11">CH46</f>
        <v>275</v>
      </c>
      <c r="CK46" s="22">
        <v>0</v>
      </c>
      <c r="CL46" s="22">
        <f t="shared" ref="CL46:CL77" si="12">CJ46+CK46</f>
        <v>275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1253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>
        <v>3</v>
      </c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3</v>
      </c>
      <c r="CJ49" s="27">
        <f t="shared" si="11"/>
        <v>3</v>
      </c>
      <c r="CK49" s="22">
        <v>0</v>
      </c>
      <c r="CL49" s="22">
        <f t="shared" si="12"/>
        <v>3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-3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148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153</v>
      </c>
      <c r="CJ53" s="27">
        <f t="shared" si="11"/>
        <v>153</v>
      </c>
      <c r="CK53" s="22">
        <v>0</v>
      </c>
      <c r="CL53" s="22">
        <f t="shared" si="12"/>
        <v>153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-85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21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68</v>
      </c>
      <c r="CJ61" s="27">
        <f t="shared" si="11"/>
        <v>68</v>
      </c>
      <c r="CK61" s="22">
        <v>0</v>
      </c>
      <c r="CL61" s="22">
        <f t="shared" si="12"/>
        <v>68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-36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16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63</v>
      </c>
      <c r="CJ64" s="27">
        <f t="shared" si="11"/>
        <v>63</v>
      </c>
      <c r="CK64" s="22">
        <v>0</v>
      </c>
      <c r="CL64" s="22">
        <f t="shared" si="12"/>
        <v>63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86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570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2299</v>
      </c>
      <c r="CJ77" s="25">
        <f>+SUM(CJ14:CJ76)</f>
        <v>2299</v>
      </c>
      <c r="CK77" s="25">
        <f>+SUM(CK14:CK76)</f>
        <v>0</v>
      </c>
      <c r="CL77" s="25">
        <f>+SUM(CL14:CL76)</f>
        <v>2299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8933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2026-10-29T23:24:45Z</dcterms:modified>
</cp:coreProperties>
</file>