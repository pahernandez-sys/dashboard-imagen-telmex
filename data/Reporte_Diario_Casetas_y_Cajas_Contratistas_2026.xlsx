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B4324C1-454A-4E8B-A0C3-FB11D2E51B22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Q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W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W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37" i="2" l="1"/>
  <c r="CQ39" i="3"/>
  <c r="CQ36" i="3"/>
  <c r="CQ33" i="3"/>
  <c r="CW16" i="2"/>
  <c r="CW38" i="2"/>
  <c r="CW21" i="2"/>
  <c r="CQ65" i="3"/>
  <c r="CQ62" i="3"/>
  <c r="CQ61" i="3"/>
  <c r="CQ60" i="3"/>
  <c r="CQ59" i="3"/>
  <c r="CQ56" i="3"/>
  <c r="CQ54" i="3"/>
  <c r="CQ44" i="3"/>
  <c r="CQ40" i="3"/>
  <c r="CQ38" i="3"/>
  <c r="CW43" i="2"/>
  <c r="CQ42" i="3"/>
  <c r="CQ37" i="3"/>
  <c r="CN85" i="2"/>
  <c r="CW30" i="2"/>
  <c r="CW20" i="2"/>
  <c r="CW42" i="2"/>
  <c r="E23" i="1"/>
  <c r="F23" i="1" s="1"/>
  <c r="AT13" i="3"/>
  <c r="E22" i="1"/>
  <c r="F22" i="1" s="1"/>
  <c r="AS13" i="3"/>
  <c r="E21" i="1"/>
  <c r="F21" i="1" s="1"/>
  <c r="AR13" i="3"/>
  <c r="AQ13" i="3"/>
  <c r="E20" i="1"/>
  <c r="F20" i="1" s="1"/>
  <c r="AP13" i="3"/>
  <c r="E19" i="1"/>
  <c r="F19" i="1" s="1"/>
  <c r="AO13" i="3"/>
  <c r="E18" i="1"/>
  <c r="F18" i="1" s="1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AI13" i="3"/>
  <c r="E12" i="1"/>
  <c r="F12" i="1" s="1"/>
  <c r="E11" i="1"/>
  <c r="AH13" i="3"/>
  <c r="CP32" i="3"/>
  <c r="CO77" i="3"/>
  <c r="CH77" i="3"/>
  <c r="CJ19" i="3"/>
  <c r="CQ14" i="3"/>
  <c r="CL14" i="3"/>
  <c r="CJ77" i="3"/>
  <c r="F11" i="1"/>
  <c r="D24" i="1"/>
  <c r="CV14" i="2"/>
  <c r="CU79" i="2"/>
  <c r="CP14" i="2"/>
  <c r="CN79" i="2"/>
  <c r="CQ76" i="3"/>
  <c r="CQ75" i="3"/>
  <c r="CQ74" i="3"/>
  <c r="CQ73" i="3"/>
  <c r="CQ72" i="3"/>
  <c r="CQ71" i="3"/>
  <c r="CQ70" i="3"/>
  <c r="CQ69" i="3"/>
  <c r="CQ68" i="3"/>
  <c r="CQ67" i="3"/>
  <c r="CQ66" i="3"/>
  <c r="CQ64" i="3"/>
  <c r="CQ63" i="3"/>
  <c r="CQ58" i="3"/>
  <c r="CQ43" i="3"/>
  <c r="CQ34" i="3"/>
  <c r="CQ57" i="3"/>
  <c r="CQ55" i="3"/>
  <c r="CQ41" i="3"/>
  <c r="CQ30" i="3"/>
  <c r="CQ53" i="3"/>
  <c r="CQ52" i="3"/>
  <c r="CQ51" i="3"/>
  <c r="CQ50" i="3"/>
  <c r="CQ49" i="3"/>
  <c r="CQ48" i="3"/>
  <c r="CQ47" i="3"/>
  <c r="CQ46" i="3"/>
  <c r="CQ45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3" i="2"/>
  <c r="CW52" i="2"/>
  <c r="CW51" i="2"/>
  <c r="CW50" i="2"/>
  <c r="CW49" i="2"/>
  <c r="CW48" i="2"/>
  <c r="CW46" i="2"/>
  <c r="CW45" i="2"/>
  <c r="CW44" i="2"/>
  <c r="CW36" i="2"/>
  <c r="CW35" i="2"/>
  <c r="CW34" i="2"/>
  <c r="CW33" i="2"/>
  <c r="CW31" i="2"/>
  <c r="CW26" i="2"/>
  <c r="CW25" i="2"/>
  <c r="CW24" i="2"/>
  <c r="CW23" i="2"/>
  <c r="CW22" i="2"/>
  <c r="CW19" i="2"/>
  <c r="CW18" i="2"/>
  <c r="CW17" i="2"/>
  <c r="CQ31" i="3"/>
  <c r="CW47" i="2"/>
  <c r="CW41" i="2"/>
  <c r="CW40" i="2"/>
  <c r="CW39" i="2"/>
  <c r="CW29" i="2"/>
  <c r="CW28" i="2"/>
  <c r="CW27" i="2"/>
  <c r="CW15" i="2"/>
  <c r="CQ35" i="3"/>
  <c r="CQ29" i="3"/>
  <c r="E24" i="1" l="1"/>
  <c r="CQ32" i="3"/>
  <c r="CP77" i="3"/>
  <c r="CH13" i="3"/>
  <c r="I3" i="2"/>
  <c r="E6" i="1"/>
  <c r="D3" i="3"/>
  <c r="CQ19" i="3"/>
  <c r="CQ77" i="3" s="1"/>
  <c r="CL19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4" i="2"/>
  <c r="CW79" i="2" s="1"/>
  <c r="CV79" i="2"/>
  <c r="CR14" i="2"/>
  <c r="CR79" i="2" s="1"/>
  <c r="CP79" i="2"/>
  <c r="B6" i="1"/>
  <c r="I3" i="3"/>
  <c r="D3" i="2"/>
  <c r="CN13" i="2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<sst xmlns="http://schemas.openxmlformats.org/spreadsheetml/2006/main" count="589" uniqueCount="175">
  <si>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</si>
  <si>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</si>
  <si>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</si>
  <si>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</si>
  <si>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</si>
  <si>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</si>
  <si>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</si>
  <si>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</si>
  <si>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</si>
  <si>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</si>
  <si>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</si>
  <si>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</si>
  <si>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</si>
  <si>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</si>
  <si>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</si>
  <si>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</si>
  <si>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</si>
  <si>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</si>
  <si>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</si>
  <si>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</si>
  <si>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</si>
  <si>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</si>
  <si>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</si>
  <si>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</si>
  <si>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</si>
  <si>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</si>
  <si>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</si>
  <si>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</si>
  <si>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</si>
  <si>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</si>
  <si>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</si>
  <si>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</si>
  <si>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</si>
  <si>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</si>
  <si>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</si>
  <si>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</si>
  <si>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</si>
  <si>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</si>
  <si>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</si>
  <si>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</si>
  <si>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</si>
  <si>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</si>
  <si>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</si>
  <si>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</si>
  <si>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</si>
  <si>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</si>
  <si>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</si>
  <si>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</si>
  <si>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</si>
  <si>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</si>
  <si>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</si>
  <si>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</si>
  <si>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</si>
  <si>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</si>
  <si>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</si>
  <si>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</si>
  <si>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</si>
  <si>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</si>
  <si>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</si>
  <si>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</si>
  <si>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</si>
  <si>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</si>
  <si>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</si>
  <si>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</si>
  <si>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</si>
  <si>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</si>
  <si>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</si>
  <si>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</si>
  <si>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</si>
  <si>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</si>
  <si>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</si>
  <si>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</si>
  <si>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</si>
  <si>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</si>
  <si>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</si>
  <si>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</si>
  <si>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</si>
  <si>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</si>
  <si>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</si>
  <si>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</si>
  <si>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</si>
  <si>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</si>
  <si>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</si>
  <si>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</si>
  <si>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</si>
  <si>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</si>
  <si>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</si>
  <si>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</si>
  <si>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</si>
  <si>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</si>
  <si>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</si>
  <si>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</si>
  <si>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</si>
  <si>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</si>
  <si>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</si>
  <si>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</si>
  <si>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</si>
  <si>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</si>
  <si>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</si>
  <si>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</si>
  <si>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</si>
  <si>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</si>
  <si>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</si>
  <si>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</si>
  <si>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</si>
  <si>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</si>
  <si>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</si>
  <si>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</si>
  <si>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</si>
  <si>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</si>
  <si>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</si>
  <si>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</si>
  <si>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18:34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</si>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</sst>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892</v>
      </c>
      <c r="C6" s="89"/>
      <c r="E6" s="88">
        <f>'Programa CAJAS REPORTE DIARIO'!CH77</f>
        <v>2372</v>
      </c>
      <c r="F6" s="89"/>
      <c r="H6" s="101">
        <f>B6+E6</f>
        <v>3264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233</v>
      </c>
      <c r="E23" s="70">
        <f>'Programa CAJAS REPORTE DIARIO'!AT77</f>
        <v>643</v>
      </c>
      <c r="F23" s="70">
        <f t="shared" si="0"/>
        <v>876</v>
      </c>
      <c r="G23" s="70">
        <f t="shared" si="1"/>
        <v>3264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892</v>
      </c>
      <c r="E24" s="75">
        <f>SUM(E11:E23)</f>
        <v>2372</v>
      </c>
      <c r="F24" s="75">
        <f>SUM(F11:F23)</f>
        <v>3264</v>
      </c>
      <c r="G24" s="75">
        <f>F24</f>
        <v>3264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892</v>
      </c>
      <c r="F3" s="79" t="s">
        <v>1</v>
      </c>
      <c r="I3" s="80">
        <f>'Programa CAJAS REPORTE DIARIO'!CH77+CN79</f>
        <v>3264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233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892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61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131</v>
      </c>
      <c r="CP42" s="27">
        <f t="shared" si="4"/>
        <v>131</v>
      </c>
      <c r="CQ42" s="22">
        <v>0</v>
      </c>
      <c r="CR42" s="22">
        <f t="shared" si="5"/>
        <v>131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-131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233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892</v>
      </c>
      <c r="CP79" s="25">
        <f>+SUM(CP14:CP78)</f>
        <v>892</v>
      </c>
      <c r="CQ79" s="25">
        <f>+SUM(CQ14:CQ78)</f>
        <v>0</v>
      </c>
      <c r="CR79" s="25">
        <f>+SUM(CR14:CR78)</f>
        <v>892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6374.5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2372</v>
      </c>
      <c r="F3" s="79" t="s">
        <v>1</v>
      </c>
      <c r="I3" s="80">
        <f>'Programa CASETAS REPORTE DIARIO'!CN79+CH77</f>
        <v>3264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643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2372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53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418</v>
      </c>
      <c r="CJ27" s="27">
        <f t="shared" si="3"/>
        <v>418</v>
      </c>
      <c r="CK27" s="22">
        <v>0</v>
      </c>
      <c r="CL27" s="22">
        <f t="shared" si="4"/>
        <v>418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368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9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53</v>
      </c>
      <c r="CJ41" s="27">
        <f t="shared" si="3"/>
        <v>53</v>
      </c>
      <c r="CK41" s="22">
        <v>0</v>
      </c>
      <c r="CL41" s="22">
        <f t="shared" si="4"/>
        <v>53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427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67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293</v>
      </c>
      <c r="CJ46" s="27">
        <f t="shared" ref="CJ46:CJ76" si="11">CH46</f>
        <v>293</v>
      </c>
      <c r="CK46" s="22">
        <v>0</v>
      </c>
      <c r="CL46" s="22">
        <f t="shared" ref="CL46:CL77" si="12">CJ46+CK46</f>
        <v>293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1235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152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157</v>
      </c>
      <c r="CJ53" s="27">
        <f t="shared" si="11"/>
        <v>157</v>
      </c>
      <c r="CK53" s="22">
        <v>0</v>
      </c>
      <c r="CL53" s="22">
        <f t="shared" si="12"/>
        <v>157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-89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643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2372</v>
      </c>
      <c r="CJ77" s="25">
        <f>+SUM(CJ14:CJ76)</f>
        <v>2372</v>
      </c>
      <c r="CK77" s="25">
        <f>+SUM(CK14:CK76)</f>
        <v>0</v>
      </c>
      <c r="CL77" s="25">
        <f>+SUM(CL14:CL76)</f>
        <v>2372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8860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2026-10-30T00:34:49Z</dcterms:modified>
</cp:coreProperties>
</file>