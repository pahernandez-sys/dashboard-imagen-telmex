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486F3E6-940A-4455-A85F-25666FE77519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S13" i="3" s="1"/>
  <c r="AR77" i="3"/>
  <c r="AR13" i="3" s="1"/>
  <c r="AQ77" i="3"/>
  <c r="AP77" i="3"/>
  <c r="AP13" i="3" s="1"/>
  <c r="AO77" i="3"/>
  <c r="AO13" i="3" s="1"/>
  <c r="AN77" i="3"/>
  <c r="AN13" i="3" s="1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DC46" i="3"/>
  <c r="CO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AT13" i="3"/>
  <c r="E19" i="1"/>
  <c r="E18" i="1"/>
  <c r="E17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D20" i="1" l="1"/>
  <c r="AK13" i="2"/>
  <c r="D19" i="1"/>
  <c r="F19" i="1" s="1"/>
  <c r="AJ13" i="2"/>
  <c r="D18" i="1"/>
  <c r="F18" i="1" s="1"/>
  <c r="AI13" i="2"/>
  <c r="D17" i="1"/>
  <c r="F17" i="1" s="1"/>
  <c r="AH13" i="2"/>
  <c r="CW55" i="2"/>
  <c r="D16" i="1"/>
  <c r="AG13" i="2"/>
  <c r="D15" i="1"/>
  <c r="AF13" i="2"/>
  <c r="D14" i="1"/>
  <c r="AE13" i="2"/>
  <c r="D13" i="1"/>
  <c r="AD13" i="2"/>
  <c r="D12" i="1"/>
  <c r="AC13" i="2"/>
  <c r="D11" i="1"/>
  <c r="AB13" i="2"/>
  <c r="E20" i="1"/>
  <c r="F20" i="1" s="1"/>
  <c r="AQ13" i="3"/>
  <c r="AM13" i="3"/>
  <c r="E16" i="1"/>
  <c r="F16" i="1" s="1"/>
  <c r="E15" i="1"/>
  <c r="F15" i="1" s="1"/>
  <c r="AL13" i="3"/>
  <c r="AK13" i="3"/>
  <c r="E14" i="1"/>
  <c r="F14" i="1" s="1"/>
  <c r="E13" i="1"/>
  <c r="F13" i="1" s="1"/>
  <c r="AJ13" i="3"/>
  <c r="AI13" i="3"/>
  <c r="E12" i="1"/>
  <c r="F12" i="1" s="1"/>
  <c r="AH13" i="3"/>
  <c r="E11" i="1"/>
  <c r="CH77" i="3"/>
  <c r="CJ47" i="3"/>
  <c r="CJ77" i="3" s="1"/>
  <c r="CP46" i="3"/>
  <c r="CQ46" i="3" s="1"/>
  <c r="CO77" i="3"/>
  <c r="CQ14" i="3"/>
  <c r="CP77" i="3"/>
  <c r="CL14" i="3"/>
  <c r="CU79" i="2"/>
  <c r="CV14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F11" i="1" l="1"/>
  <c r="D21" i="1"/>
  <c r="CH13" i="3"/>
  <c r="I3" i="2"/>
  <c r="D3" i="3"/>
  <c r="E6" i="1"/>
  <c r="CQ47" i="3"/>
  <c r="CQ77" i="3" s="1"/>
  <c r="CL47" i="3"/>
  <c r="CL77" i="3" s="1"/>
  <c r="CW14" i="2"/>
  <c r="CW79" i="2" s="1"/>
  <c r="CV79" i="2"/>
  <c r="CP79" i="2"/>
  <c r="CR14" i="2"/>
  <c r="CR79" i="2" s="1"/>
  <c r="I3" i="3"/>
  <c r="D3" i="2"/>
  <c r="CN13" i="2"/>
  <c r="B6" i="1"/>
  <c r="E21" i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<sst xmlns="http://schemas.openxmlformats.org/spreadsheetml/2006/main" count="580" uniqueCount="171">
  <si>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</si>
  <si>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</si>
  <si>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</si>
  <si>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</si>
  <si>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</si>
  <si>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</si>
  <si>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</si>
  <si>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</si>
  <si>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</si>
  <si>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</si>
  <si>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</si>
  <si>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</si>
  <si>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</si>
  <si>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</si>
  <si>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</si>
  <si>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</si>
  <si>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</si>
  <si>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</si>
  <si>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</si>
  <si>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</si>
  <si>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</si>
  <si>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</si>
  <si>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</si>
  <si>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</si>
  <si>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</si>
  <si>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</si>
  <si>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</si>
  <si>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</si>
  <si>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</si>
  <si>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</si>
  <si>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</si>
  <si>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</si>
  <si>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</si>
  <si>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</si>
  <si>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</si>
  <si>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</si>
  <si>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</si>
  <si>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</si>
  <si>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</si>
  <si>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</si>
  <si>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</si>
  <si>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</si>
  <si>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</si>
  <si>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</si>
  <si>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</si>
  <si>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</si>
  <si>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</si>
  <si>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</si>
  <si>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</si>
  <si>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</si>
  <si>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</si>
  <si>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</si>
  <si>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</si>
  <si>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</si>
  <si>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</si>
  <si>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</si>
  <si>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</si>
  <si>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</si>
  <si>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</si>
  <si>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</si>
  <si>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</si>
  <si>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</si>
  <si>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</si>
  <si>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</si>
  <si>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</si>
  <si>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</si>
  <si>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</si>
  <si>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</si>
  <si>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</si>
  <si>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</si>
  <si>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</si>
  <si>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</si>
  <si>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</si>
  <si>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</si>
  <si>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</si>
  <si>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</si>
  <si>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</si>
  <si>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</si>
  <si>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</si>
  <si>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</si>
  <si>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</si>
  <si>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</si>
  <si>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</si>
  <si>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</si>
  <si>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</si>
  <si>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</si>
  <si>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</si>
  <si>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</si>
  <si>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</si>
  <si>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</si>
  <si>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</si>
  <si>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</si>
  <si>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</si>
  <si>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</si>
  <si>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</si>
  <si>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</si>
  <si>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</si>
  <si>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</si>
  <si>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</si>
  <si>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</si>
  <si>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</si>
  <si>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</si>
  <si>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</si>
  <si>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</si>
  <si>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</si>
  <si>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</si>
  <si>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</si>
  <si>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</si>
  <si>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</si>
  <si>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</si>
  <si>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</si>
  <si>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</si>
  <si>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21:39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</si>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</sst>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478</v>
      </c>
      <c r="C6" s="89"/>
      <c r="E6" s="88">
        <f>'Programa CAJAS REPORTE DIARIO'!CH77</f>
        <v>1325</v>
      </c>
      <c r="F6" s="89"/>
      <c r="H6" s="101">
        <f>B6+E6</f>
        <v>1803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478</v>
      </c>
      <c r="F3" s="79" t="s">
        <v>1</v>
      </c>
      <c r="I3" s="80">
        <f>'Programa CAJAS REPORTE DIARIO'!CH77+CN79</f>
        <v>1803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134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478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9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70</v>
      </c>
      <c r="CP29" s="27">
        <f t="shared" si="4"/>
        <v>70</v>
      </c>
      <c r="CQ29" s="22">
        <v>0</v>
      </c>
      <c r="CR29" s="22">
        <f t="shared" si="5"/>
        <v>70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336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31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40</v>
      </c>
      <c r="CP42" s="27">
        <f t="shared" si="4"/>
        <v>40</v>
      </c>
      <c r="CQ42" s="22">
        <v>0</v>
      </c>
      <c r="CR42" s="22">
        <f t="shared" si="5"/>
        <v>40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-40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14</v>
      </c>
      <c r="CP51" s="27">
        <f t="shared" si="11"/>
        <v>14</v>
      </c>
      <c r="CQ51" s="22">
        <v>0</v>
      </c>
      <c r="CR51" s="22">
        <f t="shared" si="12"/>
        <v>14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736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134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478</v>
      </c>
      <c r="CP79" s="25">
        <f>+SUM(CP14:CP78)</f>
        <v>478</v>
      </c>
      <c r="CQ79" s="25">
        <f>+SUM(CQ14:CQ78)</f>
        <v>0</v>
      </c>
      <c r="CR79" s="25">
        <f>+SUM(CR14:CR78)</f>
        <v>478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2654.5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1325</v>
      </c>
      <c r="F3" s="79" t="s">
        <v>1</v>
      </c>
      <c r="I3" s="80">
        <f>'Programa CASETAS REPORTE DIARIO'!CN79+CH77</f>
        <v>1803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1325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1325</v>
      </c>
      <c r="CJ77" s="25">
        <f>+SUM(CJ14:CJ76)</f>
        <v>1325</v>
      </c>
      <c r="CK77" s="25">
        <f>+SUM(CK14:CK76)</f>
        <v>0</v>
      </c>
      <c r="CL77" s="25">
        <f>+SUM(CL14:CL76)</f>
        <v>1325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5662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2026-10-28T03:39:20Z</dcterms:modified>
</cp:coreProperties>
</file>