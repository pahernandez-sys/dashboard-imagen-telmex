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5DE3B86-3CE4-49C1-B375-E5484D085789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Q13" i="3" s="1"/>
  <c r="AP77" i="3"/>
  <c r="AP13" i="3" s="1"/>
  <c r="AO77" i="3"/>
  <c r="AO13" i="3" s="1"/>
  <c r="AN77" i="3"/>
  <c r="AN13" i="3" s="1"/>
  <c r="AM77" i="3"/>
  <c r="AM13" i="3" s="1"/>
  <c r="AL77" i="3"/>
  <c r="AL13" i="3" s="1"/>
  <c r="AK77" i="3"/>
  <c r="AK13" i="3" s="1"/>
  <c r="AJ77" i="3"/>
  <c r="AJ13" i="3" s="1"/>
  <c r="AI77" i="3"/>
  <c r="AI13" i="3" s="1"/>
  <c r="AH77" i="3"/>
  <c r="AH13" i="3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J14" i="3" s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24" i="1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CQ24" i="3" l="1"/>
  <c r="CQ18" i="3"/>
  <c r="CW23" i="2"/>
  <c r="CW21" i="2"/>
  <c r="D23" i="1"/>
  <c r="F23" i="1" s="1"/>
  <c r="AN13" i="2"/>
  <c r="D22" i="1"/>
  <c r="F22" i="1" s="1"/>
  <c r="AM13" i="2"/>
  <c r="D21" i="1"/>
  <c r="F21" i="1" s="1"/>
  <c r="AL13" i="2"/>
  <c r="AK13" i="2"/>
  <c r="D20" i="1"/>
  <c r="F20" i="1" s="1"/>
  <c r="AJ13" i="2"/>
  <c r="D19" i="1"/>
  <c r="F19" i="1" s="1"/>
  <c r="D18" i="1"/>
  <c r="F18" i="1" s="1"/>
  <c r="AI13" i="2"/>
  <c r="D17" i="1"/>
  <c r="AH13" i="2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D12" i="1"/>
  <c r="F12" i="1" s="1"/>
  <c r="AC13" i="2"/>
  <c r="D11" i="1"/>
  <c r="AB13" i="2"/>
  <c r="CW71" i="2"/>
  <c r="CH77" i="3"/>
  <c r="CJ46" i="3"/>
  <c r="CP14" i="3"/>
  <c r="CO77" i="3"/>
  <c r="CJ77" i="3"/>
  <c r="CL14" i="3"/>
  <c r="F11" i="1"/>
  <c r="CV30" i="2"/>
  <c r="CU79" i="2"/>
  <c r="CN79" i="2"/>
  <c r="CP30" i="2"/>
  <c r="CR30" i="2" s="1"/>
  <c r="CW14" i="2"/>
  <c r="CV79" i="2"/>
  <c r="CP79" i="2"/>
  <c r="CR14" i="2"/>
  <c r="CR79" i="2" s="1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23" i="3"/>
  <c r="CQ17" i="3"/>
  <c r="CQ16" i="3"/>
  <c r="CQ15" i="3"/>
  <c r="CW78" i="2"/>
  <c r="CW7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22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0" i="2"/>
  <c r="CW19" i="2"/>
  <c r="CW18" i="2"/>
  <c r="CW17" i="2"/>
  <c r="CW16" i="2"/>
  <c r="CW15" i="2"/>
  <c r="CQ76" i="3"/>
  <c r="CQ75" i="3"/>
  <c r="CQ74" i="3"/>
  <c r="CQ73" i="3"/>
  <c r="CQ72" i="3"/>
  <c r="CQ71" i="3"/>
  <c r="CQ70" i="3"/>
  <c r="CQ69" i="3"/>
  <c r="CQ68" i="3"/>
  <c r="CQ31" i="3"/>
  <c r="CQ30" i="3"/>
  <c r="CQ29" i="3"/>
  <c r="CQ28" i="3"/>
  <c r="CQ27" i="3"/>
  <c r="CQ26" i="3"/>
  <c r="CQ25" i="3"/>
  <c r="CQ22" i="3"/>
  <c r="CQ21" i="3"/>
  <c r="CQ20" i="3"/>
  <c r="CQ19" i="3"/>
  <c r="F17" i="1" l="1"/>
  <c r="D24" i="1"/>
  <c r="I3" i="2"/>
  <c r="CH13" i="3"/>
  <c r="D3" i="3"/>
  <c r="E6" i="1"/>
  <c r="CQ46" i="3"/>
  <c r="CL46" i="3"/>
  <c r="CL77" i="3" s="1"/>
  <c r="CQ14" i="3"/>
  <c r="CQ77" i="3" s="1"/>
  <c r="CP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I3" i="3"/>
  <c r="B6" i="1"/>
  <c r="H6" i="1" s="1"/>
  <c r="CN13" i="2"/>
  <c r="D3" i="2"/>
  <c r="CW30" i="2"/>
  <c r="CW79" i="2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<sst xmlns="http://schemas.openxmlformats.org/spreadsheetml/2006/main" count="589" uniqueCount="175">
  <si>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</si>
  <si>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</si>
  <si>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</si>
  <si>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</si>
  <si>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</si>
  <si>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</si>
  <si>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</si>
  <si>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</si>
  <si>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</si>
  <si>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</si>
  <si>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</si>
  <si>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</si>
  <si>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</si>
  <si>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</si>
  <si>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</si>
  <si>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</si>
  <si>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</si>
  <si>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</si>
  <si>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</si>
  <si>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</si>
  <si>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</si>
  <si>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</si>
  <si>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</si>
  <si>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</si>
  <si>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</si>
  <si>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</si>
  <si>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</si>
  <si>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</si>
  <si>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</si>
  <si>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</si>
  <si>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</si>
  <si>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</si>
  <si>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</si>
  <si>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</si>
  <si>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</si>
  <si>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</si>
  <si>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</si>
  <si>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</si>
  <si>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</si>
  <si>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</si>
  <si>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</si>
  <si>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</si>
  <si>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</si>
  <si>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</si>
  <si>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</si>
  <si>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</si>
  <si>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</si>
  <si>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</si>
  <si>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</si>
  <si>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</si>
  <si>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</si>
  <si>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</si>
  <si>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</si>
  <si>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</si>
  <si>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</si>
  <si>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</si>
  <si>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</si>
  <si>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</si>
  <si>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</si>
  <si>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</si>
  <si>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</si>
  <si>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</si>
  <si>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</si>
  <si>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</si>
  <si>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</si>
  <si>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</si>
  <si>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</si>
  <si>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</si>
  <si>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</si>
  <si>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</si>
  <si>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</si>
  <si>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</si>
  <si>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</si>
  <si>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</si>
  <si>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</si>
  <si>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</si>
  <si>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</si>
  <si>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</si>
  <si>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</si>
  <si>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</si>
  <si>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</si>
  <si>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</si>
  <si>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</si>
  <si>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</si>
  <si>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</si>
  <si>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</si>
  <si>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</si>
  <si>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</si>
  <si>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</si>
  <si>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</si>
  <si>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</si>
  <si>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</si>
  <si>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</si>
  <si>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</si>
  <si>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</si>
  <si>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</si>
  <si>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</si>
  <si>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</si>
  <si>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</si>
  <si>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</si>
  <si>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</si>
  <si>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</si>
  <si>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</si>
  <si>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</si>
  <si>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</si>
  <si>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</si>
  <si>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</si>
  <si>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</si>
  <si>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</si>
  <si>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</si>
  <si>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</si>
  <si>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</si>
  <si>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14:25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</si>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</sst>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774</v>
      </c>
      <c r="C6" s="89"/>
      <c r="E6" s="88">
        <f>'Programa CAJAS REPORTE DIARIO'!CH77</f>
        <v>2066</v>
      </c>
      <c r="F6" s="89"/>
      <c r="H6" s="101">
        <f>B6+E6</f>
        <v>2840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115</v>
      </c>
      <c r="E23" s="70">
        <f>'Programa CAJAS REPORTE DIARIO'!AT77</f>
        <v>337</v>
      </c>
      <c r="F23" s="70">
        <f t="shared" si="0"/>
        <v>452</v>
      </c>
      <c r="G23" s="70">
        <f t="shared" si="1"/>
        <v>2840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774</v>
      </c>
      <c r="E24" s="75">
        <f>SUM(E11:E23)</f>
        <v>2066</v>
      </c>
      <c r="F24" s="75">
        <f>SUM(F11:F23)</f>
        <v>2840</v>
      </c>
      <c r="G24" s="75">
        <f>F24</f>
        <v>2840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774</v>
      </c>
      <c r="F3" s="79" t="s">
        <v>1</v>
      </c>
      <c r="I3" s="80">
        <f>'Programa CAJAS REPORTE DIARIO'!CH77+CN79</f>
        <v>2840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115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774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6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189</v>
      </c>
      <c r="CP27" s="27">
        <f t="shared" si="4"/>
        <v>189</v>
      </c>
      <c r="CQ27" s="22">
        <v>0</v>
      </c>
      <c r="CR27" s="22">
        <f t="shared" si="5"/>
        <v>189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21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166</v>
      </c>
      <c r="CP28" s="27">
        <f t="shared" si="4"/>
        <v>166</v>
      </c>
      <c r="CQ28" s="22">
        <v>0</v>
      </c>
      <c r="CR28" s="22">
        <f t="shared" si="5"/>
        <v>166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1211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26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112</v>
      </c>
      <c r="CP29" s="27">
        <f t="shared" si="4"/>
        <v>112</v>
      </c>
      <c r="CQ29" s="22">
        <v>0</v>
      </c>
      <c r="CR29" s="22">
        <f t="shared" si="5"/>
        <v>112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294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12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82</v>
      </c>
      <c r="CP42" s="27">
        <f t="shared" si="4"/>
        <v>82</v>
      </c>
      <c r="CQ42" s="22">
        <v>0</v>
      </c>
      <c r="CR42" s="22">
        <f t="shared" si="5"/>
        <v>82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-82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35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35</v>
      </c>
      <c r="CP56" s="27">
        <f t="shared" si="11"/>
        <v>35</v>
      </c>
      <c r="CQ56" s="22">
        <v>0</v>
      </c>
      <c r="CR56" s="22">
        <f t="shared" si="12"/>
        <v>35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-35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115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774</v>
      </c>
      <c r="CP79" s="25">
        <f>+SUM(CP14:CP78)</f>
        <v>774</v>
      </c>
      <c r="CQ79" s="25">
        <f>+SUM(CQ14:CQ78)</f>
        <v>0</v>
      </c>
      <c r="CR79" s="25">
        <f>+SUM(CR14:CR78)</f>
        <v>774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6492.5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2066</v>
      </c>
      <c r="F3" s="79" t="s">
        <v>1</v>
      </c>
      <c r="I3" s="80">
        <f>'Programa CASETAS REPORTE DIARIO'!CN79+CH77</f>
        <v>2840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337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2066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37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402</v>
      </c>
      <c r="CJ27" s="27">
        <f t="shared" si="3"/>
        <v>402</v>
      </c>
      <c r="CK27" s="22">
        <v>0</v>
      </c>
      <c r="CL27" s="22">
        <f t="shared" si="4"/>
        <v>402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31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311</v>
      </c>
      <c r="CJ28" s="27">
        <f t="shared" si="3"/>
        <v>311</v>
      </c>
      <c r="CK28" s="22">
        <v>0</v>
      </c>
      <c r="CL28" s="22">
        <f t="shared" si="4"/>
        <v>311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-133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12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49</v>
      </c>
      <c r="CJ29" s="27">
        <f t="shared" si="3"/>
        <v>49</v>
      </c>
      <c r="CK29" s="22">
        <v>0</v>
      </c>
      <c r="CL29" s="22">
        <f t="shared" si="4"/>
        <v>49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1287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147</v>
      </c>
      <c r="CJ35" s="27">
        <f t="shared" si="3"/>
        <v>147</v>
      </c>
      <c r="CK35" s="22">
        <v>0</v>
      </c>
      <c r="CL35" s="22">
        <f t="shared" si="4"/>
        <v>147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10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53</v>
      </c>
      <c r="CJ37" s="27">
        <f t="shared" si="3"/>
        <v>53</v>
      </c>
      <c r="CK37" s="22">
        <v>0</v>
      </c>
      <c r="CL37" s="22">
        <f t="shared" si="4"/>
        <v>53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32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139</v>
      </c>
      <c r="CJ43" s="27">
        <f t="shared" si="3"/>
        <v>139</v>
      </c>
      <c r="CK43" s="22">
        <v>0</v>
      </c>
      <c r="CL43" s="22">
        <f t="shared" si="4"/>
        <v>139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-119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271</v>
      </c>
      <c r="CJ46" s="27">
        <f t="shared" ref="CJ46:CJ76" si="11">CH46</f>
        <v>271</v>
      </c>
      <c r="CK46" s="22">
        <v>0</v>
      </c>
      <c r="CL46" s="22">
        <f t="shared" ref="CL46:CL77" si="12">CJ46+CK46</f>
        <v>271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74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79</v>
      </c>
      <c r="CJ53" s="27">
        <f t="shared" si="11"/>
        <v>79</v>
      </c>
      <c r="CK53" s="22">
        <v>0</v>
      </c>
      <c r="CL53" s="22">
        <f t="shared" si="12"/>
        <v>79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-11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14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61</v>
      </c>
      <c r="CJ61" s="27">
        <f t="shared" si="11"/>
        <v>61</v>
      </c>
      <c r="CK61" s="22">
        <v>0</v>
      </c>
      <c r="CL61" s="22">
        <f t="shared" si="12"/>
        <v>61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-29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13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87</v>
      </c>
      <c r="CJ70" s="27">
        <f t="shared" si="11"/>
        <v>87</v>
      </c>
      <c r="CK70" s="22">
        <v>0</v>
      </c>
      <c r="CL70" s="22">
        <f t="shared" si="12"/>
        <v>87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337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2066</v>
      </c>
      <c r="CJ77" s="25">
        <f>+SUM(CJ14:CJ76)</f>
        <v>2066</v>
      </c>
      <c r="CK77" s="25">
        <f>+SUM(CK14:CK76)</f>
        <v>0</v>
      </c>
      <c r="CL77" s="25">
        <f>+SUM(CL14:CL76)</f>
        <v>2066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9166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2026-10-29T20:25:40Z</dcterms:modified>
</cp:coreProperties>
</file>