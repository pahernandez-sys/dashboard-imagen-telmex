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34FE09D-CFD3-42F6-A16A-4E0F3FF97F06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B13" i="3" s="1"/>
  <c r="CA77" i="3"/>
  <c r="BZ77" i="3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A13" i="3"/>
  <c r="BZ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CA13" i="2" s="1"/>
  <c r="BZ79" i="2"/>
  <c r="BY79" i="2"/>
  <c r="BX79" i="2"/>
  <c r="BX13" i="2" s="1"/>
  <c r="BW79" i="2"/>
  <c r="BV79" i="2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BZ13" i="2"/>
  <c r="BY13" i="2"/>
  <c r="BW13" i="2"/>
  <c r="BV13" i="2"/>
  <c r="CW46" i="2" l="1"/>
  <c r="CW42" i="2"/>
  <c r="CW40" i="2"/>
  <c r="CW39" i="2"/>
  <c r="CW38" i="2"/>
  <c r="CW37" i="2"/>
  <c r="CW36" i="2"/>
  <c r="CW35" i="2"/>
  <c r="CW33" i="2"/>
  <c r="CW31" i="2"/>
  <c r="CW30" i="2"/>
  <c r="AQ13" i="3"/>
  <c r="E20" i="1"/>
  <c r="AP13" i="3"/>
  <c r="E19" i="1"/>
  <c r="AO13" i="3"/>
  <c r="E18" i="1"/>
  <c r="E17" i="1"/>
  <c r="AN13" i="3"/>
  <c r="AM13" i="3"/>
  <c r="E16" i="1"/>
  <c r="AL13" i="3"/>
  <c r="E15" i="1"/>
  <c r="E14" i="1"/>
  <c r="AK13" i="3"/>
  <c r="AJ13" i="3"/>
  <c r="E13" i="1"/>
  <c r="AI13" i="3"/>
  <c r="E12" i="1"/>
  <c r="E11" i="1"/>
  <c r="E21" i="1" s="1"/>
  <c r="AH13" i="3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D11" i="1"/>
  <c r="F11" i="1" s="1"/>
  <c r="AB13" i="2"/>
  <c r="CO77" i="3"/>
  <c r="CP14" i="3"/>
  <c r="CJ14" i="3"/>
  <c r="CH77" i="3"/>
  <c r="D21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W41" i="2"/>
  <c r="CW32" i="2"/>
  <c r="CQ20" i="3"/>
  <c r="CQ19" i="3"/>
  <c r="CQ18" i="3"/>
  <c r="CQ17" i="3"/>
  <c r="CQ16" i="3"/>
  <c r="CQ15" i="3"/>
  <c r="CW44" i="2"/>
  <c r="CW34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5" i="2"/>
  <c r="CW43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P77" i="3" l="1"/>
  <c r="CQ14" i="3"/>
  <c r="CQ77" i="3" s="1"/>
  <c r="CL14" i="3"/>
  <c r="CL77" i="3" s="1"/>
  <c r="CJ77" i="3"/>
  <c r="D3" i="3"/>
  <c r="I3" i="2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V79" i="2"/>
  <c r="CW14" i="2"/>
  <c r="CW79" i="2" s="1"/>
  <c r="B6" i="1"/>
  <c r="I3" i="3"/>
  <c r="D3" i="2"/>
  <c r="CN13" i="2"/>
  <c r="CP79" i="2"/>
  <c r="CR14" i="2"/>
  <c r="CR79" i="2" s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<sst xmlns="http://schemas.openxmlformats.org/spreadsheetml/2006/main" count="580" uniqueCount="171">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</sst>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527</v>
      </c>
      <c r="C6" s="89"/>
      <c r="E6" s="88">
        <f>'Programa CAJAS REPORTE DIARIO'!CH77</f>
        <v>1361</v>
      </c>
      <c r="F6" s="89"/>
      <c r="H6" s="101">
        <f>B6+E6</f>
        <v>1888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527</v>
      </c>
      <c r="F3" s="79" t="s">
        <v>1</v>
      </c>
      <c r="I3" s="80">
        <f>'Programa CAJAS REPORTE DIARIO'!CH77+CN79</f>
        <v>1888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45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527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156</v>
      </c>
      <c r="CP27" s="27">
        <f t="shared" si="4"/>
        <v>156</v>
      </c>
      <c r="CQ27" s="22">
        <v>0</v>
      </c>
      <c r="CR27" s="22">
        <f t="shared" si="5"/>
        <v>156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124</v>
      </c>
      <c r="CP28" s="27">
        <f t="shared" si="4"/>
        <v>124</v>
      </c>
      <c r="CQ28" s="22">
        <v>0</v>
      </c>
      <c r="CR28" s="22">
        <f t="shared" si="5"/>
        <v>124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45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527</v>
      </c>
      <c r="CP79" s="25">
        <f>+SUM(CP14:CP78)</f>
        <v>527</v>
      </c>
      <c r="CQ79" s="25">
        <f>+SUM(CQ14:CQ78)</f>
        <v>0</v>
      </c>
      <c r="CR79" s="25">
        <f>+SUM(CR14:CR78)</f>
        <v>527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2605.5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1361</v>
      </c>
      <c r="F3" s="79" t="s">
        <v>1</v>
      </c>
      <c r="I3" s="80">
        <f>'Programa CASETAS REPORTE DIARIO'!CN79+CH77</f>
        <v>1888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36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1361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5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337</v>
      </c>
      <c r="CJ27" s="27">
        <f t="shared" si="3"/>
        <v>337</v>
      </c>
      <c r="CK27" s="22">
        <v>0</v>
      </c>
      <c r="CL27" s="22">
        <f t="shared" si="4"/>
        <v>337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220</v>
      </c>
      <c r="CJ28" s="27">
        <f t="shared" si="3"/>
        <v>220</v>
      </c>
      <c r="CK28" s="22">
        <v>0</v>
      </c>
      <c r="CL28" s="22">
        <f t="shared" si="4"/>
        <v>220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2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32</v>
      </c>
      <c r="CJ36" s="27">
        <f t="shared" si="3"/>
        <v>32</v>
      </c>
      <c r="CK36" s="22">
        <v>0</v>
      </c>
      <c r="CL36" s="22">
        <f t="shared" si="4"/>
        <v>32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34</v>
      </c>
      <c r="CJ61" s="27">
        <f t="shared" si="11"/>
        <v>34</v>
      </c>
      <c r="CK61" s="22">
        <v>0</v>
      </c>
      <c r="CL61" s="22">
        <f t="shared" si="12"/>
        <v>34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36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1361</v>
      </c>
      <c r="CJ77" s="25">
        <f>+SUM(CJ14:CJ76)</f>
        <v>1361</v>
      </c>
      <c r="CK77" s="25">
        <f>+SUM(CK14:CK76)</f>
        <v>0</v>
      </c>
      <c r="CL77" s="25">
        <f>+SUM(CL14:CL76)</f>
        <v>1361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5626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2026-10-28T16:50:16Z</dcterms:modified>
</cp:coreProperties>
</file>