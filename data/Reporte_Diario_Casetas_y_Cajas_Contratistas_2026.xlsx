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7E35FA8-176F-475D-A83D-2A0EEA9A494E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T13" i="3" s="1"/>
  <c r="AS77" i="3"/>
  <c r="AS13" i="3" s="1"/>
  <c r="AR77" i="3"/>
  <c r="AR13" i="3" s="1"/>
  <c r="AQ77" i="3"/>
  <c r="AQ13" i="3" s="1"/>
  <c r="AP77" i="3"/>
  <c r="AP13" i="3" s="1"/>
  <c r="AO77" i="3"/>
  <c r="AO13" i="3" s="1"/>
  <c r="AN77" i="3"/>
  <c r="AN13" i="3" s="1"/>
  <c r="AM77" i="3"/>
  <c r="AM13" i="3" s="1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Q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F23" i="1" s="1"/>
  <c r="AM79" i="2"/>
  <c r="D22" i="1" s="1"/>
  <c r="F22" i="1" s="1"/>
  <c r="AL79" i="2"/>
  <c r="D21" i="1" s="1"/>
  <c r="F21" i="1" s="1"/>
  <c r="AK79" i="2"/>
  <c r="D20" i="1" s="1"/>
  <c r="F20" i="1" s="1"/>
  <c r="AJ79" i="2"/>
  <c r="D19" i="1" s="1"/>
  <c r="F19" i="1" s="1"/>
  <c r="AI79" i="2"/>
  <c r="D18" i="1" s="1"/>
  <c r="F18" i="1" s="1"/>
  <c r="AH79" i="2"/>
  <c r="D17" i="1" s="1"/>
  <c r="F17" i="1" s="1"/>
  <c r="AG79" i="2"/>
  <c r="D16" i="1" s="1"/>
  <c r="F16" i="1" s="1"/>
  <c r="AF79" i="2"/>
  <c r="D15" i="1" s="1"/>
  <c r="F15" i="1" s="1"/>
  <c r="AE79" i="2"/>
  <c r="D14" i="1" s="1"/>
  <c r="F14" i="1" s="1"/>
  <c r="AD79" i="2"/>
  <c r="D13" i="1" s="1"/>
  <c r="F13" i="1" s="1"/>
  <c r="AC79" i="2"/>
  <c r="D12" i="1" s="1"/>
  <c r="F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54" i="3" l="1"/>
  <c r="CQ19" i="3"/>
  <c r="AU13" i="3"/>
  <c r="E24" i="1"/>
  <c r="CQ51" i="3"/>
  <c r="CQ42" i="3"/>
  <c r="CQ36" i="3"/>
  <c r="CW39" i="2"/>
  <c r="CW38" i="2"/>
  <c r="CW35" i="2"/>
  <c r="CW32" i="2"/>
  <c r="CW27" i="2"/>
  <c r="CW26" i="2"/>
  <c r="CW25" i="2"/>
  <c r="CW23" i="2"/>
  <c r="CW21" i="2"/>
  <c r="CW16" i="2"/>
  <c r="CW15" i="2"/>
  <c r="CO77" i="3"/>
  <c r="CP14" i="3"/>
  <c r="CH77" i="3"/>
  <c r="CJ14" i="3"/>
  <c r="D25" i="1"/>
  <c r="F11" i="1"/>
  <c r="CV30" i="2"/>
  <c r="CW30" i="2" s="1"/>
  <c r="CU79" i="2"/>
  <c r="CN79" i="2"/>
  <c r="CP17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3" i="3"/>
  <c r="CQ52" i="3"/>
  <c r="CQ50" i="3"/>
  <c r="CQ49" i="3"/>
  <c r="CQ48" i="3"/>
  <c r="CQ47" i="3"/>
  <c r="CQ46" i="3"/>
  <c r="CQ45" i="3"/>
  <c r="CQ44" i="3"/>
  <c r="CQ43" i="3"/>
  <c r="CQ41" i="3"/>
  <c r="CQ40" i="3"/>
  <c r="CQ39" i="3"/>
  <c r="CQ38" i="3"/>
  <c r="CQ37" i="3"/>
  <c r="CQ35" i="3"/>
  <c r="CQ34" i="3"/>
  <c r="CQ33" i="3"/>
  <c r="CQ31" i="3"/>
  <c r="CQ30" i="3"/>
  <c r="CQ29" i="3"/>
  <c r="CW33" i="2"/>
  <c r="CW31" i="2"/>
  <c r="CW29" i="2"/>
  <c r="CW28" i="2"/>
  <c r="CW24" i="2"/>
  <c r="CW18" i="2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7" i="2"/>
  <c r="CW36" i="2"/>
  <c r="CW34" i="2"/>
  <c r="CW22" i="2"/>
  <c r="CW20" i="2"/>
  <c r="CW19" i="2"/>
  <c r="E25" i="1" l="1"/>
  <c r="F24" i="1"/>
  <c r="CQ14" i="3"/>
  <c r="CQ77" i="3" s="1"/>
  <c r="CP77" i="3"/>
  <c r="I3" i="2"/>
  <c r="E6" i="1"/>
  <c r="D3" i="3"/>
  <c r="CH13" i="3"/>
  <c r="CL14" i="3"/>
  <c r="CL77" i="3" s="1"/>
  <c r="CJ77" i="3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I3" i="3"/>
  <c r="CN13" i="2"/>
  <c r="D3" i="2"/>
  <c r="B6" i="1"/>
  <c r="H6" i="1" s="1"/>
  <c r="CW17" i="2"/>
  <c r="CW79" i="2" s="1"/>
  <c r="CR17" i="2"/>
  <c r="CR79" i="2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<sst xmlns="http://schemas.openxmlformats.org/spreadsheetml/2006/main" count="592" uniqueCount="176">
  <si>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</si>
  <si>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</si>
  <si>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</si>
  <si>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</si>
  <si>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</si>
  <si>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</si>
  <si>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</si>
  <si>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</si>
  <si>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</si>
  <si>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</si>
  <si>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</si>
  <si>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</si>
  <si>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</si>
  <si>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</si>
  <si>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</si>
  <si>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</si>
  <si>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</si>
  <si>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</si>
  <si>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</si>
  <si>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</si>
  <si>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</si>
  <si>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</si>
  <si>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</si>
  <si>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</si>
  <si>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</si>
  <si>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</si>
  <si>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</si>
  <si>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</si>
  <si>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</si>
  <si>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</si>
  <si>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</si>
  <si>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</si>
  <si>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</si>
  <si>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</si>
  <si>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</si>
  <si>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</si>
  <si>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</si>
  <si>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</si>
  <si>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</si>
  <si>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</si>
  <si>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</si>
  <si>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</si>
  <si>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</si>
  <si>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</si>
  <si>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</si>
  <si>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</si>
  <si>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</si>
  <si>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</si>
  <si>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</si>
  <si>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</si>
  <si>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</si>
  <si>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</si>
  <si>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</si>
  <si>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</si>
  <si>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</si>
  <si>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</si>
  <si>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</si>
  <si>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</si>
  <si>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</si>
  <si>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</si>
  <si>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</si>
  <si>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</si>
  <si>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</si>
  <si>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</si>
  <si>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</si>
  <si>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</si>
  <si>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</si>
  <si>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</si>
  <si>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</si>
  <si>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</si>
  <si>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</si>
  <si>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</si>
  <si>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</si>
  <si>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</si>
  <si>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</si>
  <si>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</si>
  <si>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</si>
  <si>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</si>
  <si>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</si>
  <si>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</si>
  <si>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</si>
  <si>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</si>
  <si>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</si>
  <si>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</si>
  <si>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</si>
  <si>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</si>
  <si>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</si>
  <si>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</si>
  <si>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</si>
  <si>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</si>
  <si>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</si>
  <si>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</si>
  <si>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</si>
  <si>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</si>
  <si>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</si>
  <si>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</si>
  <si>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</si>
  <si>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</si>
  <si>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</si>
  <si>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</si>
  <si>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</si>
  <si>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</si>
  <si>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</si>
  <si>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</si>
  <si>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</si>
  <si>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</si>
  <si>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</si>
  <si>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</si>
  <si>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</si>
  <si>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</si>
  <si>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</si>
  <si>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</si>
  <si>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14:43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</si>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</sst>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1019</v>
      </c>
      <c r="C6" s="89"/>
      <c r="E6" s="88">
        <f>'Programa CAJAS REPORTE DIARIO'!CH77</f>
        <v>2995</v>
      </c>
      <c r="F6" s="89"/>
      <c r="H6" s="101">
        <f>B6+E6</f>
        <v>4014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111</v>
      </c>
      <c r="E24" s="72">
        <f>'Programa CAJAS REPORTE DIARIO'!AU77</f>
        <v>520</v>
      </c>
      <c r="F24" s="72">
        <f t="shared" si="0"/>
        <v>631</v>
      </c>
      <c r="G24" s="72">
        <f t="shared" si="1"/>
        <v>4014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1019</v>
      </c>
      <c r="E25" s="75">
        <f>SUM(E11:E24)</f>
        <v>2995</v>
      </c>
      <c r="F25" s="75">
        <f>SUM(F11:F24)</f>
        <v>4014</v>
      </c>
      <c r="G25" s="75">
        <f>F25</f>
        <v>4014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1019</v>
      </c>
      <c r="F3" s="79" t="s">
        <v>1</v>
      </c>
      <c r="I3" s="80">
        <f>'Programa CAJAS REPORTE DIARIO'!CH77+CN79</f>
        <v>4014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111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1019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13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213</v>
      </c>
      <c r="CP27" s="27">
        <f t="shared" si="4"/>
        <v>213</v>
      </c>
      <c r="CQ27" s="22">
        <v>0</v>
      </c>
      <c r="CR27" s="22">
        <f t="shared" si="5"/>
        <v>213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14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127</v>
      </c>
      <c r="CP29" s="27">
        <f t="shared" si="4"/>
        <v>127</v>
      </c>
      <c r="CQ29" s="22">
        <v>0</v>
      </c>
      <c r="CR29" s="22">
        <f t="shared" si="5"/>
        <v>127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279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36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169</v>
      </c>
      <c r="CP42" s="27">
        <f t="shared" si="4"/>
        <v>169</v>
      </c>
      <c r="CQ42" s="22">
        <v>0</v>
      </c>
      <c r="CR42" s="22">
        <f t="shared" si="5"/>
        <v>169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41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103</v>
      </c>
      <c r="CP56" s="27">
        <f t="shared" si="11"/>
        <v>103</v>
      </c>
      <c r="CQ56" s="22">
        <v>0</v>
      </c>
      <c r="CR56" s="22">
        <f t="shared" si="12"/>
        <v>103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111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1019</v>
      </c>
      <c r="CP79" s="25">
        <f>+SUM(CP14:CP78)</f>
        <v>1019</v>
      </c>
      <c r="CQ79" s="25">
        <f>+SUM(CQ14:CQ78)</f>
        <v>0</v>
      </c>
      <c r="CR79" s="25">
        <f>+SUM(CR14:CR78)</f>
        <v>1019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6247.5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2995</v>
      </c>
      <c r="F3" s="79" t="s">
        <v>1</v>
      </c>
      <c r="I3" s="80">
        <f>'Programa CASETAS REPORTE DIARIO'!CN79+CH77</f>
        <v>4014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520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2995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42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479</v>
      </c>
      <c r="CJ27" s="27">
        <f t="shared" si="3"/>
        <v>479</v>
      </c>
      <c r="CK27" s="22">
        <v>0</v>
      </c>
      <c r="CL27" s="22">
        <f t="shared" si="4"/>
        <v>479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22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349</v>
      </c>
      <c r="CJ28" s="27">
        <f t="shared" si="3"/>
        <v>349</v>
      </c>
      <c r="CK28" s="22">
        <v>0</v>
      </c>
      <c r="CL28" s="22">
        <f t="shared" si="4"/>
        <v>349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-169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26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131</v>
      </c>
      <c r="CJ29" s="27">
        <f t="shared" si="3"/>
        <v>131</v>
      </c>
      <c r="CK29" s="22">
        <v>0</v>
      </c>
      <c r="CL29" s="22">
        <f t="shared" si="4"/>
        <v>131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73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159</v>
      </c>
      <c r="CJ37" s="27">
        <f t="shared" si="3"/>
        <v>159</v>
      </c>
      <c r="CK37" s="22">
        <v>0</v>
      </c>
      <c r="CL37" s="22">
        <f t="shared" si="4"/>
        <v>159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416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33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92</v>
      </c>
      <c r="CJ41" s="27">
        <f t="shared" si="3"/>
        <v>92</v>
      </c>
      <c r="CK41" s="22">
        <v>0</v>
      </c>
      <c r="CL41" s="22">
        <f t="shared" si="4"/>
        <v>92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488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11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342</v>
      </c>
      <c r="CJ46" s="27">
        <f t="shared" ref="CJ46:CJ76" si="11">CH46</f>
        <v>342</v>
      </c>
      <c r="CK46" s="22">
        <v>0</v>
      </c>
      <c r="CL46" s="22">
        <f t="shared" ref="CL46:CL77" si="12">CJ46+CK46</f>
        <v>342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1186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217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390</v>
      </c>
      <c r="CJ53" s="27">
        <f t="shared" si="11"/>
        <v>390</v>
      </c>
      <c r="CK53" s="22">
        <v>0</v>
      </c>
      <c r="CL53" s="22">
        <f t="shared" si="12"/>
        <v>390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-322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16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99</v>
      </c>
      <c r="CJ55" s="27">
        <f t="shared" si="11"/>
        <v>99</v>
      </c>
      <c r="CK55" s="22">
        <v>0</v>
      </c>
      <c r="CL55" s="22">
        <f t="shared" si="12"/>
        <v>99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1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69</v>
      </c>
      <c r="CJ61" s="27">
        <f t="shared" si="11"/>
        <v>69</v>
      </c>
      <c r="CK61" s="22">
        <v>0</v>
      </c>
      <c r="CL61" s="22">
        <f t="shared" si="12"/>
        <v>69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520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2995</v>
      </c>
      <c r="CJ77" s="25">
        <f>+SUM(CJ14:CJ76)</f>
        <v>2995</v>
      </c>
      <c r="CK77" s="25">
        <f>+SUM(CK14:CK76)</f>
        <v>0</v>
      </c>
      <c r="CL77" s="25">
        <f>+SUM(CL14:CL76)</f>
        <v>2995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8399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2026-10-30T20:43:25Z</dcterms:modified>
</cp:coreProperties>
</file>