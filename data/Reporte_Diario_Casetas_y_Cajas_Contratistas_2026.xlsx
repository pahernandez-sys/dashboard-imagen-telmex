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9156B548-98BA-4A88-9635-8FF4AED1BF6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Q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DD17" i="2"/>
  <c r="CU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Q51" i="3" l="1"/>
  <c r="AT13" i="3"/>
  <c r="E23" i="1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CQ57" i="3"/>
  <c r="CQ47" i="3"/>
  <c r="CQ42" i="3"/>
  <c r="CQ34" i="3"/>
  <c r="CQ31" i="3"/>
  <c r="CQ27" i="3"/>
  <c r="CQ19" i="3"/>
  <c r="CQ17" i="3"/>
  <c r="CQ15" i="3"/>
  <c r="AN13" i="2"/>
  <c r="D23" i="1"/>
  <c r="AM13" i="2"/>
  <c r="D22" i="1"/>
  <c r="AL13" i="2"/>
  <c r="D21" i="1"/>
  <c r="AK13" i="2"/>
  <c r="D20" i="1"/>
  <c r="AJ13" i="2"/>
  <c r="D19" i="1"/>
  <c r="AI13" i="2"/>
  <c r="D18" i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O77" i="3"/>
  <c r="CP14" i="3"/>
  <c r="CJ14" i="3"/>
  <c r="CH77" i="3"/>
  <c r="D24" i="1"/>
  <c r="F11" i="1"/>
  <c r="CN79" i="2"/>
  <c r="CP18" i="2"/>
  <c r="CP79" i="2" s="1"/>
  <c r="CU79" i="2"/>
  <c r="CV17" i="2"/>
  <c r="CW17" i="2" s="1"/>
  <c r="CW14" i="2"/>
  <c r="CV79" i="2"/>
  <c r="CR14" i="2"/>
  <c r="CQ62" i="3"/>
  <c r="CQ61" i="3"/>
  <c r="CQ60" i="3"/>
  <c r="CQ59" i="3"/>
  <c r="CQ54" i="3"/>
  <c r="CQ53" i="3"/>
  <c r="CQ52" i="3"/>
  <c r="CQ48" i="3"/>
  <c r="CQ45" i="3"/>
  <c r="CQ44" i="3"/>
  <c r="CQ43" i="3"/>
  <c r="CQ39" i="3"/>
  <c r="CQ35" i="3"/>
  <c r="CQ32" i="3"/>
  <c r="CQ28" i="3"/>
  <c r="CQ20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58" i="3"/>
  <c r="CQ56" i="3"/>
  <c r="CQ55" i="3"/>
  <c r="CQ50" i="3"/>
  <c r="CQ49" i="3"/>
  <c r="CQ46" i="3"/>
  <c r="CQ41" i="3"/>
  <c r="CQ40" i="3"/>
  <c r="CQ37" i="3"/>
  <c r="CQ36" i="3"/>
  <c r="CQ33" i="3"/>
  <c r="CQ30" i="3"/>
  <c r="CQ29" i="3"/>
  <c r="CQ26" i="3"/>
  <c r="CQ25" i="3"/>
  <c r="CQ24" i="3"/>
  <c r="CQ23" i="3"/>
  <c r="CQ22" i="3"/>
  <c r="CQ21" i="3"/>
  <c r="CQ18" i="3"/>
  <c r="CQ16" i="3"/>
  <c r="E24" i="1" l="1"/>
  <c r="F23" i="1"/>
  <c r="F22" i="1"/>
  <c r="F21" i="1"/>
  <c r="F20" i="1"/>
  <c r="F19" i="1"/>
  <c r="F18" i="1"/>
  <c r="CQ14" i="3"/>
  <c r="CQ77" i="3" s="1"/>
  <c r="CP77" i="3"/>
  <c r="CL14" i="3"/>
  <c r="CL77" i="3" s="1"/>
  <c r="CJ77" i="3"/>
  <c r="I3" i="2"/>
  <c r="E6" i="1"/>
  <c r="D3" i="3"/>
  <c r="CH13" i="3"/>
  <c r="F24" i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I3" i="3"/>
  <c r="CN13" i="2"/>
  <c r="B6" i="1"/>
  <c r="D3" i="2"/>
  <c r="CW18" i="2"/>
  <c r="CR18" i="2"/>
  <c r="CR79" i="2" s="1"/>
  <c r="CW79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<sst xmlns="http://schemas.openxmlformats.org/spreadsheetml/2006/main" count="589" uniqueCount="175">
  <si>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</si>
  <si>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</si>
  <si>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</si>
  <si>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</si>
  <si>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</si>
  <si>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</si>
  <si>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</si>
  <si>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</si>
  <si>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</si>
  <si>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</si>
  <si>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</si>
  <si>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</si>
  <si>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</si>
  <si>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</si>
  <si>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</si>
  <si>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</si>
  <si>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</si>
  <si>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</si>
  <si>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</si>
  <si>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</si>
  <si>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</si>
  <si>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</si>
  <si>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</si>
  <si>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</si>
  <si>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</si>
  <si>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</si>
  <si>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</si>
  <si>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</si>
  <si>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</si>
  <si>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</si>
  <si>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</si>
  <si>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</si>
  <si>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</si>
  <si>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</si>
  <si>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</si>
  <si>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</si>
  <si>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</si>
  <si>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</si>
  <si>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</si>
  <si>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</si>
  <si>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</si>
  <si>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</si>
  <si>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</si>
  <si>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</si>
  <si>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</si>
  <si>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</si>
  <si>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</si>
  <si>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</si>
  <si>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</si>
  <si>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</si>
  <si>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</si>
  <si>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</si>
  <si>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</si>
  <si>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</si>
  <si>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</si>
  <si>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</si>
  <si>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</si>
  <si>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</si>
  <si>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</si>
  <si>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</si>
  <si>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</si>
  <si>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</si>
  <si>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</si>
  <si>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</si>
  <si>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</si>
  <si>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</si>
  <si>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</si>
  <si>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</si>
  <si>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</si>
  <si>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</si>
  <si>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</si>
  <si>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</si>
  <si>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</si>
  <si>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</si>
  <si>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</si>
  <si>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</si>
  <si>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</si>
  <si>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</si>
  <si>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</si>
  <si>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</si>
  <si>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</si>
  <si>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</si>
  <si>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</si>
  <si>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</si>
  <si>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</si>
  <si>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</si>
  <si>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</si>
  <si>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</si>
  <si>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</si>
  <si>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</si>
  <si>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</si>
  <si>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</si>
  <si>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</si>
  <si>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</si>
  <si>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</si>
  <si>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</si>
  <si>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</si>
  <si>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</si>
  <si>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</si>
  <si>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</si>
  <si>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</si>
  <si>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</si>
  <si>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</si>
  <si>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</si>
  <si>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</si>
  <si>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</si>
  <si>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</si>
  <si>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</si>
  <si>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</si>
  <si>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</si>
  <si>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</si>
  <si>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</si>
  <si>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15:30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</si>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</sst>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813</v>
      </c>
      <c r="C6" s="89"/>
      <c r="E6" s="88">
        <f>'Programa CAJAS REPORTE DIARIO'!CH77</f>
        <v>2159</v>
      </c>
      <c r="F6" s="89"/>
      <c r="H6" s="101">
        <f>B6+E6</f>
        <v>2972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154</v>
      </c>
      <c r="E23" s="70">
        <f>'Programa CAJAS REPORTE DIARIO'!AT77</f>
        <v>430</v>
      </c>
      <c r="F23" s="70">
        <f t="shared" si="0"/>
        <v>584</v>
      </c>
      <c r="G23" s="70">
        <f t="shared" si="1"/>
        <v>2972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813</v>
      </c>
      <c r="E24" s="75">
        <f>SUM(E11:E23)</f>
        <v>2159</v>
      </c>
      <c r="F24" s="75">
        <f>SUM(F11:F23)</f>
        <v>2972</v>
      </c>
      <c r="G24" s="75">
        <f>F24</f>
        <v>2972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813</v>
      </c>
      <c r="F3" s="79" t="s">
        <v>1</v>
      </c>
      <c r="I3" s="80">
        <f>'Programa CAJAS REPORTE DIARIO'!CH77+CN79</f>
        <v>2972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154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813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190</v>
      </c>
      <c r="CP27" s="27">
        <f t="shared" si="4"/>
        <v>190</v>
      </c>
      <c r="CQ27" s="22">
        <v>0</v>
      </c>
      <c r="CR27" s="22">
        <f t="shared" si="5"/>
        <v>190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25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170</v>
      </c>
      <c r="CP28" s="27">
        <f t="shared" si="4"/>
        <v>170</v>
      </c>
      <c r="CQ28" s="22">
        <v>0</v>
      </c>
      <c r="CR28" s="22">
        <f t="shared" si="5"/>
        <v>170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112</v>
      </c>
      <c r="CP29" s="27">
        <f t="shared" si="4"/>
        <v>112</v>
      </c>
      <c r="CQ29" s="22">
        <v>0</v>
      </c>
      <c r="CR29" s="22">
        <f t="shared" si="5"/>
        <v>112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19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89</v>
      </c>
      <c r="CP42" s="27">
        <f t="shared" si="4"/>
        <v>89</v>
      </c>
      <c r="CQ42" s="22">
        <v>0</v>
      </c>
      <c r="CR42" s="22">
        <f t="shared" si="5"/>
        <v>89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-89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42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42</v>
      </c>
      <c r="CP56" s="27">
        <f t="shared" si="11"/>
        <v>42</v>
      </c>
      <c r="CQ56" s="22">
        <v>0</v>
      </c>
      <c r="CR56" s="22">
        <f t="shared" si="12"/>
        <v>42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-42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154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813</v>
      </c>
      <c r="CP79" s="25">
        <f>+SUM(CP14:CP78)</f>
        <v>813</v>
      </c>
      <c r="CQ79" s="25">
        <f>+SUM(CQ14:CQ78)</f>
        <v>0</v>
      </c>
      <c r="CR79" s="25">
        <f>+SUM(CR14:CR78)</f>
        <v>813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6453.5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2159</v>
      </c>
      <c r="F3" s="79" t="s">
        <v>1</v>
      </c>
      <c r="I3" s="80">
        <f>'Programa CASETAS REPORTE DIARIO'!CN79+CH77</f>
        <v>2972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430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2159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40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405</v>
      </c>
      <c r="CJ27" s="27">
        <f t="shared" si="3"/>
        <v>405</v>
      </c>
      <c r="CK27" s="22">
        <v>0</v>
      </c>
      <c r="CL27" s="22">
        <f t="shared" si="4"/>
        <v>405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20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57</v>
      </c>
      <c r="CJ29" s="27">
        <f t="shared" si="3"/>
        <v>57</v>
      </c>
      <c r="CK29" s="22">
        <v>0</v>
      </c>
      <c r="CL29" s="22">
        <f t="shared" si="4"/>
        <v>57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1279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61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154</v>
      </c>
      <c r="CJ35" s="27">
        <f t="shared" si="3"/>
        <v>154</v>
      </c>
      <c r="CK35" s="22">
        <v>0</v>
      </c>
      <c r="CL35" s="22">
        <f t="shared" si="4"/>
        <v>154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42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85</v>
      </c>
      <c r="CJ37" s="27">
        <f t="shared" si="3"/>
        <v>85</v>
      </c>
      <c r="CK37" s="22">
        <v>0</v>
      </c>
      <c r="CL37" s="22">
        <f t="shared" si="4"/>
        <v>85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490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46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272</v>
      </c>
      <c r="CJ46" s="27">
        <f t="shared" ref="CJ46:CJ76" si="11">CH46</f>
        <v>272</v>
      </c>
      <c r="CK46" s="22">
        <v>0</v>
      </c>
      <c r="CL46" s="22">
        <f t="shared" ref="CL46:CL77" si="12">CJ46+CK46</f>
        <v>272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1256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104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109</v>
      </c>
      <c r="CJ53" s="27">
        <f t="shared" si="11"/>
        <v>109</v>
      </c>
      <c r="CK53" s="22">
        <v>0</v>
      </c>
      <c r="CL53" s="22">
        <f t="shared" si="12"/>
        <v>109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-41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17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64</v>
      </c>
      <c r="CJ61" s="27">
        <f t="shared" si="11"/>
        <v>64</v>
      </c>
      <c r="CK61" s="22">
        <v>0</v>
      </c>
      <c r="CL61" s="22">
        <f t="shared" si="12"/>
        <v>64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430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2159</v>
      </c>
      <c r="CJ77" s="25">
        <f>+SUM(CJ14:CJ76)</f>
        <v>2159</v>
      </c>
      <c r="CK77" s="25">
        <f>+SUM(CK14:CK76)</f>
        <v>0</v>
      </c>
      <c r="CL77" s="25">
        <f>+SUM(CL14:CL76)</f>
        <v>2159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9073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2026-10-29T21:30:10Z</dcterms:modified>
</cp:coreProperties>
</file>