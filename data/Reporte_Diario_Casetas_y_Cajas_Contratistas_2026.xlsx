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3DAE110C-DD3D-4F52-84CB-AB0CDBCDC3D9}" xr6:coauthVersionLast="47" xr6:coauthVersionMax="47" xr10:uidLastSave="{00000000-0000-0000-0000-000000000000}"/>
  <bookViews>
    <workbookView xWindow="2304" yWindow="230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 s="1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W78" i="2" s="1"/>
  <c r="CN78" i="2"/>
  <c r="CP78" i="2" s="1"/>
  <c r="CR78" i="2" s="1"/>
  <c r="DD77" i="2"/>
  <c r="CU77" i="2"/>
  <c r="CV77" i="2" s="1"/>
  <c r="CW77" i="2" s="1"/>
  <c r="CN77" i="2"/>
  <c r="CP77" i="2" s="1"/>
  <c r="CR77" i="2" s="1"/>
  <c r="DD76" i="2"/>
  <c r="CU76" i="2"/>
  <c r="CV76" i="2" s="1"/>
  <c r="CW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W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 s="1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V14" i="2" s="1"/>
  <c r="CN14" i="2"/>
  <c r="CP14" i="2" s="1"/>
  <c r="CQ74" i="3" l="1"/>
  <c r="CW75" i="2"/>
  <c r="CW70" i="2"/>
  <c r="CW40" i="2"/>
  <c r="CW27" i="2"/>
  <c r="CQ76" i="3"/>
  <c r="CQ69" i="3"/>
  <c r="CQ64" i="3"/>
  <c r="CQ63" i="3"/>
  <c r="CQ42" i="3"/>
  <c r="CQ38" i="3"/>
  <c r="CQ37" i="3"/>
  <c r="CQ36" i="3"/>
  <c r="CQ35" i="3"/>
  <c r="CQ33" i="3"/>
  <c r="CQ32" i="3"/>
  <c r="CQ28" i="3"/>
  <c r="CQ58" i="3"/>
  <c r="CQ57" i="3"/>
  <c r="CQ54" i="3"/>
  <c r="CQ52" i="3"/>
  <c r="CQ44" i="3"/>
  <c r="CQ40" i="3"/>
  <c r="CQ39" i="3"/>
  <c r="CQ29" i="3"/>
  <c r="CQ24" i="3"/>
  <c r="CQ23" i="3"/>
  <c r="E20" i="1"/>
  <c r="AQ13" i="3"/>
  <c r="E19" i="1"/>
  <c r="AP13" i="3"/>
  <c r="E18" i="1"/>
  <c r="AO13" i="3"/>
  <c r="E17" i="1"/>
  <c r="AN13" i="3"/>
  <c r="E16" i="1"/>
  <c r="AM13" i="3"/>
  <c r="E15" i="1"/>
  <c r="AL13" i="3"/>
  <c r="AK13" i="3"/>
  <c r="E14" i="1"/>
  <c r="E13" i="1"/>
  <c r="AJ13" i="3"/>
  <c r="E12" i="1"/>
  <c r="AI13" i="3"/>
  <c r="E11" i="1"/>
  <c r="E21" i="1" s="1"/>
  <c r="AH13" i="3"/>
  <c r="AK13" i="2"/>
  <c r="D20" i="1"/>
  <c r="F20" i="1" s="1"/>
  <c r="AJ13" i="2"/>
  <c r="D19" i="1"/>
  <c r="F19" i="1" s="1"/>
  <c r="AI13" i="2"/>
  <c r="D18" i="1"/>
  <c r="F18" i="1" s="1"/>
  <c r="AH13" i="2"/>
  <c r="D17" i="1"/>
  <c r="F17" i="1" s="1"/>
  <c r="AG13" i="2"/>
  <c r="D16" i="1"/>
  <c r="F16" i="1" s="1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P14" i="3"/>
  <c r="CO77" i="3"/>
  <c r="CJ14" i="3"/>
  <c r="CH77" i="3"/>
  <c r="F11" i="1"/>
  <c r="D21" i="1"/>
  <c r="CV43" i="2"/>
  <c r="CW43" i="2" s="1"/>
  <c r="CU79" i="2"/>
  <c r="CN79" i="2"/>
  <c r="CP17" i="2"/>
  <c r="CW14" i="2"/>
  <c r="CV79" i="2"/>
  <c r="CR14" i="2"/>
  <c r="CP79" i="2"/>
  <c r="CQ73" i="3"/>
  <c r="CQ71" i="3"/>
  <c r="CQ70" i="3"/>
  <c r="CQ67" i="3"/>
  <c r="CQ66" i="3"/>
  <c r="CQ65" i="3"/>
  <c r="CQ50" i="3"/>
  <c r="CQ49" i="3"/>
  <c r="CQ60" i="3"/>
  <c r="CQ59" i="3"/>
  <c r="CQ56" i="3"/>
  <c r="CQ55" i="3"/>
  <c r="CQ34" i="3"/>
  <c r="CQ27" i="3"/>
  <c r="CQ21" i="3"/>
  <c r="CQ20" i="3"/>
  <c r="CQ19" i="3"/>
  <c r="CQ18" i="3"/>
  <c r="CQ17" i="3"/>
  <c r="CQ16" i="3"/>
  <c r="CQ15" i="3"/>
  <c r="CW74" i="2"/>
  <c r="CW72" i="2"/>
  <c r="CW71" i="2"/>
  <c r="CW68" i="2"/>
  <c r="CW67" i="2"/>
  <c r="CQ48" i="3"/>
  <c r="CQ46" i="3"/>
  <c r="CQ43" i="3"/>
  <c r="CQ41" i="3"/>
  <c r="CQ26" i="3"/>
  <c r="CQ25" i="3"/>
  <c r="CW69" i="2"/>
  <c r="CQ31" i="3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2" i="2"/>
  <c r="CW41" i="2"/>
  <c r="CQ53" i="3"/>
  <c r="CQ51" i="3"/>
  <c r="CQ30" i="3"/>
  <c r="CW39" i="2"/>
  <c r="CW38" i="2"/>
  <c r="CW37" i="2"/>
  <c r="CW36" i="2"/>
  <c r="CW35" i="2"/>
  <c r="CW34" i="2"/>
  <c r="CW33" i="2"/>
  <c r="CW32" i="2"/>
  <c r="CW31" i="2"/>
  <c r="CW30" i="2"/>
  <c r="CW29" i="2"/>
  <c r="CW28" i="2"/>
  <c r="CW26" i="2"/>
  <c r="CW25" i="2"/>
  <c r="CW24" i="2"/>
  <c r="CW23" i="2"/>
  <c r="CW22" i="2"/>
  <c r="CW21" i="2"/>
  <c r="CW20" i="2"/>
  <c r="CW19" i="2"/>
  <c r="CW18" i="2"/>
  <c r="CW16" i="2"/>
  <c r="CW15" i="2"/>
  <c r="CQ75" i="3"/>
  <c r="CQ72" i="3"/>
  <c r="CQ68" i="3"/>
  <c r="CQ62" i="3"/>
  <c r="CQ61" i="3"/>
  <c r="CQ47" i="3"/>
  <c r="CQ45" i="3"/>
  <c r="CQ22" i="3"/>
  <c r="CP77" i="3" l="1"/>
  <c r="CQ14" i="3"/>
  <c r="CQ77" i="3" s="1"/>
  <c r="CL14" i="3"/>
  <c r="CL77" i="3" s="1"/>
  <c r="CJ77" i="3"/>
  <c r="I3" i="2"/>
  <c r="D3" i="3"/>
  <c r="CH13" i="3"/>
  <c r="E6" i="1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B6" i="1"/>
  <c r="D3" i="2"/>
  <c r="CN13" i="2"/>
  <c r="I3" i="3"/>
  <c r="CW17" i="2"/>
  <c r="CW79" i="2" s="1"/>
  <c r="CR17" i="2"/>
  <c r="CR79" i="2" s="1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<sst xmlns="http://schemas.openxmlformats.org/spreadsheetml/2006/main" count="580" uniqueCount="171">
  <si>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</si>
  <si>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</si>
  <si>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</si>
  <si>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</si>
  <si>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</si>
  <si>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</si>
  <si>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</si>
  <si>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</si>
  <si>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</si>
  <si>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</si>
  <si>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</si>
  <si>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</si>
  <si>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</si>
  <si>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</si>
  <si>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</si>
  <si>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</si>
  <si>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</si>
  <si>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</si>
  <si>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</si>
  <si>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</si>
  <si>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</si>
  <si>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</si>
  <si>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</si>
  <si>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</si>
  <si>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</si>
  <si>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</si>
  <si>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</si>
  <si>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</si>
  <si>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</si>
  <si>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</si>
  <si>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</si>
  <si>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</si>
  <si>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</si>
  <si>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</si>
  <si>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</si>
  <si>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</si>
  <si>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</si>
  <si>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</si>
  <si>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</si>
  <si>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</si>
  <si>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</si>
  <si>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</si>
  <si>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</si>
  <si>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</si>
  <si>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</si>
  <si>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</si>
  <si>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</si>
  <si>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</si>
  <si>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</si>
  <si>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</si>
  <si>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</si>
  <si>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</si>
  <si>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</si>
  <si>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</si>
  <si>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</si>
  <si>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</si>
  <si>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</si>
  <si>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</si>
  <si>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</si>
  <si>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</si>
  <si>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</si>
  <si>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</si>
  <si>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</si>
  <si>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</si>
  <si>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</si>
  <si>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</si>
  <si>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</si>
  <si>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</si>
  <si>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</si>
  <si>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</si>
  <si>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</si>
  <si>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</si>
  <si>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</si>
  <si>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</si>
  <si>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</si>
  <si>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</si>
  <si>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</si>
  <si>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</si>
  <si>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</si>
  <si>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</si>
  <si>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</si>
  <si>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</si>
  <si>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</si>
  <si>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</si>
  <si>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</si>
  <si>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</si>
  <si>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</si>
  <si>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</si>
  <si>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</si>
  <si>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</si>
  <si>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</si>
  <si>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</si>
  <si>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</si>
  <si>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</si>
  <si>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</si>
  <si>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</si>
  <si>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</si>
  <si>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</si>
  <si>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</si>
  <si>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</si>
  <si>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</si>
  <si>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</si>
  <si>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</si>
  <si>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</si>
  <si>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</si>
  <si>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</si>
  <si>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</si>
  <si>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</si>
  <si>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</si>
  <si>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</si>
  <si>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</si>
  <si>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</si>
  <si>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11:32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</si>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</sst>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548</v>
      </c>
      <c r="C6" s="89"/>
      <c r="E6" s="88">
        <f>'Programa CAJAS REPORTE DIARIO'!CH77</f>
        <v>1386</v>
      </c>
      <c r="F6" s="89"/>
      <c r="H6" s="101">
        <f>B6+E6</f>
        <v>1934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548</v>
      </c>
      <c r="F3" s="79" t="s">
        <v>1</v>
      </c>
      <c r="I3" s="80">
        <f>'Programa CAJAS REPORTE DIARIO'!CH77+CN79</f>
        <v>1934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66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548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9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159</v>
      </c>
      <c r="CP27" s="27">
        <f t="shared" si="4"/>
        <v>159</v>
      </c>
      <c r="CQ27" s="22">
        <v>0</v>
      </c>
      <c r="CR27" s="22">
        <f t="shared" si="5"/>
        <v>159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211.5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12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127</v>
      </c>
      <c r="CP28" s="27">
        <f t="shared" si="4"/>
        <v>127</v>
      </c>
      <c r="CQ28" s="22">
        <v>0</v>
      </c>
      <c r="CR28" s="22">
        <f t="shared" si="5"/>
        <v>127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1250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1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15</v>
      </c>
      <c r="CP36" s="27">
        <f t="shared" si="4"/>
        <v>15</v>
      </c>
      <c r="CQ36" s="22">
        <v>0</v>
      </c>
      <c r="CR36" s="22">
        <f t="shared" si="5"/>
        <v>15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-15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10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53</v>
      </c>
      <c r="CP42" s="27">
        <f t="shared" si="4"/>
        <v>53</v>
      </c>
      <c r="CQ42" s="22">
        <v>0</v>
      </c>
      <c r="CR42" s="22">
        <f t="shared" si="5"/>
        <v>53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1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15</v>
      </c>
      <c r="CP51" s="27">
        <f t="shared" si="11"/>
        <v>15</v>
      </c>
      <c r="CQ51" s="22">
        <v>0</v>
      </c>
      <c r="CR51" s="22">
        <f t="shared" si="12"/>
        <v>15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735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14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16</v>
      </c>
      <c r="CP58" s="27">
        <f t="shared" si="11"/>
        <v>16</v>
      </c>
      <c r="CQ58" s="22">
        <v>0</v>
      </c>
      <c r="CR58" s="22">
        <f t="shared" si="12"/>
        <v>16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-16</v>
      </c>
      <c r="CX58" s="43"/>
      <c r="CY58" s="17"/>
      <c r="DD58" s="14">
        <f t="shared" si="16"/>
        <v>0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66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548</v>
      </c>
      <c r="CP79" s="25">
        <f>+SUM(CP14:CP78)</f>
        <v>548</v>
      </c>
      <c r="CQ79" s="25">
        <f>+SUM(CQ14:CQ78)</f>
        <v>0</v>
      </c>
      <c r="CR79" s="25">
        <f>+SUM(CR14:CR78)</f>
        <v>548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2584.5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153</v>
      </c>
      <c r="D3" s="78">
        <f>+CH77</f>
        <v>1386</v>
      </c>
      <c r="F3" s="79" t="s">
        <v>1</v>
      </c>
      <c r="I3" s="80">
        <f>'Programa CASETAS REPORTE DIARIO'!CN79+CH77</f>
        <v>1934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61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1386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8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340</v>
      </c>
      <c r="CJ27" s="27">
        <f t="shared" si="3"/>
        <v>340</v>
      </c>
      <c r="CK27" s="22">
        <v>0</v>
      </c>
      <c r="CL27" s="22">
        <f t="shared" si="4"/>
        <v>340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446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10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222</v>
      </c>
      <c r="CJ28" s="27">
        <f t="shared" si="3"/>
        <v>222</v>
      </c>
      <c r="CK28" s="22">
        <v>0</v>
      </c>
      <c r="CL28" s="22">
        <f t="shared" si="4"/>
        <v>222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-44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3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85</v>
      </c>
      <c r="CJ35" s="27">
        <f t="shared" si="3"/>
        <v>85</v>
      </c>
      <c r="CK35" s="22">
        <v>0</v>
      </c>
      <c r="CL35" s="22">
        <f t="shared" si="4"/>
        <v>85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14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3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33</v>
      </c>
      <c r="CJ36" s="27">
        <f t="shared" si="3"/>
        <v>33</v>
      </c>
      <c r="CK36" s="22">
        <v>0</v>
      </c>
      <c r="CL36" s="22">
        <f t="shared" si="4"/>
        <v>33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-33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5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65</v>
      </c>
      <c r="CJ43" s="27">
        <f t="shared" si="3"/>
        <v>65</v>
      </c>
      <c r="CK43" s="22">
        <v>0</v>
      </c>
      <c r="CL43" s="22">
        <f t="shared" si="4"/>
        <v>65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-45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174</v>
      </c>
      <c r="CJ46" s="27">
        <f t="shared" ref="CJ46:CJ76" si="11">CH46</f>
        <v>174</v>
      </c>
      <c r="CK46" s="22">
        <v>0</v>
      </c>
      <c r="CL46" s="22">
        <f t="shared" ref="CL46:CL77" si="12">CJ46+CK46</f>
        <v>174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157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9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52</v>
      </c>
      <c r="CJ55" s="27">
        <f t="shared" si="11"/>
        <v>52</v>
      </c>
      <c r="CK55" s="22">
        <v>0</v>
      </c>
      <c r="CL55" s="22">
        <f t="shared" si="12"/>
        <v>52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-22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5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46</v>
      </c>
      <c r="CJ57" s="27">
        <f t="shared" si="11"/>
        <v>46</v>
      </c>
      <c r="CK57" s="22">
        <v>0</v>
      </c>
      <c r="CL57" s="22">
        <f t="shared" si="12"/>
        <v>46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46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5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36</v>
      </c>
      <c r="CJ61" s="27">
        <f t="shared" si="11"/>
        <v>36</v>
      </c>
      <c r="CK61" s="22">
        <v>0</v>
      </c>
      <c r="CL61" s="22">
        <f t="shared" si="12"/>
        <v>36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-4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47</v>
      </c>
      <c r="CJ70" s="27">
        <f t="shared" si="11"/>
        <v>47</v>
      </c>
      <c r="CK70" s="22">
        <v>0</v>
      </c>
      <c r="CL70" s="22">
        <f t="shared" si="12"/>
        <v>47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-33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61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1386</v>
      </c>
      <c r="CJ77" s="25">
        <f>+SUM(CJ14:CJ76)</f>
        <v>1386</v>
      </c>
      <c r="CK77" s="25">
        <f>+SUM(CK14:CK76)</f>
        <v>0</v>
      </c>
      <c r="CL77" s="25">
        <f>+SUM(CL14:CL76)</f>
        <v>1386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5601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2026-10-28T17:32:23Z</dcterms:modified>
</cp:coreProperties>
</file>