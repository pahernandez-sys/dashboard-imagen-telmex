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A788B39F-7A97-426F-B385-1D1B7CFBD4C9}" xr6:coauthVersionLast="47" xr6:coauthVersionMax="47" xr10:uidLastSave="{00000000-0000-0000-0000-000000000000}"/>
  <bookViews>
    <workbookView xWindow="384" yWindow="384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 s="1"/>
  <c r="CP58" i="3" s="1"/>
  <c r="CH58" i="3"/>
  <c r="CJ58" i="3" s="1"/>
  <c r="CL58" i="3" s="1"/>
  <c r="DC57" i="3"/>
  <c r="CO57" i="3" s="1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 s="1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 s="1"/>
  <c r="CP20" i="3" s="1"/>
  <c r="CH20" i="3"/>
  <c r="DC19" i="3"/>
  <c r="CO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D24" i="1" s="1"/>
  <c r="AN79" i="2"/>
  <c r="D23" i="1" s="1"/>
  <c r="AM79" i="2"/>
  <c r="D22" i="1" s="1"/>
  <c r="AL79" i="2"/>
  <c r="D21" i="1" s="1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 s="1"/>
  <c r="CV39" i="2" s="1"/>
  <c r="CW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 s="1"/>
  <c r="CV37" i="2" s="1"/>
  <c r="CW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 s="1"/>
  <c r="CV32" i="2" s="1"/>
  <c r="CW32" i="2" s="1"/>
  <c r="CN32" i="2"/>
  <c r="CP32" i="2" s="1"/>
  <c r="CR32" i="2" s="1"/>
  <c r="DD31" i="2"/>
  <c r="CU31" i="2" s="1"/>
  <c r="CV31" i="2" s="1"/>
  <c r="CW31" i="2" s="1"/>
  <c r="CN31" i="2"/>
  <c r="CP31" i="2" s="1"/>
  <c r="CR31" i="2" s="1"/>
  <c r="DD30" i="2"/>
  <c r="CU30" i="2" s="1"/>
  <c r="CV30" i="2" s="1"/>
  <c r="CW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Q67" i="3" l="1"/>
  <c r="CW55" i="2"/>
  <c r="CW54" i="2"/>
  <c r="CW42" i="2"/>
  <c r="CN85" i="2"/>
  <c r="CW53" i="2"/>
  <c r="CW49" i="2"/>
  <c r="CQ70" i="3"/>
  <c r="CQ69" i="3"/>
  <c r="CQ68" i="3"/>
  <c r="CQ66" i="3"/>
  <c r="CW61" i="2"/>
  <c r="CW52" i="2"/>
  <c r="CW34" i="2"/>
  <c r="CW44" i="2"/>
  <c r="CW33" i="2"/>
  <c r="CQ24" i="3"/>
  <c r="CL24" i="3"/>
  <c r="E24" i="1"/>
  <c r="F24" i="1" s="1"/>
  <c r="AU13" i="3"/>
  <c r="E23" i="1"/>
  <c r="F23" i="1" s="1"/>
  <c r="AT13" i="3"/>
  <c r="E22" i="1"/>
  <c r="F22" i="1" s="1"/>
  <c r="AS13" i="3"/>
  <c r="AR13" i="3"/>
  <c r="E21" i="1"/>
  <c r="F21" i="1" s="1"/>
  <c r="AQ13" i="3"/>
  <c r="E20" i="1"/>
  <c r="F20" i="1" s="1"/>
  <c r="AP13" i="3"/>
  <c r="E19" i="1"/>
  <c r="F19" i="1" s="1"/>
  <c r="E18" i="1"/>
  <c r="F18" i="1" s="1"/>
  <c r="AO13" i="3"/>
  <c r="E17" i="1"/>
  <c r="F17" i="1" s="1"/>
  <c r="AN13" i="3"/>
  <c r="E16" i="1"/>
  <c r="F16" i="1" s="1"/>
  <c r="AM13" i="3"/>
  <c r="E15" i="1"/>
  <c r="F15" i="1" s="1"/>
  <c r="AL13" i="3"/>
  <c r="E14" i="1"/>
  <c r="F14" i="1" s="1"/>
  <c r="AK13" i="3"/>
  <c r="E13" i="1"/>
  <c r="F13" i="1" s="1"/>
  <c r="AJ13" i="3"/>
  <c r="E12" i="1"/>
  <c r="F12" i="1" s="1"/>
  <c r="AI13" i="3"/>
  <c r="AH13" i="3"/>
  <c r="E11" i="1"/>
  <c r="CH77" i="3"/>
  <c r="CJ20" i="3"/>
  <c r="CO77" i="3"/>
  <c r="CP19" i="3"/>
  <c r="CQ19" i="3" s="1"/>
  <c r="CQ14" i="3"/>
  <c r="CP77" i="3"/>
  <c r="CL14" i="3"/>
  <c r="CJ77" i="3"/>
  <c r="F11" i="1"/>
  <c r="D25" i="1"/>
  <c r="CV14" i="2"/>
  <c r="CU79" i="2"/>
  <c r="CP14" i="2"/>
  <c r="CN79" i="2"/>
  <c r="CQ76" i="3"/>
  <c r="CQ75" i="3"/>
  <c r="CQ74" i="3"/>
  <c r="CQ73" i="3"/>
  <c r="CQ72" i="3"/>
  <c r="CQ71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2" i="3"/>
  <c r="CQ31" i="3"/>
  <c r="CQ30" i="3"/>
  <c r="CQ29" i="3"/>
  <c r="CQ28" i="3"/>
  <c r="CW41" i="2"/>
  <c r="CW38" i="2"/>
  <c r="CW40" i="2"/>
  <c r="CW35" i="2"/>
  <c r="CQ27" i="3"/>
  <c r="CQ26" i="3"/>
  <c r="CQ25" i="3"/>
  <c r="CQ23" i="3"/>
  <c r="CQ22" i="3"/>
  <c r="CQ21" i="3"/>
  <c r="CQ18" i="3"/>
  <c r="CQ17" i="3"/>
  <c r="CQ16" i="3"/>
  <c r="CQ15" i="3"/>
  <c r="CW46" i="2"/>
  <c r="CW45" i="2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0" i="2"/>
  <c r="CW59" i="2"/>
  <c r="CW58" i="2"/>
  <c r="CW57" i="2"/>
  <c r="CW56" i="2"/>
  <c r="CW51" i="2"/>
  <c r="CW50" i="2"/>
  <c r="CW48" i="2"/>
  <c r="CW47" i="2"/>
  <c r="CW43" i="2"/>
  <c r="CW36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7" i="2"/>
  <c r="CW16" i="2"/>
  <c r="CW15" i="2"/>
  <c r="I3" i="2" l="1"/>
  <c r="E6" i="1"/>
  <c r="D3" i="3"/>
  <c r="CH13" i="3"/>
  <c r="CQ20" i="3"/>
  <c r="CQ77" i="3" s="1"/>
  <c r="CL20" i="3"/>
  <c r="CL77" i="3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F25" i="1"/>
  <c r="G25" i="1" s="1"/>
  <c r="CV79" i="2"/>
  <c r="CW14" i="2"/>
  <c r="CW79" i="2" s="1"/>
  <c r="CR14" i="2"/>
  <c r="CR79" i="2" s="1"/>
  <c r="CP79" i="2"/>
  <c r="CN13" i="2"/>
  <c r="B6" i="1"/>
  <c r="H6" i="1" s="1"/>
  <c r="I3" i="3"/>
  <c r="D3" i="2"/>
  <c r="E25" i="1"/>
</calcChain>
</file>

<file path=xl/sharedStrings.xml><?xml version="1.0" encoding="utf-8"?>
<sst xmlns="http://schemas.openxmlformats.org/spreadsheetml/2006/main" count="592" uniqueCount="176">
  <si>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</si>
  <si>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</si>
  <si>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</si>
  <si>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</si>
  <si>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</si>
  <si>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</si>
  <si>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</si>
  <si>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</si>
  <si>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</si>
  <si>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</si>
  <si>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</si>
  <si>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</si>
  <si>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</si>
  <si>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</si>
  <si>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</si>
  <si>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</si>
  <si>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</si>
  <si>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</si>
  <si>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</si>
  <si>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</si>
  <si>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</si>
  <si>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</si>
  <si>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</si>
  <si>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</si>
  <si>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</si>
  <si>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</si>
  <si>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</si>
  <si>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</si>
  <si>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</si>
  <si>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</si>
  <si>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</si>
  <si>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</si>
  <si>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</si>
  <si>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</si>
  <si>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</si>
  <si>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</si>
  <si>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</si>
  <si>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</si>
  <si>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</si>
  <si>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</si>
  <si>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</si>
  <si>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</si>
  <si>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</si>
  <si>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</si>
  <si>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</si>
  <si>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</si>
  <si>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</si>
  <si>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</si>
  <si>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</si>
  <si>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</si>
  <si>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</si>
  <si>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</si>
  <si>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</si>
  <si>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</si>
  <si>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</si>
  <si>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</si>
  <si>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</si>
  <si>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</si>
  <si>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</si>
  <si>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</si>
  <si>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</si>
  <si>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</si>
  <si>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</si>
  <si>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</si>
  <si>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</si>
  <si>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</si>
  <si>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</si>
  <si>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</si>
  <si>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</si>
  <si>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</si>
  <si>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</si>
  <si>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</si>
  <si>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</si>
  <si>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</si>
  <si>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</si>
  <si>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</si>
  <si>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</si>
  <si>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</si>
  <si>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</si>
  <si>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</si>
  <si>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</si>
  <si>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</si>
  <si>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</si>
  <si>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</si>
  <si>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</si>
  <si>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</si>
  <si>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</si>
  <si>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</si>
  <si>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</si>
  <si>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</si>
  <si>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</si>
  <si>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</si>
  <si>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</si>
  <si>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</si>
  <si>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</si>
  <si>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</si>
  <si>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</si>
  <si>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</si>
  <si>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</si>
  <si>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</si>
  <si>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</si>
  <si>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</si>
  <si>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</si>
  <si>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</si>
  <si>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</si>
  <si>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</si>
  <si>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</si>
  <si>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</si>
  <si>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</si>
  <si>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</si>
  <si>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</si>
  <si>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</si>
  <si>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(30/10/2026, 11:27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</si>
  <si>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</si>
  <si>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</si>
  <si>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</si>
  <si>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</si>
  <si>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</si>
  <si>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</si>
  <si>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</si>
  <si>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</si>
  <si>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</si>
  <si>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</si>
  <si>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</si>
  <si>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</si>
  <si>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</si>
  <si>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</si>
  <si>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</si>
  <si>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</si>
  <si>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</si>
  <si>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</si>
  <si>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</si>
  <si>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</si>
  <si>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</si>
  <si>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</si>
  <si>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</si>
  <si>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</si>
  <si>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</si>
  <si>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</si>
  <si>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</si>
  <si>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</si>
  <si>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</si>
  <si>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</si>
  <si>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</si>
  <si>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</si>
  <si>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</si>
  <si>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</si>
  <si>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</si>
  <si>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</si>
  <si>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2026-10-30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</si>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</sst>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9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1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940</v>
      </c>
      <c r="C6" s="89"/>
      <c r="E6" s="88">
        <f>'Programa CAJAS REPORTE DIARIO'!CH77</f>
        <v>2607</v>
      </c>
      <c r="F6" s="89"/>
      <c r="H6" s="101">
        <f>B6+E6</f>
        <v>3547</v>
      </c>
      <c r="I6" s="97"/>
      <c r="J6" s="97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4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4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249</v>
      </c>
      <c r="E23" s="70">
        <f>'Programa CAJAS REPORTE DIARIO'!AT77</f>
        <v>746</v>
      </c>
      <c r="F23" s="70">
        <f t="shared" si="0"/>
        <v>995</v>
      </c>
      <c r="G23" s="70">
        <f t="shared" si="1"/>
        <v>3383</v>
      </c>
      <c r="H23" s="69" t="s">
        <v>145</v>
      </c>
    </row>
    <row r="24" spans="2:8" ht="19.95" customHeight="1" x14ac:dyDescent="0.3">
      <c r="B24" s="71" t="s">
        <v>149</v>
      </c>
      <c r="C24" s="71" t="s">
        <v>141</v>
      </c>
      <c r="D24" s="72">
        <f>'Programa CASETAS REPORTE DIARIO'!AO79</f>
        <v>32</v>
      </c>
      <c r="E24" s="72">
        <f>'Programa CAJAS REPORTE DIARIO'!AU77</f>
        <v>132</v>
      </c>
      <c r="F24" s="72">
        <f t="shared" si="0"/>
        <v>164</v>
      </c>
      <c r="G24" s="72">
        <f t="shared" si="1"/>
        <v>3547</v>
      </c>
      <c r="H24" s="71" t="s">
        <v>150</v>
      </c>
    </row>
    <row r="25" spans="2:8" ht="24" customHeight="1" x14ac:dyDescent="0.3">
      <c r="B25" s="73" t="s">
        <v>151</v>
      </c>
      <c r="C25" s="74"/>
      <c r="D25" s="75">
        <f>SUM(D11:D24)</f>
        <v>940</v>
      </c>
      <c r="E25" s="75">
        <f>SUM(E11:E24)</f>
        <v>2607</v>
      </c>
      <c r="F25" s="75">
        <f>SUM(F11:F24)</f>
        <v>3547</v>
      </c>
      <c r="G25" s="75">
        <f>F25</f>
        <v>3547</v>
      </c>
      <c r="H25" s="76" t="s">
        <v>152</v>
      </c>
    </row>
    <row r="27" spans="2:8" x14ac:dyDescent="0.3">
      <c r="B27" s="94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  <row r="31" spans="2:8" ht="18" customHeight="1" x14ac:dyDescent="0.3">
      <c r="B31" s="90" t="s">
        <v>157</v>
      </c>
      <c r="C31" s="91"/>
      <c r="D31" s="91"/>
      <c r="E31" s="91"/>
      <c r="F31" s="91"/>
      <c r="G31" s="91"/>
      <c r="H31" s="91"/>
    </row>
  </sheetData>
  <mergeCells count="17">
    <mergeCell ref="B2:J2"/>
    <mergeCell ref="H6:J6"/>
    <mergeCell ref="B31:H31"/>
    <mergeCell ref="E5:F5"/>
    <mergeCell ref="B9:J9"/>
    <mergeCell ref="B30:H30"/>
    <mergeCell ref="B29:H29"/>
    <mergeCell ref="H7:J7"/>
    <mergeCell ref="B6:C6"/>
    <mergeCell ref="B28:H28"/>
    <mergeCell ref="B3:J3"/>
    <mergeCell ref="E6:F6"/>
    <mergeCell ref="B7:C7"/>
    <mergeCell ref="B27:H27"/>
    <mergeCell ref="E7:F7"/>
    <mergeCell ref="B5:C5"/>
    <mergeCell ref="H5:J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940</v>
      </c>
      <c r="F3" s="79" t="s">
        <v>1</v>
      </c>
      <c r="I3" s="80">
        <f>'Programa CAJAS REPORTE DIARIO'!CH77+CN79</f>
        <v>3547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249</v>
      </c>
      <c r="AO13" s="23">
        <f t="shared" si="0"/>
        <v>32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940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17</v>
      </c>
      <c r="AO27" s="24">
        <v>1</v>
      </c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201</v>
      </c>
      <c r="CP27" s="27">
        <f t="shared" si="4"/>
        <v>201</v>
      </c>
      <c r="CQ27" s="22">
        <v>0</v>
      </c>
      <c r="CR27" s="22">
        <f t="shared" si="5"/>
        <v>201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169.5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183</v>
      </c>
      <c r="CP28" s="27">
        <f t="shared" si="4"/>
        <v>183</v>
      </c>
      <c r="CQ28" s="22">
        <v>0</v>
      </c>
      <c r="CR28" s="22">
        <f t="shared" si="5"/>
        <v>183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1194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>
        <v>7</v>
      </c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120</v>
      </c>
      <c r="CP29" s="27">
        <f t="shared" si="4"/>
        <v>120</v>
      </c>
      <c r="CQ29" s="22">
        <v>0</v>
      </c>
      <c r="CR29" s="22">
        <f t="shared" si="5"/>
        <v>120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286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>
        <v>1</v>
      </c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25</v>
      </c>
      <c r="CP36" s="27">
        <f t="shared" si="4"/>
        <v>25</v>
      </c>
      <c r="CQ36" s="22">
        <v>0</v>
      </c>
      <c r="CR36" s="22">
        <f t="shared" si="5"/>
        <v>25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-25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>
        <v>1</v>
      </c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23</v>
      </c>
      <c r="CP37" s="27">
        <f t="shared" si="4"/>
        <v>23</v>
      </c>
      <c r="CQ37" s="22">
        <v>0</v>
      </c>
      <c r="CR37" s="22">
        <f t="shared" si="5"/>
        <v>23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-23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63</v>
      </c>
      <c r="AO42" s="24">
        <v>2</v>
      </c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135</v>
      </c>
      <c r="CP42" s="27">
        <f t="shared" si="4"/>
        <v>135</v>
      </c>
      <c r="CQ42" s="22">
        <v>0</v>
      </c>
      <c r="CR42" s="22">
        <f t="shared" si="5"/>
        <v>135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-135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>
        <v>20</v>
      </c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82</v>
      </c>
      <c r="CP56" s="27">
        <f t="shared" si="11"/>
        <v>82</v>
      </c>
      <c r="CQ56" s="22">
        <v>0</v>
      </c>
      <c r="CR56" s="22">
        <f t="shared" si="12"/>
        <v>82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-82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>
        <v>5</v>
      </c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59</v>
      </c>
      <c r="CP58" s="27">
        <f t="shared" si="11"/>
        <v>59</v>
      </c>
      <c r="CQ58" s="22">
        <v>0</v>
      </c>
      <c r="CR58" s="22">
        <f t="shared" si="12"/>
        <v>59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1620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249</v>
      </c>
      <c r="AO79" s="25">
        <f t="shared" si="22"/>
        <v>32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940</v>
      </c>
      <c r="CP79" s="25">
        <f>+SUM(CP14:CP78)</f>
        <v>940</v>
      </c>
      <c r="CQ79" s="25">
        <f>+SUM(CQ14:CQ78)</f>
        <v>0</v>
      </c>
      <c r="CR79" s="25">
        <f>+SUM(CR14:CR78)</f>
        <v>940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6326.5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158</v>
      </c>
      <c r="D3" s="78">
        <f>+CH77</f>
        <v>2607</v>
      </c>
      <c r="F3" s="79" t="s">
        <v>1</v>
      </c>
      <c r="I3" s="80">
        <f>'Programa CASETAS REPORTE DIARIO'!CN79+CH77</f>
        <v>3547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159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160</v>
      </c>
      <c r="CQ12" s="29" t="s">
        <v>21</v>
      </c>
      <c r="CS12" s="29" t="s">
        <v>161</v>
      </c>
      <c r="CT12" s="29" t="s">
        <v>161</v>
      </c>
      <c r="CU12" s="29" t="s">
        <v>161</v>
      </c>
      <c r="CV12" s="29" t="s">
        <v>161</v>
      </c>
      <c r="CW12" s="29" t="s">
        <v>161</v>
      </c>
      <c r="CX12" s="29" t="s">
        <v>162</v>
      </c>
      <c r="CY12" s="29" t="s">
        <v>162</v>
      </c>
      <c r="CZ12" s="29" t="s">
        <v>162</v>
      </c>
      <c r="DA12" s="29" t="s">
        <v>162</v>
      </c>
      <c r="DB12" s="29" t="s">
        <v>162</v>
      </c>
    </row>
    <row r="13" spans="1:107" s="12" customFormat="1" ht="51.75" customHeight="1" x14ac:dyDescent="0.25">
      <c r="A13" s="10" t="s">
        <v>22</v>
      </c>
      <c r="B13" s="10" t="s">
        <v>163</v>
      </c>
      <c r="C13" s="10" t="s">
        <v>24</v>
      </c>
      <c r="D13" s="57" t="s">
        <v>25</v>
      </c>
      <c r="E13" s="57" t="s">
        <v>164</v>
      </c>
      <c r="F13" s="57" t="s">
        <v>165</v>
      </c>
      <c r="G13" s="57" t="s">
        <v>166</v>
      </c>
      <c r="H13" s="57" t="s">
        <v>167</v>
      </c>
      <c r="I13" s="57" t="s">
        <v>168</v>
      </c>
      <c r="J13" s="57" t="s">
        <v>169</v>
      </c>
      <c r="K13" s="57" t="s">
        <v>170</v>
      </c>
      <c r="L13" s="57" t="s">
        <v>171</v>
      </c>
      <c r="M13" s="57" t="s">
        <v>172</v>
      </c>
      <c r="N13" s="57" t="s">
        <v>173</v>
      </c>
      <c r="O13" s="57" t="s">
        <v>174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746</v>
      </c>
      <c r="AU13" s="38">
        <f t="shared" si="0"/>
        <v>132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2607</v>
      </c>
      <c r="CJ13" s="39"/>
      <c r="CK13" s="40"/>
      <c r="CL13" s="40"/>
      <c r="CM13" s="41"/>
      <c r="CN13" s="29"/>
      <c r="CO13" s="29"/>
      <c r="CP13" s="29"/>
      <c r="CQ13" s="29"/>
      <c r="CS13" s="67" t="s">
        <v>164</v>
      </c>
      <c r="CT13" s="67" t="s">
        <v>165</v>
      </c>
      <c r="CU13" s="67" t="s">
        <v>166</v>
      </c>
      <c r="CV13" s="67" t="s">
        <v>167</v>
      </c>
      <c r="CW13" s="67" t="s">
        <v>168</v>
      </c>
      <c r="CX13" s="67" t="s">
        <v>169</v>
      </c>
      <c r="CY13" s="67" t="s">
        <v>170</v>
      </c>
      <c r="CZ13" s="67" t="s">
        <v>171</v>
      </c>
      <c r="DA13" s="67" t="s">
        <v>172</v>
      </c>
      <c r="DB13" s="67" t="s">
        <v>173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72</v>
      </c>
      <c r="AU27" s="24">
        <v>8</v>
      </c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445</v>
      </c>
      <c r="CJ27" s="27">
        <f t="shared" si="3"/>
        <v>445</v>
      </c>
      <c r="CK27" s="22">
        <v>0</v>
      </c>
      <c r="CL27" s="22">
        <f t="shared" si="4"/>
        <v>445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341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47</v>
      </c>
      <c r="AU28" s="24">
        <v>8</v>
      </c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335</v>
      </c>
      <c r="CJ28" s="27">
        <f t="shared" si="3"/>
        <v>335</v>
      </c>
      <c r="CK28" s="22">
        <v>0</v>
      </c>
      <c r="CL28" s="22">
        <f t="shared" si="4"/>
        <v>335</v>
      </c>
      <c r="CM28" s="42"/>
      <c r="CN28" s="44"/>
      <c r="CO28" s="14">
        <f t="shared" si="5"/>
        <v>180</v>
      </c>
      <c r="CP28" s="14">
        <f t="shared" si="6"/>
        <v>180</v>
      </c>
      <c r="CQ28" s="14">
        <f t="shared" si="7"/>
        <v>-155</v>
      </c>
      <c r="CR28" s="43"/>
      <c r="CS28" s="17">
        <v>67</v>
      </c>
      <c r="CT28">
        <v>38</v>
      </c>
      <c r="CV28">
        <v>5</v>
      </c>
      <c r="CW28">
        <v>2</v>
      </c>
      <c r="CX28">
        <v>8</v>
      </c>
      <c r="CY28">
        <v>16</v>
      </c>
      <c r="CZ28">
        <v>17</v>
      </c>
      <c r="DA28">
        <v>27</v>
      </c>
      <c r="DC28" s="14">
        <f t="shared" si="8"/>
        <v>180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>
        <v>5</v>
      </c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110</v>
      </c>
      <c r="CJ29" s="27">
        <f t="shared" si="3"/>
        <v>110</v>
      </c>
      <c r="CK29" s="22">
        <v>0</v>
      </c>
      <c r="CL29" s="22">
        <f t="shared" si="4"/>
        <v>110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1226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>
        <v>2</v>
      </c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165</v>
      </c>
      <c r="CJ35" s="27">
        <f t="shared" si="3"/>
        <v>165</v>
      </c>
      <c r="CK35" s="22">
        <v>0</v>
      </c>
      <c r="CL35" s="22">
        <f t="shared" si="4"/>
        <v>165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50</v>
      </c>
      <c r="CJ36" s="27">
        <f t="shared" si="3"/>
        <v>50</v>
      </c>
      <c r="CK36" s="22">
        <v>0</v>
      </c>
      <c r="CL36" s="22">
        <f t="shared" si="4"/>
        <v>50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-50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>
        <v>39</v>
      </c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125</v>
      </c>
      <c r="CJ37" s="27">
        <f t="shared" si="3"/>
        <v>125</v>
      </c>
      <c r="CK37" s="22">
        <v>0</v>
      </c>
      <c r="CL37" s="22">
        <f t="shared" si="4"/>
        <v>125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450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15</v>
      </c>
      <c r="AU41" s="24">
        <v>6</v>
      </c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65</v>
      </c>
      <c r="CJ41" s="27">
        <f t="shared" si="3"/>
        <v>65</v>
      </c>
      <c r="CK41" s="22">
        <v>0</v>
      </c>
      <c r="CL41" s="22">
        <f t="shared" si="4"/>
        <v>65</v>
      </c>
      <c r="CM41" s="42"/>
      <c r="CN41" s="44"/>
      <c r="CO41" s="14">
        <f t="shared" si="5"/>
        <v>580</v>
      </c>
      <c r="CP41" s="14">
        <f t="shared" si="6"/>
        <v>580</v>
      </c>
      <c r="CQ41" s="14">
        <f t="shared" si="7"/>
        <v>515</v>
      </c>
      <c r="CR41" s="43"/>
      <c r="CS41" s="17">
        <v>46</v>
      </c>
      <c r="CV41">
        <v>9</v>
      </c>
      <c r="CW41">
        <v>2</v>
      </c>
      <c r="CY41">
        <v>357</v>
      </c>
      <c r="CZ41">
        <v>100</v>
      </c>
      <c r="DB41">
        <v>66</v>
      </c>
      <c r="DC41" s="14">
        <f t="shared" si="8"/>
        <v>580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>
        <v>22</v>
      </c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198</v>
      </c>
      <c r="CJ43" s="27">
        <f t="shared" si="3"/>
        <v>198</v>
      </c>
      <c r="CK43" s="22">
        <v>0</v>
      </c>
      <c r="CL43" s="22">
        <f t="shared" si="4"/>
        <v>198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-178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175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105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331</v>
      </c>
      <c r="CJ46" s="27">
        <f t="shared" ref="CJ46:CJ76" si="11">CH46</f>
        <v>331</v>
      </c>
      <c r="CK46" s="22">
        <v>0</v>
      </c>
      <c r="CL46" s="22">
        <f t="shared" ref="CL46:CL77" si="12">CJ46+CK46</f>
        <v>331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1197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>
        <v>6</v>
      </c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12</v>
      </c>
      <c r="CJ51" s="27">
        <f t="shared" si="11"/>
        <v>12</v>
      </c>
      <c r="CK51" s="22">
        <v>0</v>
      </c>
      <c r="CL51" s="22">
        <f t="shared" si="12"/>
        <v>12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-12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>
        <v>1</v>
      </c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2</v>
      </c>
      <c r="CJ52" s="27">
        <f t="shared" si="11"/>
        <v>2</v>
      </c>
      <c r="CK52" s="22">
        <v>0</v>
      </c>
      <c r="CL52" s="22">
        <f t="shared" si="12"/>
        <v>2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46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168</v>
      </c>
      <c r="AU53" s="24">
        <v>24</v>
      </c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197</v>
      </c>
      <c r="CJ53" s="27">
        <f t="shared" si="11"/>
        <v>197</v>
      </c>
      <c r="CK53" s="22">
        <v>0</v>
      </c>
      <c r="CL53" s="22">
        <f t="shared" si="12"/>
        <v>197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-129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>
        <v>3</v>
      </c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86</v>
      </c>
      <c r="CJ55" s="27">
        <f t="shared" si="11"/>
        <v>86</v>
      </c>
      <c r="CK55" s="22">
        <v>0</v>
      </c>
      <c r="CL55" s="22">
        <f t="shared" si="12"/>
        <v>86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-56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>
        <v>18</v>
      </c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87</v>
      </c>
      <c r="CJ57" s="27">
        <f t="shared" si="11"/>
        <v>87</v>
      </c>
      <c r="CK57" s="22">
        <v>0</v>
      </c>
      <c r="CL57" s="22">
        <f t="shared" si="12"/>
        <v>87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266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68</v>
      </c>
      <c r="CJ61" s="27">
        <f t="shared" si="11"/>
        <v>68</v>
      </c>
      <c r="CK61" s="22">
        <v>0</v>
      </c>
      <c r="CL61" s="22">
        <f t="shared" si="12"/>
        <v>68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>
        <v>14</v>
      </c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77</v>
      </c>
      <c r="CJ64" s="27">
        <f t="shared" si="11"/>
        <v>77</v>
      </c>
      <c r="CK64" s="22">
        <v>0</v>
      </c>
      <c r="CL64" s="22">
        <f t="shared" si="12"/>
        <v>77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72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60</v>
      </c>
      <c r="CP74" s="14">
        <f t="shared" si="13"/>
        <v>60</v>
      </c>
      <c r="CQ74" s="14">
        <f t="shared" si="14"/>
        <v>60</v>
      </c>
      <c r="CR74" s="43"/>
      <c r="CS74" s="17">
        <v>14</v>
      </c>
      <c r="CV74">
        <v>25</v>
      </c>
      <c r="CW74">
        <v>19</v>
      </c>
      <c r="DA74">
        <v>2</v>
      </c>
      <c r="DC74" s="14">
        <f t="shared" si="15"/>
        <v>60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746</v>
      </c>
      <c r="AU77" s="25">
        <f t="shared" si="16"/>
        <v>132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2607</v>
      </c>
      <c r="CJ77" s="25">
        <f>+SUM(CJ14:CJ76)</f>
        <v>2607</v>
      </c>
      <c r="CK77" s="25">
        <f>+SUM(CK14:CK76)</f>
        <v>0</v>
      </c>
      <c r="CL77" s="25">
        <f>+SUM(CL14:CL76)</f>
        <v>2607</v>
      </c>
      <c r="CM77" s="25"/>
      <c r="CN77" s="25"/>
      <c r="CO77" s="25">
        <f>+SUM(CO14:CO76)</f>
        <v>11394</v>
      </c>
      <c r="CP77" s="25">
        <f>+SUM(CP14:CP76)</f>
        <v>11394</v>
      </c>
      <c r="CQ77" s="25">
        <f>+SUM(CQ14:CQ76)</f>
        <v>8787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2026-10-30T17:27:44Z</dcterms:modified>
</cp:coreProperties>
</file>