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9513EC4-A295-4EB4-AB07-04163B46F280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26" i="3" l="1"/>
  <c r="CW48" i="2"/>
  <c r="CW36" i="2"/>
  <c r="CW19" i="2"/>
  <c r="CW17" i="2"/>
  <c r="CQ65" i="3"/>
  <c r="CW71" i="2"/>
  <c r="CW20" i="2"/>
  <c r="CQ45" i="3"/>
  <c r="CQ33" i="3"/>
  <c r="CQ31" i="3"/>
  <c r="CQ28" i="3"/>
  <c r="CW37" i="2"/>
  <c r="CW29" i="2"/>
  <c r="CW28" i="2"/>
  <c r="CW27" i="2"/>
  <c r="CW26" i="2"/>
  <c r="CW25" i="2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AL13" i="3"/>
  <c r="E15" i="1"/>
  <c r="F15" i="1" s="1"/>
  <c r="CQ27" i="3"/>
  <c r="CL27" i="3"/>
  <c r="AT13" i="3"/>
  <c r="E23" i="1"/>
  <c r="F23" i="1" s="1"/>
  <c r="AS13" i="3"/>
  <c r="E22" i="1"/>
  <c r="CP14" i="3"/>
  <c r="CO77" i="3"/>
  <c r="CH77" i="3"/>
  <c r="CJ14" i="3"/>
  <c r="F11" i="1"/>
  <c r="D24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51" i="3"/>
  <c r="CQ50" i="3"/>
  <c r="CQ47" i="3"/>
  <c r="CQ46" i="3"/>
  <c r="CQ43" i="3"/>
  <c r="CQ41" i="3"/>
  <c r="CQ38" i="3"/>
  <c r="CQ37" i="3"/>
  <c r="CQ35" i="3"/>
  <c r="CQ32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49" i="3"/>
  <c r="CQ48" i="3"/>
  <c r="CQ44" i="3"/>
  <c r="CQ42" i="3"/>
  <c r="CQ40" i="3"/>
  <c r="CQ39" i="3"/>
  <c r="CQ36" i="3"/>
  <c r="CQ34" i="3"/>
  <c r="CQ30" i="3"/>
  <c r="CQ29" i="3"/>
  <c r="CW22" i="2"/>
  <c r="CQ25" i="3"/>
  <c r="CQ24" i="3"/>
  <c r="CQ23" i="3"/>
  <c r="CQ22" i="3"/>
  <c r="CQ21" i="3"/>
  <c r="CQ20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7" i="2"/>
  <c r="CW46" i="2"/>
  <c r="CW34" i="2"/>
  <c r="CW33" i="2"/>
  <c r="CW32" i="2"/>
  <c r="CW31" i="2"/>
  <c r="CW23" i="2"/>
  <c r="CW35" i="2"/>
  <c r="CW30" i="2"/>
  <c r="CW24" i="2"/>
  <c r="CW21" i="2"/>
  <c r="CW18" i="2"/>
  <c r="CW16" i="2"/>
  <c r="CW15" i="2"/>
  <c r="CW44" i="2"/>
  <c r="CW43" i="2"/>
  <c r="CW42" i="2"/>
  <c r="CW41" i="2"/>
  <c r="CW40" i="2"/>
  <c r="CW39" i="2"/>
  <c r="CW38" i="2"/>
  <c r="E24" i="1" l="1"/>
  <c r="F22" i="1"/>
  <c r="F24" i="1" s="1"/>
  <c r="G24" i="1" s="1"/>
  <c r="CQ14" i="3"/>
  <c r="CQ77" i="3" s="1"/>
  <c r="CP77" i="3"/>
  <c r="I3" i="2"/>
  <c r="D3" i="3"/>
  <c r="E6" i="1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CW14" i="2"/>
  <c r="CW79" i="2" s="1"/>
  <c r="CV79" i="2"/>
  <c r="CR14" i="2"/>
  <c r="CR79" i="2" s="1"/>
  <c r="CP79" i="2"/>
  <c r="I3" i="3"/>
  <c r="B6" i="1"/>
  <c r="CN13" i="2"/>
  <c r="D3" i="2"/>
  <c r="G22" i="1" l="1"/>
  <c r="G23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<sst xmlns="http://schemas.openxmlformats.org/spreadsheetml/2006/main" count="589" uniqueCount="175">
  <si>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</si>
  <si>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</si>
  <si>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</si>
  <si>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</si>
  <si>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</si>
  <si>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</si>
  <si>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</si>
  <si>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</si>
  <si>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</si>
  <si>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</si>
  <si>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</si>
  <si>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</si>
  <si>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</si>
  <si>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</si>
  <si>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</si>
  <si>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</si>
  <si>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</si>
  <si>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</si>
  <si>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</si>
  <si>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</si>
  <si>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</si>
  <si>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</si>
  <si>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</si>
  <si>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</si>
  <si>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</si>
  <si>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</si>
  <si>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</si>
  <si>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</si>
  <si>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</si>
  <si>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</si>
  <si>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</si>
  <si>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</si>
  <si>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</si>
  <si>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</si>
  <si>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</si>
  <si>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</si>
  <si>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</si>
  <si>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</si>
  <si>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</si>
  <si>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</si>
  <si>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</si>
  <si>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</si>
  <si>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</si>
  <si>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</si>
  <si>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</si>
  <si>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</si>
  <si>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</si>
  <si>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</si>
  <si>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</si>
  <si>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</si>
  <si>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</si>
  <si>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</si>
  <si>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</si>
  <si>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</si>
  <si>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</si>
  <si>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</si>
  <si>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</si>
  <si>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</si>
  <si>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</si>
  <si>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</si>
  <si>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</si>
  <si>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</si>
  <si>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</si>
  <si>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</si>
  <si>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</si>
  <si>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</si>
  <si>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</si>
  <si>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</si>
  <si>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</si>
  <si>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</si>
  <si>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</si>
  <si>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</si>
  <si>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</si>
  <si>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</si>
  <si>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</si>
  <si>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</si>
  <si>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</si>
  <si>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</si>
  <si>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</si>
  <si>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</si>
  <si>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</si>
  <si>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</si>
  <si>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</si>
  <si>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</si>
  <si>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</si>
  <si>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</si>
  <si>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</si>
  <si>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</si>
  <si>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</si>
  <si>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</si>
  <si>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</si>
  <si>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</si>
  <si>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</si>
  <si>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</si>
  <si>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</si>
  <si>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</si>
  <si>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</si>
  <si>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</si>
  <si>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</si>
  <si>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</si>
  <si>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</si>
  <si>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</si>
  <si>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</si>
  <si>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</si>
  <si>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</si>
  <si>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</si>
  <si>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</si>
  <si>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</si>
  <si>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</si>
  <si>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</si>
  <si>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</si>
  <si>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</si>
  <si>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18:15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</si>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</sst>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890</v>
      </c>
      <c r="C6" s="89"/>
      <c r="E6" s="88">
        <f>'Programa CAJAS REPORTE DIARIO'!CH77</f>
        <v>2370</v>
      </c>
      <c r="F6" s="89"/>
      <c r="H6" s="101">
        <f>B6+E6</f>
        <v>3260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231</v>
      </c>
      <c r="E23" s="70">
        <f>'Programa CAJAS REPORTE DIARIO'!AT77</f>
        <v>641</v>
      </c>
      <c r="F23" s="70">
        <f t="shared" si="0"/>
        <v>872</v>
      </c>
      <c r="G23" s="70">
        <f t="shared" si="1"/>
        <v>3260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890</v>
      </c>
      <c r="E24" s="75">
        <f>SUM(E11:E23)</f>
        <v>2370</v>
      </c>
      <c r="F24" s="75">
        <f>SUM(F11:F23)</f>
        <v>3260</v>
      </c>
      <c r="G24" s="75">
        <f>F24</f>
        <v>3260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890</v>
      </c>
      <c r="F3" s="79" t="s">
        <v>1</v>
      </c>
      <c r="I3" s="80">
        <f>'Programa CAJAS REPORTE DIARIO'!CH77+CN79</f>
        <v>3260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231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890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59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129</v>
      </c>
      <c r="CP42" s="27">
        <f t="shared" si="4"/>
        <v>129</v>
      </c>
      <c r="CQ42" s="22">
        <v>0</v>
      </c>
      <c r="CR42" s="22">
        <f t="shared" si="5"/>
        <v>129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231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890</v>
      </c>
      <c r="CP79" s="25">
        <f>+SUM(CP14:CP78)</f>
        <v>890</v>
      </c>
      <c r="CQ79" s="25">
        <f>+SUM(CQ14:CQ78)</f>
        <v>0</v>
      </c>
      <c r="CR79" s="25">
        <f>+SUM(CR14:CR78)</f>
        <v>890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6376.5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2370</v>
      </c>
      <c r="F3" s="79" t="s">
        <v>1</v>
      </c>
      <c r="I3" s="80">
        <f>'Programa CASETAS REPORTE DIARIO'!CN79+CH77</f>
        <v>3260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641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2370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418</v>
      </c>
      <c r="CJ27" s="27">
        <f t="shared" si="3"/>
        <v>418</v>
      </c>
      <c r="CK27" s="22">
        <v>0</v>
      </c>
      <c r="CL27" s="22">
        <f t="shared" si="4"/>
        <v>418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156</v>
      </c>
      <c r="CJ53" s="27">
        <f t="shared" si="11"/>
        <v>156</v>
      </c>
      <c r="CK53" s="22">
        <v>0</v>
      </c>
      <c r="CL53" s="22">
        <f t="shared" si="12"/>
        <v>156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641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2370</v>
      </c>
      <c r="CJ77" s="25">
        <f>+SUM(CJ14:CJ76)</f>
        <v>2370</v>
      </c>
      <c r="CK77" s="25">
        <f>+SUM(CK14:CK76)</f>
        <v>0</v>
      </c>
      <c r="CL77" s="25">
        <f>+SUM(CL14:CL76)</f>
        <v>2370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2026-10-30T00:15:46Z</dcterms:modified>
</cp:coreProperties>
</file>