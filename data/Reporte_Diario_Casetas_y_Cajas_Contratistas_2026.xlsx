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8BF0931-0553-4DD5-A875-592F4EDF9FBD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Q39" i="3" l="1"/>
  <c r="CQ31" i="3"/>
  <c r="CQ30" i="3"/>
  <c r="CQ29" i="3"/>
  <c r="CQ17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1" i="1" s="1"/>
  <c r="AH13" i="3"/>
  <c r="CW39" i="2"/>
  <c r="CW63" i="2"/>
  <c r="CW61" i="2"/>
  <c r="CW60" i="2"/>
  <c r="CW55" i="2"/>
  <c r="CW78" i="2"/>
  <c r="CW77" i="2"/>
  <c r="CW76" i="2"/>
  <c r="CW75" i="2"/>
  <c r="CW74" i="2"/>
  <c r="CW73" i="2"/>
  <c r="CW72" i="2"/>
  <c r="CW69" i="2"/>
  <c r="CW67" i="2"/>
  <c r="CP14" i="3"/>
  <c r="CO77" i="3"/>
  <c r="CJ14" i="3"/>
  <c r="CH77" i="3"/>
  <c r="D20" i="1"/>
  <c r="F20" i="1" s="1"/>
  <c r="AK13" i="2"/>
  <c r="AJ13" i="2"/>
  <c r="D19" i="1"/>
  <c r="F19" i="1" s="1"/>
  <c r="D18" i="1"/>
  <c r="F18" i="1" s="1"/>
  <c r="AI13" i="2"/>
  <c r="AH13" i="2"/>
  <c r="D17" i="1"/>
  <c r="F17" i="1" s="1"/>
  <c r="AG13" i="2"/>
  <c r="D16" i="1"/>
  <c r="F16" i="1" s="1"/>
  <c r="D15" i="1"/>
  <c r="F15" i="1" s="1"/>
  <c r="AF13" i="2"/>
  <c r="D14" i="1"/>
  <c r="F14" i="1" s="1"/>
  <c r="AE13" i="2"/>
  <c r="AD13" i="2"/>
  <c r="D13" i="1"/>
  <c r="F13" i="1" s="1"/>
  <c r="D12" i="1"/>
  <c r="F12" i="1" s="1"/>
  <c r="AC13" i="2"/>
  <c r="D11" i="1"/>
  <c r="AB13" i="2"/>
  <c r="CN79" i="2"/>
  <c r="CP18" i="2"/>
  <c r="CV17" i="2"/>
  <c r="CW17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45" i="3"/>
  <c r="CQ44" i="3"/>
  <c r="CQ43" i="3"/>
  <c r="CQ38" i="3"/>
  <c r="CQ37" i="3"/>
  <c r="CQ36" i="3"/>
  <c r="CQ35" i="3"/>
  <c r="CQ34" i="3"/>
  <c r="CQ33" i="3"/>
  <c r="CQ32" i="3"/>
  <c r="CQ22" i="3"/>
  <c r="CQ21" i="3"/>
  <c r="CQ20" i="3"/>
  <c r="CQ19" i="3"/>
  <c r="CQ18" i="3"/>
  <c r="CQ16" i="3"/>
  <c r="CQ15" i="3"/>
  <c r="CW71" i="2"/>
  <c r="CW70" i="2"/>
  <c r="CW68" i="2"/>
  <c r="CW66" i="2"/>
  <c r="CW58" i="2"/>
  <c r="CW57" i="2"/>
  <c r="CW53" i="2"/>
  <c r="CW52" i="2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2" i="3"/>
  <c r="CQ41" i="3"/>
  <c r="CQ40" i="3"/>
  <c r="CQ28" i="3"/>
  <c r="CQ27" i="3"/>
  <c r="CQ26" i="3"/>
  <c r="CQ25" i="3"/>
  <c r="CQ24" i="3"/>
  <c r="CQ23" i="3"/>
  <c r="CW65" i="2"/>
  <c r="CW59" i="2"/>
  <c r="CW56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64" i="2"/>
  <c r="CW62" i="2"/>
  <c r="CW54" i="2"/>
  <c r="CW26" i="2"/>
  <c r="CW25" i="2"/>
  <c r="CW24" i="2"/>
  <c r="CW23" i="2"/>
  <c r="CW22" i="2"/>
  <c r="CW21" i="2"/>
  <c r="CW20" i="2"/>
  <c r="CW19" i="2"/>
  <c r="CW16" i="2"/>
  <c r="CW15" i="2"/>
  <c r="CP77" i="3" l="1"/>
  <c r="CQ14" i="3"/>
  <c r="CQ77" i="3" s="1"/>
  <c r="CL14" i="3"/>
  <c r="CL77" i="3" s="1"/>
  <c r="CJ77" i="3"/>
  <c r="I3" i="2"/>
  <c r="E6" i="1"/>
  <c r="D3" i="3"/>
  <c r="CH13" i="3"/>
  <c r="F11" i="1"/>
  <c r="D21" i="1"/>
  <c r="B6" i="1"/>
  <c r="I3" i="3"/>
  <c r="D3" i="2"/>
  <c r="CN13" i="2"/>
  <c r="CW18" i="2"/>
  <c r="CW79" i="2" s="1"/>
  <c r="CR18" i="2"/>
  <c r="CR79" i="2" s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<sst xmlns="http://schemas.openxmlformats.org/spreadsheetml/2006/main" count="580" uniqueCount="171">
  <si>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</si>
  <si>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</si>
  <si>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</si>
  <si>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</si>
  <si>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</si>
  <si>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</si>
  <si>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</si>
  <si>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</si>
  <si>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</si>
  <si>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</si>
  <si>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</si>
  <si>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</si>
  <si>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</si>
  <si>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</si>
  <si>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</si>
  <si>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</si>
  <si>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</si>
  <si>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</si>
  <si>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</si>
  <si>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</si>
  <si>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</si>
  <si>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</si>
  <si>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</si>
  <si>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</si>
  <si>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</si>
  <si>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</si>
  <si>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</si>
  <si>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</si>
  <si>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</si>
  <si>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</si>
  <si>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</si>
  <si>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</si>
  <si>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</si>
  <si>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</si>
  <si>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</si>
  <si>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</si>
  <si>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</si>
  <si>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</si>
  <si>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</si>
  <si>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</si>
  <si>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</si>
  <si>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</si>
  <si>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</si>
  <si>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</si>
  <si>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</si>
  <si>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</si>
  <si>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</si>
  <si>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</si>
  <si>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</si>
  <si>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</si>
  <si>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</si>
  <si>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</si>
  <si>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</si>
  <si>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</si>
  <si>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</si>
  <si>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</si>
  <si>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</si>
  <si>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</si>
  <si>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</si>
  <si>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</si>
  <si>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</si>
  <si>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</si>
  <si>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</si>
  <si>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</si>
  <si>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</si>
  <si>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</si>
  <si>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</si>
  <si>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</si>
  <si>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</si>
  <si>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</si>
  <si>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</si>
  <si>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</si>
  <si>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</si>
  <si>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</si>
  <si>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</si>
  <si>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</si>
  <si>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</si>
  <si>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</si>
  <si>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</si>
  <si>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</si>
  <si>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</si>
  <si>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</si>
  <si>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</si>
  <si>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</si>
  <si>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</si>
  <si>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</si>
  <si>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</si>
  <si>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</si>
  <si>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</si>
  <si>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</si>
  <si>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</si>
  <si>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</si>
  <si>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</si>
  <si>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</si>
  <si>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</si>
  <si>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</si>
  <si>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</si>
  <si>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</si>
  <si>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</si>
  <si>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</si>
  <si>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</si>
  <si>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</si>
  <si>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</si>
  <si>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</si>
  <si>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</si>
  <si>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</si>
  <si>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</si>
  <si>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</si>
  <si>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</si>
  <si>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</si>
  <si>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</si>
  <si>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</si>
  <si>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11:49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</si>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</sst>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558</v>
      </c>
      <c r="C6" s="89"/>
      <c r="E6" s="88">
        <f>'Programa CAJAS REPORTE DIARIO'!CH77</f>
        <v>1390</v>
      </c>
      <c r="F6" s="89"/>
      <c r="H6" s="101">
        <f>B6+E6</f>
        <v>1948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558</v>
      </c>
      <c r="F3" s="79" t="s">
        <v>1</v>
      </c>
      <c r="I3" s="80">
        <f>'Programa CAJAS REPORTE DIARIO'!CH77+CN79</f>
        <v>1948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76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558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163</v>
      </c>
      <c r="CP27" s="27">
        <f t="shared" si="4"/>
        <v>163</v>
      </c>
      <c r="CQ27" s="22">
        <v>0</v>
      </c>
      <c r="CR27" s="22">
        <f t="shared" si="5"/>
        <v>163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131</v>
      </c>
      <c r="CP28" s="27">
        <f t="shared" si="4"/>
        <v>131</v>
      </c>
      <c r="CQ28" s="22">
        <v>0</v>
      </c>
      <c r="CR28" s="22">
        <f t="shared" si="5"/>
        <v>131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2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16</v>
      </c>
      <c r="CP36" s="27">
        <f t="shared" si="4"/>
        <v>16</v>
      </c>
      <c r="CQ36" s="22">
        <v>0</v>
      </c>
      <c r="CR36" s="22">
        <f t="shared" si="5"/>
        <v>16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76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558</v>
      </c>
      <c r="CP79" s="25">
        <f>+SUM(CP14:CP78)</f>
        <v>558</v>
      </c>
      <c r="CQ79" s="25">
        <f>+SUM(CQ14:CQ78)</f>
        <v>0</v>
      </c>
      <c r="CR79" s="25">
        <f>+SUM(CR14:CR78)</f>
        <v>558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2574.5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1390</v>
      </c>
      <c r="F3" s="79" t="s">
        <v>1</v>
      </c>
      <c r="I3" s="80">
        <f>'Programa CASETAS REPORTE DIARIO'!CN79+CH77</f>
        <v>1948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65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1390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8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340</v>
      </c>
      <c r="CJ27" s="27">
        <f t="shared" si="3"/>
        <v>340</v>
      </c>
      <c r="CK27" s="22">
        <v>0</v>
      </c>
      <c r="CL27" s="22">
        <f t="shared" si="4"/>
        <v>340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222</v>
      </c>
      <c r="CJ28" s="27">
        <f t="shared" si="3"/>
        <v>222</v>
      </c>
      <c r="CK28" s="22">
        <v>0</v>
      </c>
      <c r="CL28" s="22">
        <f t="shared" si="4"/>
        <v>222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33</v>
      </c>
      <c r="CJ36" s="27">
        <f t="shared" si="3"/>
        <v>33</v>
      </c>
      <c r="CK36" s="22">
        <v>0</v>
      </c>
      <c r="CL36" s="22">
        <f t="shared" si="4"/>
        <v>33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6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66</v>
      </c>
      <c r="CJ43" s="27">
        <f t="shared" si="3"/>
        <v>66</v>
      </c>
      <c r="CK43" s="22">
        <v>0</v>
      </c>
      <c r="CL43" s="22">
        <f t="shared" si="4"/>
        <v>66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176</v>
      </c>
      <c r="CJ46" s="27">
        <f t="shared" ref="CJ46:CJ76" si="11">CH46</f>
        <v>176</v>
      </c>
      <c r="CK46" s="22">
        <v>0</v>
      </c>
      <c r="CL46" s="22">
        <f t="shared" ref="CL46:CL77" si="12">CJ46+CK46</f>
        <v>176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155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10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53</v>
      </c>
      <c r="CJ55" s="27">
        <f t="shared" si="11"/>
        <v>53</v>
      </c>
      <c r="CK55" s="22">
        <v>0</v>
      </c>
      <c r="CL55" s="22">
        <f t="shared" si="12"/>
        <v>53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36</v>
      </c>
      <c r="CJ61" s="27">
        <f t="shared" si="11"/>
        <v>36</v>
      </c>
      <c r="CK61" s="22">
        <v>0</v>
      </c>
      <c r="CL61" s="22">
        <f t="shared" si="12"/>
        <v>36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65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1390</v>
      </c>
      <c r="CJ77" s="25">
        <f>+SUM(CJ14:CJ76)</f>
        <v>1390</v>
      </c>
      <c r="CK77" s="25">
        <f>+SUM(CK14:CK76)</f>
        <v>0</v>
      </c>
      <c r="CL77" s="25">
        <f>+SUM(CL14:CL76)</f>
        <v>1390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5597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2026-10-28T17:49:31Z</dcterms:modified>
</cp:coreProperties>
</file>