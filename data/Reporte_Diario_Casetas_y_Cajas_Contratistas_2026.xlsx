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03CC7B8-B422-45BD-BCA6-891B17F98FA3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W76" i="2" s="1"/>
  <c r="CN76" i="2"/>
  <c r="CP76" i="2" s="1"/>
  <c r="CR76" i="2" s="1"/>
  <c r="DD75" i="2"/>
  <c r="CU75" i="2" s="1"/>
  <c r="CV75" i="2" s="1"/>
  <c r="CW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31" i="3" l="1"/>
  <c r="CQ34" i="3"/>
  <c r="CQ24" i="3"/>
  <c r="CQ21" i="3"/>
  <c r="CW70" i="2"/>
  <c r="CW68" i="2"/>
  <c r="CW72" i="2"/>
  <c r="CW65" i="2"/>
  <c r="CQ25" i="3"/>
  <c r="CQ35" i="3"/>
  <c r="CW51" i="2"/>
  <c r="CW44" i="2"/>
  <c r="CQ37" i="3"/>
  <c r="CL37" i="3"/>
  <c r="E23" i="1"/>
  <c r="AT13" i="3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E24" i="1" s="1"/>
  <c r="CH77" i="3"/>
  <c r="CJ20" i="3"/>
  <c r="CO77" i="3"/>
  <c r="CP19" i="3"/>
  <c r="CQ19" i="3" s="1"/>
  <c r="CQ14" i="3"/>
  <c r="CP77" i="3"/>
  <c r="CL14" i="3"/>
  <c r="CJ77" i="3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AB13" i="2"/>
  <c r="D11" i="1"/>
  <c r="CP18" i="2"/>
  <c r="CP79" i="2" s="1"/>
  <c r="CN79" i="2"/>
  <c r="CU79" i="2"/>
  <c r="CV17" i="2"/>
  <c r="CW17" i="2" s="1"/>
  <c r="CW14" i="2"/>
  <c r="CV79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6" i="3"/>
  <c r="CQ45" i="3"/>
  <c r="CQ44" i="3"/>
  <c r="CQ42" i="3"/>
  <c r="CQ23" i="3"/>
  <c r="CQ17" i="3"/>
  <c r="CQ15" i="3"/>
  <c r="CW69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Q18" i="3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Q41" i="3"/>
  <c r="CQ33" i="3"/>
  <c r="CQ32" i="3"/>
  <c r="CQ30" i="3"/>
  <c r="CQ29" i="3"/>
  <c r="CQ28" i="3"/>
  <c r="CQ27" i="3"/>
  <c r="CQ22" i="3"/>
  <c r="CQ16" i="3"/>
  <c r="CW26" i="2"/>
  <c r="CW25" i="2"/>
  <c r="CW24" i="2"/>
  <c r="CW23" i="2"/>
  <c r="CW22" i="2"/>
  <c r="CW21" i="2"/>
  <c r="CW20" i="2"/>
  <c r="CW19" i="2"/>
  <c r="CW16" i="2"/>
  <c r="CW15" i="2"/>
  <c r="CQ47" i="3"/>
  <c r="CQ43" i="3"/>
  <c r="CQ40" i="3"/>
  <c r="CQ39" i="3"/>
  <c r="CQ38" i="3"/>
  <c r="CQ36" i="3"/>
  <c r="CQ26" i="3"/>
  <c r="CW77" i="2"/>
  <c r="CW64" i="2"/>
  <c r="F12" i="1" l="1"/>
  <c r="I3" i="2"/>
  <c r="D3" i="3"/>
  <c r="E6" i="1"/>
  <c r="CH13" i="3"/>
  <c r="CQ20" i="3"/>
  <c r="CQ77" i="3" s="1"/>
  <c r="CL20" i="3"/>
  <c r="CL77" i="3" s="1"/>
  <c r="F11" i="1"/>
  <c r="D24" i="1"/>
  <c r="CW18" i="2"/>
  <c r="CW79" i="2" s="1"/>
  <c r="CR18" i="2"/>
  <c r="CR79" i="2" s="1"/>
  <c r="D3" i="2"/>
  <c r="CN13" i="2"/>
  <c r="I3" i="3"/>
  <c r="B6" i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<sst xmlns="http://schemas.openxmlformats.org/spreadsheetml/2006/main" count="589" uniqueCount="175">
  <si>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</si>
  <si>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</si>
  <si>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</si>
  <si>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</si>
  <si>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</si>
  <si>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</si>
  <si>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</si>
  <si>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</si>
  <si>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</si>
  <si>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</si>
  <si>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</si>
  <si>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</si>
  <si>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</si>
  <si>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</si>
  <si>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</si>
  <si>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</si>
  <si>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</si>
  <si>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</si>
  <si>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</si>
  <si>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</si>
  <si>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</si>
  <si>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</si>
  <si>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</si>
  <si>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</si>
  <si>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</si>
  <si>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</si>
  <si>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</si>
  <si>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</si>
  <si>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</si>
  <si>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</si>
  <si>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</si>
  <si>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</si>
  <si>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</si>
  <si>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</si>
  <si>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</si>
  <si>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</si>
  <si>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</si>
  <si>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</si>
  <si>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</si>
  <si>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</si>
  <si>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</si>
  <si>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</si>
  <si>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</si>
  <si>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</si>
  <si>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</si>
  <si>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</si>
  <si>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</si>
  <si>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</si>
  <si>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</si>
  <si>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</si>
  <si>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</si>
  <si>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</si>
  <si>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</si>
  <si>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</si>
  <si>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</si>
  <si>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</si>
  <si>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</si>
  <si>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</si>
  <si>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</si>
  <si>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</si>
  <si>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</si>
  <si>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</si>
  <si>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</si>
  <si>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</si>
  <si>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</si>
  <si>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</si>
  <si>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</si>
  <si>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</si>
  <si>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</si>
  <si>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</si>
  <si>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</si>
  <si>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</si>
  <si>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</si>
  <si>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</si>
  <si>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</si>
  <si>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</si>
  <si>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</si>
  <si>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</si>
  <si>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</si>
  <si>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</si>
  <si>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</si>
  <si>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</si>
  <si>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</si>
  <si>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</si>
  <si>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</si>
  <si>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</si>
  <si>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</si>
  <si>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</si>
  <si>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</si>
  <si>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</si>
  <si>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</si>
  <si>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</si>
  <si>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</si>
  <si>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</si>
  <si>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</si>
  <si>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</si>
  <si>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</si>
  <si>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</si>
  <si>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</si>
  <si>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</si>
  <si>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</si>
  <si>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</si>
  <si>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</si>
  <si>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</si>
  <si>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</si>
  <si>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</si>
  <si>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</si>
  <si>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</si>
  <si>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</si>
  <si>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</si>
  <si>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</si>
  <si>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</si>
  <si>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20:29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</si>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</sst>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2461</v>
      </c>
      <c r="F6" s="89"/>
      <c r="H6" s="101">
        <f>B6+E6</f>
        <v>3369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732</v>
      </c>
      <c r="F23" s="70">
        <f t="shared" si="0"/>
        <v>981</v>
      </c>
      <c r="G23" s="70">
        <f t="shared" si="1"/>
        <v>3369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2461</v>
      </c>
      <c r="F24" s="75">
        <f>SUM(F11:F23)</f>
        <v>3369</v>
      </c>
      <c r="G24" s="75">
        <f>F24</f>
        <v>3369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3369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2461</v>
      </c>
      <c r="F3" s="79" t="s">
        <v>1</v>
      </c>
      <c r="I3" s="80">
        <f>'Programa CASETAS REPORTE DIARIO'!CN79+CH77</f>
        <v>3369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732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2461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164</v>
      </c>
      <c r="CJ53" s="27">
        <f t="shared" si="11"/>
        <v>164</v>
      </c>
      <c r="CK53" s="22">
        <v>0</v>
      </c>
      <c r="CL53" s="22">
        <f t="shared" si="12"/>
        <v>164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-96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732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2461</v>
      </c>
      <c r="CJ77" s="25">
        <f>+SUM(CJ14:CJ76)</f>
        <v>2461</v>
      </c>
      <c r="CK77" s="25">
        <f>+SUM(CK14:CK76)</f>
        <v>0</v>
      </c>
      <c r="CL77" s="25">
        <f>+SUM(CL14:CL76)</f>
        <v>2461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8771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2026-10-30T02:29:48Z</dcterms:modified>
</cp:coreProperties>
</file>