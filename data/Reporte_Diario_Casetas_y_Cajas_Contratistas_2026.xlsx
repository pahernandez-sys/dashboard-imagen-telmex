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C3721B53-5793-42BF-A63C-53645EF69627}" xr6:coauthVersionLast="47" xr6:coauthVersionMax="47" xr10:uidLastSave="{00000000-0000-0000-0000-000000000000}"/>
  <bookViews>
    <workbookView xWindow="760" yWindow="760" windowWidth="4800" windowHeight="281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 s="1"/>
  <c r="CP61" i="3" s="1"/>
  <c r="CQ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M13" i="2" s="1"/>
  <c r="AL79" i="2"/>
  <c r="AL13" i="2" s="1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W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W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W68" i="2" s="1"/>
  <c r="CN68" i="2"/>
  <c r="CP68" i="2" s="1"/>
  <c r="CR68" i="2" s="1"/>
  <c r="DD67" i="2"/>
  <c r="CU67" i="2" s="1"/>
  <c r="CV67" i="2" s="1"/>
  <c r="CW67" i="2" s="1"/>
  <c r="CN67" i="2"/>
  <c r="CP67" i="2" s="1"/>
  <c r="CR67" i="2" s="1"/>
  <c r="DD66" i="2"/>
  <c r="CU66" i="2" s="1"/>
  <c r="CV66" i="2" s="1"/>
  <c r="CN66" i="2"/>
  <c r="CP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W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W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W58" i="2" s="1"/>
  <c r="CN58" i="2"/>
  <c r="CP58" i="2" s="1"/>
  <c r="CR58" i="2" s="1"/>
  <c r="DD57" i="2"/>
  <c r="CU57" i="2" s="1"/>
  <c r="CV57" i="2" s="1"/>
  <c r="CW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CQ62" i="3" l="1"/>
  <c r="CQ58" i="3"/>
  <c r="CW60" i="2"/>
  <c r="CQ68" i="3"/>
  <c r="CQ63" i="3"/>
  <c r="CQ67" i="3"/>
  <c r="CQ59" i="3"/>
  <c r="CW55" i="2"/>
  <c r="CQ42" i="3"/>
  <c r="CQ41" i="3"/>
  <c r="CQ36" i="3"/>
  <c r="D20" i="1"/>
  <c r="AK13" i="2"/>
  <c r="D19" i="1"/>
  <c r="AJ13" i="2"/>
  <c r="D18" i="1"/>
  <c r="AI13" i="2"/>
  <c r="D17" i="1"/>
  <c r="AH13" i="2"/>
  <c r="D16" i="1"/>
  <c r="AG13" i="2"/>
  <c r="D15" i="1"/>
  <c r="AF13" i="2"/>
  <c r="D14" i="1"/>
  <c r="AE13" i="2"/>
  <c r="D13" i="1"/>
  <c r="AD13" i="2"/>
  <c r="D12" i="1"/>
  <c r="AC13" i="2"/>
  <c r="D11" i="1"/>
  <c r="AB13" i="2"/>
  <c r="CW66" i="2"/>
  <c r="CR66" i="2"/>
  <c r="AQ13" i="3"/>
  <c r="E20" i="1"/>
  <c r="F20" i="1" s="1"/>
  <c r="AP13" i="3"/>
  <c r="E19" i="1"/>
  <c r="F19" i="1" s="1"/>
  <c r="AO13" i="3"/>
  <c r="E18" i="1"/>
  <c r="F18" i="1" s="1"/>
  <c r="E17" i="1"/>
  <c r="F17" i="1" s="1"/>
  <c r="AN13" i="3"/>
  <c r="E16" i="1"/>
  <c r="F16" i="1" s="1"/>
  <c r="AM13" i="3"/>
  <c r="E15" i="1"/>
  <c r="F15" i="1" s="1"/>
  <c r="AL13" i="3"/>
  <c r="E14" i="1"/>
  <c r="F14" i="1" s="1"/>
  <c r="AK13" i="3"/>
  <c r="E13" i="1"/>
  <c r="F13" i="1" s="1"/>
  <c r="AJ13" i="3"/>
  <c r="AI13" i="3"/>
  <c r="E12" i="1"/>
  <c r="F12" i="1" s="1"/>
  <c r="E11" i="1"/>
  <c r="AH13" i="3"/>
  <c r="CH77" i="3"/>
  <c r="CJ20" i="3"/>
  <c r="CO77" i="3"/>
  <c r="CP14" i="3"/>
  <c r="CL14" i="3"/>
  <c r="CJ77" i="3"/>
  <c r="CU79" i="2"/>
  <c r="CV14" i="2"/>
  <c r="CN79" i="2"/>
  <c r="CP14" i="2"/>
  <c r="CQ40" i="3"/>
  <c r="CQ39" i="3"/>
  <c r="CQ38" i="3"/>
  <c r="CQ37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19" i="3"/>
  <c r="CQ18" i="3"/>
  <c r="CQ17" i="3"/>
  <c r="CQ16" i="3"/>
  <c r="CW77" i="2"/>
  <c r="CW75" i="2"/>
  <c r="CW74" i="2"/>
  <c r="CW73" i="2"/>
  <c r="CW72" i="2"/>
  <c r="CW71" i="2"/>
  <c r="CW70" i="2"/>
  <c r="CW69" i="2"/>
  <c r="CW65" i="2"/>
  <c r="CW64" i="2"/>
  <c r="CW62" i="2"/>
  <c r="CW59" i="2"/>
  <c r="CW56" i="2"/>
  <c r="CQ66" i="3"/>
  <c r="CQ65" i="3"/>
  <c r="CQ64" i="3"/>
  <c r="CQ53" i="3"/>
  <c r="CQ51" i="3"/>
  <c r="CQ46" i="3"/>
  <c r="CQ45" i="3"/>
  <c r="CQ15" i="3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76" i="3"/>
  <c r="CQ75" i="3"/>
  <c r="CQ74" i="3"/>
  <c r="CQ73" i="3"/>
  <c r="CQ72" i="3"/>
  <c r="CQ71" i="3"/>
  <c r="CQ70" i="3"/>
  <c r="CQ69" i="3"/>
  <c r="CQ60" i="3"/>
  <c r="CQ57" i="3"/>
  <c r="CQ56" i="3"/>
  <c r="CQ55" i="3"/>
  <c r="CQ54" i="3"/>
  <c r="CQ52" i="3"/>
  <c r="CQ50" i="3"/>
  <c r="CQ49" i="3"/>
  <c r="CQ48" i="3"/>
  <c r="CQ47" i="3"/>
  <c r="CQ44" i="3"/>
  <c r="CQ43" i="3"/>
  <c r="F11" i="1" l="1"/>
  <c r="D21" i="1"/>
  <c r="E21" i="1"/>
  <c r="I3" i="2"/>
  <c r="E6" i="1"/>
  <c r="D3" i="3"/>
  <c r="CH13" i="3"/>
  <c r="CQ20" i="3"/>
  <c r="CL20" i="3"/>
  <c r="CL77" i="3" s="1"/>
  <c r="CQ14" i="3"/>
  <c r="CP77" i="3"/>
  <c r="CW14" i="2"/>
  <c r="CW79" i="2" s="1"/>
  <c r="CV79" i="2"/>
  <c r="B6" i="1"/>
  <c r="I3" i="3"/>
  <c r="D3" i="2"/>
  <c r="CN13" i="2"/>
  <c r="CP79" i="2"/>
  <c r="CR14" i="2"/>
  <c r="CR79" i="2" s="1"/>
  <c r="CQ77" i="3" l="1"/>
  <c r="G11" i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  <c r="H6" i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<sst xmlns="http://schemas.openxmlformats.org/spreadsheetml/2006/main" count="580" uniqueCount="171">
  <si>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</si>
  <si>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</si>
  <si>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</si>
  <si>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</si>
  <si>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</si>
  <si>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</si>
  <si>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</si>
  <si>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</si>
  <si>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</si>
  <si>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</si>
  <si>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</si>
  <si>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</si>
  <si>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</si>
  <si>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</si>
  <si>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</si>
  <si>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</si>
  <si>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</si>
  <si>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</si>
  <si>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</si>
  <si>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</si>
  <si>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</si>
  <si>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</si>
  <si>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</si>
  <si>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</si>
  <si>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</si>
  <si>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</si>
  <si>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</si>
  <si>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</si>
  <si>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</si>
  <si>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</si>
  <si>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</si>
  <si>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</si>
  <si>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</si>
  <si>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</si>
  <si>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</si>
  <si>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</si>
  <si>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</si>
  <si>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</si>
  <si>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</si>
  <si>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</si>
  <si>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</si>
  <si>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</si>
  <si>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</si>
  <si>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</si>
  <si>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</si>
  <si>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</si>
  <si>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</si>
  <si>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</si>
  <si>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</si>
  <si>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</si>
  <si>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</si>
  <si>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</si>
  <si>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</si>
  <si>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</si>
  <si>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</si>
  <si>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</si>
  <si>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</si>
  <si>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</si>
  <si>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</si>
  <si>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</si>
  <si>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</si>
  <si>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</si>
  <si>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</si>
  <si>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</si>
  <si>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</si>
  <si>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</si>
  <si>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</si>
  <si>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</si>
  <si>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</si>
  <si>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</si>
  <si>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</si>
  <si>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</si>
  <si>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</si>
  <si>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</si>
  <si>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</si>
  <si>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</si>
  <si>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</si>
  <si>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</si>
  <si>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</si>
  <si>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</si>
  <si>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</si>
  <si>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</si>
  <si>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</si>
  <si>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</si>
  <si>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</si>
  <si>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</si>
  <si>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</si>
  <si>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</si>
  <si>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</si>
  <si>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</si>
  <si>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</si>
  <si>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</si>
  <si>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</si>
  <si>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</si>
  <si>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</si>
  <si>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</si>
  <si>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</si>
  <si>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</si>
  <si>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</si>
  <si>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</si>
  <si>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</si>
  <si>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</si>
  <si>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</si>
  <si>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</si>
  <si>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</si>
  <si>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</si>
  <si>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</si>
  <si>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</si>
  <si>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</si>
  <si>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</si>
  <si>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</si>
  <si>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</si>
  <si>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(27/10/2026, 19:50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</si>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</sst>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467</v>
      </c>
      <c r="C6" s="89"/>
      <c r="E6" s="88">
        <f>'Programa CAJAS REPORTE DIARIO'!CH77</f>
        <v>1305</v>
      </c>
      <c r="F6" s="89"/>
      <c r="H6" s="101">
        <f>B6+E6</f>
        <v>1772</v>
      </c>
      <c r="I6" s="97"/>
      <c r="J6" s="97"/>
    </row>
    <row r="7" spans="2:10" ht="16" customHeight="1" x14ac:dyDescent="0.35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5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5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5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5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5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467</v>
      </c>
      <c r="F3" s="79" t="s">
        <v>1</v>
      </c>
      <c r="I3" s="80">
        <f>'Programa CAJAS REPORTE DIARIO'!CH77+CN79</f>
        <v>1772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123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467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150</v>
      </c>
      <c r="CP27" s="27">
        <f t="shared" si="4"/>
        <v>150</v>
      </c>
      <c r="CQ27" s="22">
        <v>0</v>
      </c>
      <c r="CR27" s="22">
        <f t="shared" si="5"/>
        <v>150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220.5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115</v>
      </c>
      <c r="CP28" s="27">
        <f t="shared" si="4"/>
        <v>115</v>
      </c>
      <c r="CQ28" s="22">
        <v>0</v>
      </c>
      <c r="CR28" s="22">
        <f t="shared" si="5"/>
        <v>115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1262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2</v>
      </c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63</v>
      </c>
      <c r="CP29" s="27">
        <f t="shared" si="4"/>
        <v>63</v>
      </c>
      <c r="CQ29" s="22">
        <v>0</v>
      </c>
      <c r="CR29" s="22">
        <f t="shared" si="5"/>
        <v>63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343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7</v>
      </c>
      <c r="CP40" s="27">
        <f t="shared" si="4"/>
        <v>7</v>
      </c>
      <c r="CQ40" s="22">
        <v>0</v>
      </c>
      <c r="CR40" s="22">
        <f t="shared" si="5"/>
        <v>7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-7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30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39</v>
      </c>
      <c r="CP42" s="27">
        <f t="shared" si="4"/>
        <v>39</v>
      </c>
      <c r="CQ42" s="22">
        <v>0</v>
      </c>
      <c r="CR42" s="22">
        <f t="shared" si="5"/>
        <v>39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-39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10</v>
      </c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11</v>
      </c>
      <c r="CP51" s="27">
        <f t="shared" si="11"/>
        <v>11</v>
      </c>
      <c r="CQ51" s="22">
        <v>0</v>
      </c>
      <c r="CR51" s="22">
        <f t="shared" si="12"/>
        <v>11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1</v>
      </c>
      <c r="CP75" s="27">
        <f t="shared" si="11"/>
        <v>1</v>
      </c>
      <c r="CQ75" s="22">
        <v>0</v>
      </c>
      <c r="CR75" s="22">
        <f t="shared" si="12"/>
        <v>1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-1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123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467</v>
      </c>
      <c r="CP79" s="25">
        <f>+SUM(CP14:CP78)</f>
        <v>467</v>
      </c>
      <c r="CQ79" s="25">
        <f>+SUM(CQ14:CQ78)</f>
        <v>0</v>
      </c>
      <c r="CR79" s="25">
        <f>+SUM(CR14:CR78)</f>
        <v>467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2665.5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153</v>
      </c>
      <c r="D3" s="78">
        <f>+CH77</f>
        <v>1305</v>
      </c>
      <c r="F3" s="79" t="s">
        <v>1</v>
      </c>
      <c r="I3" s="80">
        <f>'Programa CASETAS REPORTE DIARIO'!CN79+CH77</f>
        <v>1772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3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446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1305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332</v>
      </c>
      <c r="CJ27" s="27">
        <f t="shared" si="3"/>
        <v>332</v>
      </c>
      <c r="CK27" s="22">
        <v>0</v>
      </c>
      <c r="CL27" s="22">
        <f t="shared" si="4"/>
        <v>332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212</v>
      </c>
      <c r="CJ28" s="27">
        <f t="shared" si="3"/>
        <v>212</v>
      </c>
      <c r="CK28" s="22">
        <v>0</v>
      </c>
      <c r="CL28" s="22">
        <f t="shared" si="4"/>
        <v>212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-34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72</v>
      </c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76</v>
      </c>
      <c r="CJ35" s="27">
        <f t="shared" si="3"/>
        <v>76</v>
      </c>
      <c r="CK35" s="22">
        <v>0</v>
      </c>
      <c r="CL35" s="22">
        <f t="shared" si="4"/>
        <v>76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23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30</v>
      </c>
      <c r="CJ36" s="27">
        <f t="shared" si="3"/>
        <v>30</v>
      </c>
      <c r="CK36" s="22">
        <v>0</v>
      </c>
      <c r="CL36" s="22">
        <f t="shared" si="4"/>
        <v>30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60</v>
      </c>
      <c r="CJ43" s="27">
        <f t="shared" si="3"/>
        <v>60</v>
      </c>
      <c r="CK43" s="22">
        <v>0</v>
      </c>
      <c r="CL43" s="22">
        <f t="shared" si="4"/>
        <v>60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-40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48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155</v>
      </c>
      <c r="CJ46" s="27">
        <f t="shared" ref="CJ46:CJ76" si="11">CH46</f>
        <v>155</v>
      </c>
      <c r="CK46" s="22">
        <v>0</v>
      </c>
      <c r="CL46" s="22">
        <f t="shared" ref="CL46:CL77" si="12">CJ46+CK46</f>
        <v>155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176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1</v>
      </c>
      <c r="CJ54" s="27">
        <f t="shared" si="11"/>
        <v>1</v>
      </c>
      <c r="CK54" s="22">
        <v>0</v>
      </c>
      <c r="CL54" s="22">
        <f t="shared" si="12"/>
        <v>1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25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43</v>
      </c>
      <c r="CJ55" s="27">
        <f t="shared" si="11"/>
        <v>43</v>
      </c>
      <c r="CK55" s="22">
        <v>0</v>
      </c>
      <c r="CL55" s="22">
        <f t="shared" si="12"/>
        <v>43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31</v>
      </c>
      <c r="CJ61" s="27">
        <f t="shared" si="11"/>
        <v>31</v>
      </c>
      <c r="CK61" s="22">
        <v>0</v>
      </c>
      <c r="CL61" s="22">
        <f t="shared" si="12"/>
        <v>31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45</v>
      </c>
      <c r="CJ70" s="27">
        <f t="shared" si="11"/>
        <v>45</v>
      </c>
      <c r="CK70" s="22">
        <v>0</v>
      </c>
      <c r="CL70" s="22">
        <f t="shared" si="12"/>
        <v>45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-31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446</v>
      </c>
      <c r="AS77" s="25">
        <f t="shared" si="17"/>
        <v>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1305</v>
      </c>
      <c r="CJ77" s="25">
        <f>+SUM(CJ14:CJ76)</f>
        <v>1305</v>
      </c>
      <c r="CK77" s="25">
        <f>+SUM(CK14:CK76)</f>
        <v>0</v>
      </c>
      <c r="CL77" s="25">
        <f>+SUM(CL14:CL76)</f>
        <v>1305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5682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2026-10-28T01:50:23Z</dcterms:modified>
</cp:coreProperties>
</file>