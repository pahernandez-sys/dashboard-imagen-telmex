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EA5BEF1-BC65-4118-B6AD-9F6E5C460883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Q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W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72" i="3" l="1"/>
  <c r="CQ71" i="3"/>
  <c r="CQ70" i="3"/>
  <c r="CQ69" i="3"/>
  <c r="CQ68" i="3"/>
  <c r="CQ33" i="3"/>
  <c r="CQ31" i="3"/>
  <c r="CQ30" i="3"/>
  <c r="CQ29" i="3"/>
  <c r="CQ21" i="3"/>
  <c r="CQ19" i="3"/>
  <c r="CQ17" i="3"/>
  <c r="CQ16" i="3"/>
  <c r="CW43" i="2"/>
  <c r="CW41" i="2"/>
  <c r="CW40" i="2"/>
  <c r="CW25" i="2"/>
  <c r="CW24" i="2"/>
  <c r="CW22" i="2"/>
  <c r="CW38" i="2"/>
  <c r="CW34" i="2"/>
  <c r="CW32" i="2"/>
  <c r="CW28" i="2"/>
  <c r="CW26" i="2"/>
  <c r="CW21" i="2"/>
  <c r="CW18" i="2"/>
  <c r="CW16" i="2"/>
  <c r="CW15" i="2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1" i="1" s="1"/>
  <c r="AH13" i="3"/>
  <c r="CW17" i="2"/>
  <c r="CR17" i="2"/>
  <c r="CO77" i="3"/>
  <c r="CP14" i="3"/>
  <c r="CJ14" i="3"/>
  <c r="CH77" i="3"/>
  <c r="AK13" i="2"/>
  <c r="D20" i="1"/>
  <c r="D19" i="1"/>
  <c r="F19" i="1" s="1"/>
  <c r="AJ13" i="2"/>
  <c r="D18" i="1"/>
  <c r="F18" i="1" s="1"/>
  <c r="AI13" i="2"/>
  <c r="AH13" i="2"/>
  <c r="D17" i="1"/>
  <c r="F17" i="1" s="1"/>
  <c r="AG13" i="2"/>
  <c r="D16" i="1"/>
  <c r="F16" i="1" s="1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AB13" i="2"/>
  <c r="D11" i="1"/>
  <c r="CN79" i="2"/>
  <c r="CP31" i="2"/>
  <c r="CU79" i="2"/>
  <c r="CV30" i="2"/>
  <c r="CW30" i="2" s="1"/>
  <c r="CW14" i="2"/>
  <c r="CV79" i="2"/>
  <c r="CR14" i="2"/>
  <c r="CP79" i="2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15" i="3"/>
  <c r="CW78" i="2"/>
  <c r="CW42" i="2"/>
  <c r="CW37" i="2"/>
  <c r="CW36" i="2"/>
  <c r="CW35" i="2"/>
  <c r="CW29" i="2"/>
  <c r="CW20" i="2"/>
  <c r="CW19" i="2"/>
  <c r="CQ76" i="3"/>
  <c r="CQ67" i="3"/>
  <c r="CQ66" i="3"/>
  <c r="CQ37" i="3"/>
  <c r="CQ34" i="3"/>
  <c r="CQ26" i="3"/>
  <c r="CQ23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33" i="2"/>
  <c r="CW27" i="2"/>
  <c r="CW23" i="2"/>
  <c r="CQ75" i="3"/>
  <c r="CQ74" i="3"/>
  <c r="CQ73" i="3"/>
  <c r="CQ65" i="3"/>
  <c r="CQ64" i="3"/>
  <c r="CQ63" i="3"/>
  <c r="CQ40" i="3"/>
  <c r="CQ39" i="3"/>
  <c r="CQ38" i="3"/>
  <c r="CQ36" i="3"/>
  <c r="CQ35" i="3"/>
  <c r="CQ32" i="3"/>
  <c r="CQ28" i="3"/>
  <c r="CQ27" i="3"/>
  <c r="CQ25" i="3"/>
  <c r="CQ22" i="3"/>
  <c r="CQ20" i="3"/>
  <c r="CQ18" i="3"/>
  <c r="F20" i="1" l="1"/>
  <c r="CQ14" i="3"/>
  <c r="CQ77" i="3" s="1"/>
  <c r="CP77" i="3"/>
  <c r="CL14" i="3"/>
  <c r="CL77" i="3" s="1"/>
  <c r="CJ77" i="3"/>
  <c r="I3" i="2"/>
  <c r="E6" i="1"/>
  <c r="D3" i="3"/>
  <c r="CH13" i="3"/>
  <c r="F11" i="1"/>
  <c r="D21" i="1"/>
  <c r="B6" i="1"/>
  <c r="I3" i="3"/>
  <c r="CN13" i="2"/>
  <c r="D3" i="2"/>
  <c r="CW31" i="2"/>
  <c r="CW79" i="2" s="1"/>
  <c r="CR31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<sst xmlns="http://schemas.openxmlformats.org/spreadsheetml/2006/main" count="580" uniqueCount="171">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</sst>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472</v>
      </c>
      <c r="C6" s="89"/>
      <c r="E6" s="88">
        <f>'Programa CAJAS REPORTE DIARIO'!CH77</f>
        <v>1325</v>
      </c>
      <c r="F6" s="89"/>
      <c r="H6" s="101">
        <f>B6+E6</f>
        <v>1797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472</v>
      </c>
      <c r="F3" s="79" t="s">
        <v>1</v>
      </c>
      <c r="I3" s="80">
        <f>'Programa CAJAS REPORTE DIARIO'!CH77+CN79</f>
        <v>1797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128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128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472</v>
      </c>
      <c r="CP79" s="25">
        <f>+SUM(CP14:CP78)</f>
        <v>472</v>
      </c>
      <c r="CQ79" s="25">
        <f>+SUM(CQ14:CQ78)</f>
        <v>0</v>
      </c>
      <c r="CR79" s="25">
        <f>+SUM(CR14:CR78)</f>
        <v>472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2660.5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1797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2026-10-28T02:56:58Z</dcterms:modified>
</cp:coreProperties>
</file>