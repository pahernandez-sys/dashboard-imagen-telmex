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067E395-1A50-4248-AC71-BE88AE77277D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CQ15" i="3" l="1"/>
  <c r="CQ47" i="3"/>
  <c r="CQ45" i="3"/>
  <c r="CQ41" i="3"/>
  <c r="CQ30" i="3"/>
  <c r="CQ28" i="3"/>
  <c r="CQ23" i="3"/>
  <c r="CQ21" i="3"/>
  <c r="CQ16" i="3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22" i="2"/>
  <c r="CR22" i="2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E12" i="1"/>
  <c r="F12" i="1" s="1"/>
  <c r="AI13" i="3"/>
  <c r="AH13" i="3"/>
  <c r="E11" i="1"/>
  <c r="CH77" i="3"/>
  <c r="CJ20" i="3"/>
  <c r="CP19" i="3"/>
  <c r="CQ19" i="3" s="1"/>
  <c r="CO77" i="3"/>
  <c r="CQ14" i="3"/>
  <c r="CP77" i="3"/>
  <c r="CL14" i="3"/>
  <c r="CJ77" i="3"/>
  <c r="D23" i="1"/>
  <c r="CP18" i="2"/>
  <c r="CP79" i="2" s="1"/>
  <c r="CN79" i="2"/>
  <c r="CV17" i="2"/>
  <c r="CU79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48" i="3"/>
  <c r="CQ46" i="3"/>
  <c r="CQ44" i="3"/>
  <c r="CQ42" i="3"/>
  <c r="CQ31" i="3"/>
  <c r="CQ29" i="3"/>
  <c r="CQ22" i="3"/>
  <c r="CQ18" i="3"/>
  <c r="CQ17" i="3"/>
  <c r="CQ53" i="3"/>
  <c r="CQ52" i="3"/>
  <c r="CQ51" i="3"/>
  <c r="CQ50" i="3"/>
  <c r="CQ49" i="3"/>
  <c r="CQ43" i="3"/>
  <c r="CQ40" i="3"/>
  <c r="CQ39" i="3"/>
  <c r="CQ38" i="3"/>
  <c r="CQ37" i="3"/>
  <c r="CQ36" i="3"/>
  <c r="CQ35" i="3"/>
  <c r="CQ34" i="3"/>
  <c r="CQ33" i="3"/>
  <c r="CQ32" i="3"/>
  <c r="CQ27" i="3"/>
  <c r="CQ26" i="3"/>
  <c r="CQ25" i="3"/>
  <c r="CQ2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1" i="2"/>
  <c r="CW20" i="2"/>
  <c r="CW19" i="2"/>
  <c r="CW16" i="2"/>
  <c r="CW15" i="2"/>
  <c r="CW17" i="2" l="1"/>
  <c r="CV79" i="2"/>
  <c r="I3" i="2"/>
  <c r="E6" i="1"/>
  <c r="D3" i="3"/>
  <c r="CH13" i="3"/>
  <c r="CQ20" i="3"/>
  <c r="CQ77" i="3" s="1"/>
  <c r="CL20" i="3"/>
  <c r="CL77" i="3" s="1"/>
  <c r="CW18" i="2"/>
  <c r="CW79" i="2" s="1"/>
  <c r="CR18" i="2"/>
  <c r="CR79" i="2" s="1"/>
  <c r="B6" i="1"/>
  <c r="I3" i="3"/>
  <c r="D3" i="2"/>
  <c r="CN13" i="2"/>
  <c r="E23" i="1"/>
  <c r="F11" i="1"/>
  <c r="F23" i="1" l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<sst xmlns="http://schemas.openxmlformats.org/spreadsheetml/2006/main" count="586" uniqueCount="174">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</sst>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653</v>
      </c>
      <c r="C6" s="89"/>
      <c r="E6" s="88">
        <f>'Programa CAJAS REPORTE DIARIO'!CH77</f>
        <v>1688</v>
      </c>
      <c r="F6" s="89"/>
      <c r="H6" s="101">
        <f>B6+E6</f>
        <v>2341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171</v>
      </c>
      <c r="E22" s="72">
        <f>'Programa CAJAS REPORTE DIARIO'!AS77</f>
        <v>363</v>
      </c>
      <c r="F22" s="72">
        <f t="shared" si="0"/>
        <v>534</v>
      </c>
      <c r="G22" s="72">
        <f t="shared" si="1"/>
        <v>2341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653</v>
      </c>
      <c r="E23" s="75">
        <f>SUM(E11:E22)</f>
        <v>1688</v>
      </c>
      <c r="F23" s="75">
        <f>SUM(F11:F22)</f>
        <v>2341</v>
      </c>
      <c r="G23" s="75">
        <f>F23</f>
        <v>2341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653</v>
      </c>
      <c r="F3" s="79" t="s">
        <v>1</v>
      </c>
      <c r="I3" s="80">
        <f>'Programa CAJAS REPORTE DIARIO'!CH77+CN79</f>
        <v>2341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653</v>
      </c>
      <c r="CP79" s="25">
        <f>+SUM(CP14:CP78)</f>
        <v>653</v>
      </c>
      <c r="CQ79" s="25">
        <f>+SUM(CQ14:CQ78)</f>
        <v>0</v>
      </c>
      <c r="CR79" s="25">
        <f>+SUM(CR14:CR78)</f>
        <v>653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1688</v>
      </c>
      <c r="F3" s="79" t="s">
        <v>1</v>
      </c>
      <c r="I3" s="80">
        <f>'Programa CASETAS REPORTE DIARIO'!CN79+CH77</f>
        <v>2341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363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1688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13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26</v>
      </c>
      <c r="CJ41" s="27">
        <f t="shared" si="3"/>
        <v>26</v>
      </c>
      <c r="CK41" s="22">
        <v>0</v>
      </c>
      <c r="CL41" s="22">
        <f t="shared" si="4"/>
        <v>26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-13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363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1688</v>
      </c>
      <c r="CJ77" s="25">
        <f>+SUM(CJ14:CJ76)</f>
        <v>1688</v>
      </c>
      <c r="CK77" s="25">
        <f>+SUM(CK14:CK76)</f>
        <v>0</v>
      </c>
      <c r="CL77" s="25">
        <f>+SUM(CL14:CL76)</f>
        <v>1688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6819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2026-10-29T01:43:53Z</dcterms:modified>
</cp:coreProperties>
</file>