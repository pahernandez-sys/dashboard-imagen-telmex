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755AC5A-8521-4514-916B-F64663A92702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Q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Q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18" i="3" l="1"/>
  <c r="CW18" i="2"/>
  <c r="CQ72" i="3"/>
  <c r="CQ65" i="3"/>
  <c r="CQ19" i="3"/>
  <c r="E24" i="1"/>
  <c r="F24" i="1" s="1"/>
  <c r="AU13" i="3"/>
  <c r="AT13" i="3"/>
  <c r="E23" i="1"/>
  <c r="F23" i="1" s="1"/>
  <c r="E22" i="1"/>
  <c r="F22" i="1" s="1"/>
  <c r="AS13" i="3"/>
  <c r="AR13" i="3"/>
  <c r="E21" i="1"/>
  <c r="F21" i="1" s="1"/>
  <c r="AQ13" i="3"/>
  <c r="E20" i="1"/>
  <c r="F20" i="1" s="1"/>
  <c r="AP13" i="3"/>
  <c r="E19" i="1"/>
  <c r="F19" i="1" s="1"/>
  <c r="E18" i="1"/>
  <c r="F18" i="1" s="1"/>
  <c r="AO13" i="3"/>
  <c r="AN13" i="3"/>
  <c r="E17" i="1"/>
  <c r="F17" i="1" s="1"/>
  <c r="E16" i="1"/>
  <c r="F16" i="1" s="1"/>
  <c r="AM13" i="3"/>
  <c r="E15" i="1"/>
  <c r="F15" i="1" s="1"/>
  <c r="AL13" i="3"/>
  <c r="E14" i="1"/>
  <c r="F14" i="1" s="1"/>
  <c r="AK13" i="3"/>
  <c r="AJ13" i="3"/>
  <c r="E13" i="1"/>
  <c r="F13" i="1" s="1"/>
  <c r="E12" i="1"/>
  <c r="F12" i="1" s="1"/>
  <c r="AI13" i="3"/>
  <c r="AH13" i="3"/>
  <c r="E11" i="1"/>
  <c r="CP14" i="3"/>
  <c r="CO77" i="3"/>
  <c r="CJ14" i="3"/>
  <c r="CH77" i="3"/>
  <c r="F11" i="1"/>
  <c r="D25" i="1"/>
  <c r="CU79" i="2"/>
  <c r="CV14" i="2"/>
  <c r="CN79" i="2"/>
  <c r="CP14" i="2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26" i="3"/>
  <c r="CQ23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49" i="2"/>
  <c r="CW48" i="2"/>
  <c r="CW47" i="2"/>
  <c r="CW46" i="2"/>
  <c r="CW45" i="2"/>
  <c r="CW44" i="2"/>
  <c r="CW43" i="2"/>
  <c r="CQ67" i="3"/>
  <c r="CQ30" i="3"/>
  <c r="CQ28" i="3"/>
  <c r="CQ27" i="3"/>
  <c r="CQ24" i="3"/>
  <c r="CQ21" i="3"/>
  <c r="CQ20" i="3"/>
  <c r="CQ17" i="3"/>
  <c r="CQ16" i="3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7" i="2"/>
  <c r="CW16" i="2"/>
  <c r="CW15" i="2"/>
  <c r="CQ76" i="3"/>
  <c r="CQ75" i="3"/>
  <c r="CQ74" i="3"/>
  <c r="CQ73" i="3"/>
  <c r="CQ71" i="3"/>
  <c r="CQ70" i="3"/>
  <c r="CQ69" i="3"/>
  <c r="CQ68" i="3"/>
  <c r="CQ66" i="3"/>
  <c r="CQ22" i="3"/>
  <c r="CQ15" i="3"/>
  <c r="E25" i="1" l="1"/>
  <c r="CQ14" i="3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  <c r="B6" i="1"/>
  <c r="I3" i="3"/>
  <c r="D3" i="2"/>
  <c r="CN13" i="2"/>
  <c r="CP79" i="2"/>
  <c r="CR14" i="2"/>
  <c r="CR79" i="2" s="1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<sst xmlns="http://schemas.openxmlformats.org/spreadsheetml/2006/main" count="592" uniqueCount="176">
  <si>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</si>
  <si>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</si>
  <si>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</si>
  <si>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</si>
  <si>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</si>
  <si>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</si>
  <si>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</si>
  <si>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</si>
  <si>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</si>
  <si>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</si>
  <si>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</si>
  <si>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</si>
  <si>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</si>
  <si>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</si>
  <si>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</si>
  <si>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</si>
  <si>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</si>
  <si>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</si>
  <si>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</si>
  <si>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</si>
  <si>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</si>
  <si>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</si>
  <si>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</si>
  <si>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</si>
  <si>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</si>
  <si>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</si>
  <si>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</si>
  <si>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</si>
  <si>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</si>
  <si>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</si>
  <si>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</si>
  <si>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</si>
  <si>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</si>
  <si>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</si>
  <si>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</si>
  <si>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</si>
  <si>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</si>
  <si>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</si>
  <si>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</si>
  <si>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</si>
  <si>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</si>
  <si>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</si>
  <si>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</si>
  <si>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</si>
  <si>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</si>
  <si>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</si>
  <si>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</si>
  <si>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</si>
  <si>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</si>
  <si>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</si>
  <si>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</si>
  <si>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</si>
  <si>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</si>
  <si>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</si>
  <si>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</si>
  <si>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</si>
  <si>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</si>
  <si>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</si>
  <si>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</si>
  <si>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</si>
  <si>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</si>
  <si>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</si>
  <si>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</si>
  <si>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</si>
  <si>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</si>
  <si>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</si>
  <si>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</si>
  <si>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</si>
  <si>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</si>
  <si>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</si>
  <si>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</si>
  <si>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</si>
  <si>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</si>
  <si>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</si>
  <si>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</si>
  <si>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</si>
  <si>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</si>
  <si>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</si>
  <si>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</si>
  <si>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</si>
  <si>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</si>
  <si>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</si>
  <si>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</si>
  <si>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</si>
  <si>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</si>
  <si>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</si>
  <si>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</si>
  <si>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</si>
  <si>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</si>
  <si>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</si>
  <si>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</si>
  <si>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</si>
  <si>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</si>
  <si>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</si>
  <si>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</si>
  <si>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</si>
  <si>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</si>
  <si>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</si>
  <si>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</si>
  <si>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</si>
  <si>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</si>
  <si>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</si>
  <si>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</si>
  <si>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</si>
  <si>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</si>
  <si>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</si>
  <si>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</si>
  <si>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</si>
  <si>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</si>
  <si>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</si>
  <si>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</si>
  <si>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</si>
  <si>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12:36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</si>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</sst>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981</v>
      </c>
      <c r="C6" s="89"/>
      <c r="E6" s="88">
        <f>'Programa CAJAS REPORTE DIARIO'!CH77</f>
        <v>2737</v>
      </c>
      <c r="F6" s="89"/>
      <c r="H6" s="101">
        <f>B6+E6</f>
        <v>3718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73</v>
      </c>
      <c r="E24" s="72">
        <f>'Programa CAJAS REPORTE DIARIO'!AU77</f>
        <v>262</v>
      </c>
      <c r="F24" s="72">
        <f t="shared" si="0"/>
        <v>335</v>
      </c>
      <c r="G24" s="72">
        <f t="shared" si="1"/>
        <v>3718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981</v>
      </c>
      <c r="E25" s="75">
        <f>SUM(E11:E24)</f>
        <v>2737</v>
      </c>
      <c r="F25" s="75">
        <f>SUM(F11:F24)</f>
        <v>3718</v>
      </c>
      <c r="G25" s="75">
        <f>F25</f>
        <v>3718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981</v>
      </c>
      <c r="F3" s="79" t="s">
        <v>1</v>
      </c>
      <c r="I3" s="80">
        <f>'Programa CAJAS REPORTE DIARIO'!CH77+CN79</f>
        <v>3718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73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981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9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209</v>
      </c>
      <c r="CP27" s="27">
        <f t="shared" si="4"/>
        <v>209</v>
      </c>
      <c r="CQ27" s="22">
        <v>0</v>
      </c>
      <c r="CR27" s="22">
        <f t="shared" si="5"/>
        <v>209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1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38</v>
      </c>
      <c r="CP30" s="27">
        <f t="shared" si="4"/>
        <v>38</v>
      </c>
      <c r="CQ30" s="22">
        <v>0</v>
      </c>
      <c r="CR30" s="22">
        <f t="shared" si="5"/>
        <v>38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148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19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152</v>
      </c>
      <c r="CP42" s="27">
        <f t="shared" si="4"/>
        <v>152</v>
      </c>
      <c r="CQ42" s="22">
        <v>0</v>
      </c>
      <c r="CR42" s="22">
        <f t="shared" si="5"/>
        <v>152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-152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30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92</v>
      </c>
      <c r="CP56" s="27">
        <f t="shared" si="11"/>
        <v>92</v>
      </c>
      <c r="CQ56" s="22">
        <v>0</v>
      </c>
      <c r="CR56" s="22">
        <f t="shared" si="12"/>
        <v>92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73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981</v>
      </c>
      <c r="CP79" s="25">
        <f>+SUM(CP14:CP78)</f>
        <v>981</v>
      </c>
      <c r="CQ79" s="25">
        <f>+SUM(CQ14:CQ78)</f>
        <v>0</v>
      </c>
      <c r="CR79" s="25">
        <f>+SUM(CR14:CR78)</f>
        <v>981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6285.5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2737</v>
      </c>
      <c r="F3" s="79" t="s">
        <v>1</v>
      </c>
      <c r="I3" s="80">
        <f>'Programa CASETAS REPORTE DIARIO'!CN79+CH77</f>
        <v>3718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262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2737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22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459</v>
      </c>
      <c r="CJ27" s="27">
        <f t="shared" si="3"/>
        <v>459</v>
      </c>
      <c r="CK27" s="22">
        <v>0</v>
      </c>
      <c r="CL27" s="22">
        <f t="shared" si="4"/>
        <v>459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327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341</v>
      </c>
      <c r="CJ28" s="27">
        <f t="shared" si="3"/>
        <v>341</v>
      </c>
      <c r="CK28" s="22">
        <v>0</v>
      </c>
      <c r="CL28" s="22">
        <f t="shared" si="4"/>
        <v>341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16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121</v>
      </c>
      <c r="CJ29" s="27">
        <f t="shared" si="3"/>
        <v>121</v>
      </c>
      <c r="CK29" s="22">
        <v>0</v>
      </c>
      <c r="CL29" s="22">
        <f t="shared" si="4"/>
        <v>121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4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54</v>
      </c>
      <c r="CJ36" s="27">
        <f t="shared" si="3"/>
        <v>54</v>
      </c>
      <c r="CK36" s="22">
        <v>0</v>
      </c>
      <c r="CL36" s="22">
        <f t="shared" si="4"/>
        <v>54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141</v>
      </c>
      <c r="CJ37" s="27">
        <f t="shared" si="3"/>
        <v>141</v>
      </c>
      <c r="CK37" s="22">
        <v>0</v>
      </c>
      <c r="CL37" s="22">
        <f t="shared" si="4"/>
        <v>141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39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215</v>
      </c>
      <c r="CJ43" s="27">
        <f t="shared" si="3"/>
        <v>215</v>
      </c>
      <c r="CK43" s="22">
        <v>0</v>
      </c>
      <c r="CL43" s="22">
        <f t="shared" si="4"/>
        <v>215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-195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3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334</v>
      </c>
      <c r="CJ46" s="27">
        <f t="shared" ref="CJ46:CJ76" si="11">CH46</f>
        <v>334</v>
      </c>
      <c r="CK46" s="22">
        <v>0</v>
      </c>
      <c r="CL46" s="22">
        <f t="shared" ref="CL46:CL77" si="12">CJ46+CK46</f>
        <v>334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1194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77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250</v>
      </c>
      <c r="CJ53" s="27">
        <f t="shared" si="11"/>
        <v>250</v>
      </c>
      <c r="CK53" s="22">
        <v>0</v>
      </c>
      <c r="CL53" s="22">
        <f t="shared" si="12"/>
        <v>250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-182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8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91</v>
      </c>
      <c r="CJ55" s="27">
        <f t="shared" si="11"/>
        <v>91</v>
      </c>
      <c r="CK55" s="22">
        <v>0</v>
      </c>
      <c r="CL55" s="22">
        <f t="shared" si="12"/>
        <v>91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262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2737</v>
      </c>
      <c r="CJ77" s="25">
        <f>+SUM(CJ14:CJ76)</f>
        <v>2737</v>
      </c>
      <c r="CK77" s="25">
        <f>+SUM(CK14:CK76)</f>
        <v>0</v>
      </c>
      <c r="CL77" s="25">
        <f>+SUM(CL14:CL76)</f>
        <v>2737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8657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2026-10-30T18:36:59Z</dcterms:modified>
</cp:coreProperties>
</file>