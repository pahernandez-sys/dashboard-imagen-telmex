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E024F1D-46AC-4C55-AF4D-E5EE948B50C0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Q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DC33" i="3"/>
  <c r="CO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Q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N85" i="2" l="1"/>
  <c r="CQ46" i="3"/>
  <c r="CQ38" i="3"/>
  <c r="CW74" i="2"/>
  <c r="CW73" i="2"/>
  <c r="CW72" i="2"/>
  <c r="CW71" i="2"/>
  <c r="CW70" i="2"/>
  <c r="CW69" i="2"/>
  <c r="CW59" i="2"/>
  <c r="CW29" i="2"/>
  <c r="CW21" i="2"/>
  <c r="CW19" i="2"/>
  <c r="CW17" i="2"/>
  <c r="CR17" i="2"/>
  <c r="E20" i="1"/>
  <c r="F20" i="1" s="1"/>
  <c r="AQ13" i="3"/>
  <c r="E19" i="1"/>
  <c r="F19" i="1" s="1"/>
  <c r="AP13" i="3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E12" i="1"/>
  <c r="F12" i="1" s="1"/>
  <c r="AI13" i="3"/>
  <c r="E11" i="1"/>
  <c r="AH13" i="3"/>
  <c r="CH77" i="3"/>
  <c r="CJ34" i="3"/>
  <c r="CJ77" i="3" s="1"/>
  <c r="CP33" i="3"/>
  <c r="CO77" i="3"/>
  <c r="CQ14" i="3"/>
  <c r="CL14" i="3"/>
  <c r="D21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6" i="3"/>
  <c r="CQ35" i="3"/>
  <c r="CQ32" i="3"/>
  <c r="CQ31" i="3"/>
  <c r="CQ29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67" i="2"/>
  <c r="CW66" i="2"/>
  <c r="CW65" i="2"/>
  <c r="CW64" i="2"/>
  <c r="CW63" i="2"/>
  <c r="CW62" i="2"/>
  <c r="CW61" i="2"/>
  <c r="CW60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26" i="2"/>
  <c r="CW25" i="2"/>
  <c r="CW24" i="2"/>
  <c r="CW23" i="2"/>
  <c r="CW22" i="2"/>
  <c r="CW20" i="2"/>
  <c r="CW16" i="2"/>
  <c r="CW15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8" i="2"/>
  <c r="CW27" i="2"/>
  <c r="CW18" i="2"/>
  <c r="CQ30" i="3"/>
  <c r="I3" i="2" l="1"/>
  <c r="E6" i="1"/>
  <c r="D3" i="3"/>
  <c r="CH13" i="3"/>
  <c r="CQ34" i="3"/>
  <c r="CL34" i="3"/>
  <c r="CL77" i="3" s="1"/>
  <c r="CW14" i="2"/>
  <c r="CW79" i="2" s="1"/>
  <c r="CV79" i="2"/>
  <c r="D3" i="2"/>
  <c r="CN13" i="2"/>
  <c r="B6" i="1"/>
  <c r="I3" i="3"/>
  <c r="CR14" i="2"/>
  <c r="CR79" i="2" s="1"/>
  <c r="CP79" i="2"/>
  <c r="E21" i="1"/>
  <c r="F11" i="1"/>
  <c r="CQ33" i="3"/>
  <c r="CP77" i="3"/>
  <c r="CQ77" i="3" l="1"/>
  <c r="F21" i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<sst xmlns="http://schemas.openxmlformats.org/spreadsheetml/2006/main" count="580" uniqueCount="171">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</sst>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466</v>
      </c>
      <c r="C6" s="89"/>
      <c r="E6" s="88">
        <f>'Programa CAJAS REPORTE DIARIO'!CH77</f>
        <v>1305</v>
      </c>
      <c r="F6" s="89"/>
      <c r="H6" s="101">
        <f>B6+E6</f>
        <v>1771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466</v>
      </c>
      <c r="F3" s="79" t="s">
        <v>1</v>
      </c>
      <c r="I3" s="80">
        <f>'Programa CAJAS REPORTE DIARIO'!CH77+CN79</f>
        <v>1771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122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62</v>
      </c>
      <c r="CP29" s="27">
        <f t="shared" si="4"/>
        <v>62</v>
      </c>
      <c r="CQ29" s="22">
        <v>0</v>
      </c>
      <c r="CR29" s="22">
        <f t="shared" si="5"/>
        <v>62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122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466</v>
      </c>
      <c r="CP79" s="25">
        <f>+SUM(CP14:CP78)</f>
        <v>466</v>
      </c>
      <c r="CQ79" s="25">
        <f>+SUM(CQ14:CQ78)</f>
        <v>0</v>
      </c>
      <c r="CR79" s="25">
        <f>+SUM(CR14:CR78)</f>
        <v>466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1771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2026-10-28T01:32:17Z</dcterms:modified>
</cp:coreProperties>
</file>