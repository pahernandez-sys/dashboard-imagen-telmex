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A968EC28-52AF-4FEC-8E85-576C3DA00110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W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W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W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P14" i="2" s="1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23" i="2" l="1"/>
  <c r="CW20" i="2"/>
  <c r="CQ74" i="3"/>
  <c r="CQ69" i="3"/>
  <c r="CQ73" i="3"/>
  <c r="CW71" i="2"/>
  <c r="CW27" i="2"/>
  <c r="CW36" i="2"/>
  <c r="CW28" i="2"/>
  <c r="CQ28" i="3"/>
  <c r="CQ35" i="3"/>
  <c r="CQ33" i="3"/>
  <c r="CW65" i="2"/>
  <c r="CW33" i="2"/>
  <c r="E23" i="1"/>
  <c r="F23" i="1" s="1"/>
  <c r="AT13" i="3"/>
  <c r="AS13" i="3"/>
  <c r="E22" i="1"/>
  <c r="F22" i="1" s="1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AI13" i="3"/>
  <c r="E12" i="1"/>
  <c r="F12" i="1" s="1"/>
  <c r="E11" i="1"/>
  <c r="AH13" i="3"/>
  <c r="CJ20" i="3"/>
  <c r="CH77" i="3"/>
  <c r="CO77" i="3"/>
  <c r="CP19" i="3"/>
  <c r="CQ19" i="3" s="1"/>
  <c r="CQ14" i="3"/>
  <c r="CP77" i="3"/>
  <c r="CL14" i="3"/>
  <c r="CJ77" i="3"/>
  <c r="F11" i="1"/>
  <c r="D24" i="1"/>
  <c r="CP17" i="2"/>
  <c r="CP79" i="2" s="1"/>
  <c r="CN79" i="2"/>
  <c r="CU79" i="2"/>
  <c r="CV14" i="2"/>
  <c r="CR14" i="2"/>
  <c r="CQ76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36" i="3"/>
  <c r="CQ32" i="3"/>
  <c r="CW68" i="2"/>
  <c r="CW35" i="2"/>
  <c r="CW26" i="2"/>
  <c r="CW21" i="2"/>
  <c r="CQ72" i="3"/>
  <c r="CQ70" i="3"/>
  <c r="CQ40" i="3"/>
  <c r="CQ39" i="3"/>
  <c r="CQ38" i="3"/>
  <c r="CQ37" i="3"/>
  <c r="CQ34" i="3"/>
  <c r="CQ31" i="3"/>
  <c r="CQ30" i="3"/>
  <c r="CQ29" i="3"/>
  <c r="CQ27" i="3"/>
  <c r="CQ26" i="3"/>
  <c r="CQ25" i="3"/>
  <c r="CQ24" i="3"/>
  <c r="CQ23" i="3"/>
  <c r="CQ22" i="3"/>
  <c r="CQ21" i="3"/>
  <c r="CQ18" i="3"/>
  <c r="CQ17" i="3"/>
  <c r="CQ16" i="3"/>
  <c r="CQ15" i="3"/>
  <c r="CW78" i="2"/>
  <c r="CW77" i="2"/>
  <c r="CW76" i="2"/>
  <c r="CW75" i="2"/>
  <c r="CW74" i="2"/>
  <c r="CW73" i="2"/>
  <c r="CW72" i="2"/>
  <c r="CW69" i="2"/>
  <c r="CW66" i="2"/>
  <c r="CW64" i="2"/>
  <c r="CW61" i="2"/>
  <c r="CW58" i="2"/>
  <c r="CQ68" i="3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4" i="2"/>
  <c r="CW31" i="2"/>
  <c r="CW25" i="2"/>
  <c r="CW22" i="2"/>
  <c r="CW19" i="2"/>
  <c r="CW18" i="2"/>
  <c r="CW16" i="2"/>
  <c r="CW15" i="2"/>
  <c r="CQ75" i="3"/>
  <c r="CQ71" i="3"/>
  <c r="CQ20" i="3" l="1"/>
  <c r="CQ77" i="3" s="1"/>
  <c r="CL2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7" i="2"/>
  <c r="CR17" i="2"/>
  <c r="CR79" i="2" s="1"/>
  <c r="B6" i="1"/>
  <c r="I3" i="3"/>
  <c r="D3" i="2"/>
  <c r="CN13" i="2"/>
  <c r="CW14" i="2"/>
  <c r="CV79" i="2"/>
  <c r="E24" i="1"/>
  <c r="H6" i="1" l="1"/>
  <c r="CW79" i="2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<sst xmlns="http://schemas.openxmlformats.org/spreadsheetml/2006/main" count="589" uniqueCount="175">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</sst>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876</v>
      </c>
      <c r="C6" s="89"/>
      <c r="E6" s="88">
        <f>'Programa CAJAS REPORTE DIARIO'!CH77</f>
        <v>2285</v>
      </c>
      <c r="F6" s="89"/>
      <c r="H6" s="101">
        <f>B6+E6</f>
        <v>3161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556</v>
      </c>
      <c r="F23" s="70">
        <f t="shared" si="0"/>
        <v>773</v>
      </c>
      <c r="G23" s="70">
        <f t="shared" si="1"/>
        <v>3161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876</v>
      </c>
      <c r="E24" s="75">
        <f>SUM(E11:E23)</f>
        <v>2285</v>
      </c>
      <c r="F24" s="75">
        <f>SUM(F11:F23)</f>
        <v>3161</v>
      </c>
      <c r="G24" s="75">
        <f>F24</f>
        <v>3161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3161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2285</v>
      </c>
      <c r="F3" s="79" t="s">
        <v>1</v>
      </c>
      <c r="I3" s="80">
        <f>'Programa CASETAS REPORTE DIARIO'!CN79+CH77</f>
        <v>3161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556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2285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413</v>
      </c>
      <c r="CJ27" s="27">
        <f t="shared" si="3"/>
        <v>413</v>
      </c>
      <c r="CK27" s="22">
        <v>0</v>
      </c>
      <c r="CL27" s="22">
        <f t="shared" si="4"/>
        <v>413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65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102</v>
      </c>
      <c r="CJ29" s="27">
        <f t="shared" si="3"/>
        <v>102</v>
      </c>
      <c r="CK29" s="22">
        <v>0</v>
      </c>
      <c r="CL29" s="22">
        <f t="shared" si="4"/>
        <v>102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1234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145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150</v>
      </c>
      <c r="CJ53" s="27">
        <f t="shared" si="11"/>
        <v>150</v>
      </c>
      <c r="CK53" s="22">
        <v>0</v>
      </c>
      <c r="CL53" s="22">
        <f t="shared" si="12"/>
        <v>150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556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2285</v>
      </c>
      <c r="CJ77" s="25">
        <f>+SUM(CJ14:CJ76)</f>
        <v>2285</v>
      </c>
      <c r="CK77" s="25">
        <f>+SUM(CK14:CK76)</f>
        <v>0</v>
      </c>
      <c r="CL77" s="25">
        <f>+SUM(CL14:CL76)</f>
        <v>2285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8947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2026-10-29T23:12:08Z</dcterms:modified>
</cp:coreProperties>
</file>