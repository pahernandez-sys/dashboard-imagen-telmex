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A6EE3428-97F3-41B7-9B00-8494258C93D6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E20" i="1" s="1"/>
  <c r="AP77" i="3"/>
  <c r="E19" i="1" s="1"/>
  <c r="AO77" i="3"/>
  <c r="E18" i="1" s="1"/>
  <c r="AN77" i="3"/>
  <c r="E17" i="1" s="1"/>
  <c r="AM77" i="3"/>
  <c r="E16" i="1" s="1"/>
  <c r="AL77" i="3"/>
  <c r="E15" i="1" s="1"/>
  <c r="AK77" i="3"/>
  <c r="E14" i="1" s="1"/>
  <c r="AJ77" i="3"/>
  <c r="E13" i="1" s="1"/>
  <c r="AI77" i="3"/>
  <c r="E12" i="1" s="1"/>
  <c r="AH77" i="3"/>
  <c r="E11" i="1" s="1"/>
  <c r="E21" i="1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W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W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52" i="2" l="1"/>
  <c r="CW63" i="2"/>
  <c r="CW68" i="2"/>
  <c r="CW27" i="2"/>
  <c r="CQ73" i="3"/>
  <c r="CQ70" i="3"/>
  <c r="CQ68" i="3"/>
  <c r="CQ67" i="3"/>
  <c r="CQ64" i="3"/>
  <c r="CW73" i="2"/>
  <c r="CW70" i="2"/>
  <c r="CW59" i="2"/>
  <c r="CW45" i="2"/>
  <c r="CW43" i="2"/>
  <c r="CW39" i="2"/>
  <c r="CW38" i="2"/>
  <c r="CW35" i="2"/>
  <c r="CW34" i="2"/>
  <c r="CW33" i="2"/>
  <c r="CW31" i="2"/>
  <c r="CW29" i="2"/>
  <c r="CW28" i="2"/>
  <c r="CW15" i="2"/>
  <c r="CW61" i="2"/>
  <c r="CW25" i="2"/>
  <c r="CW20" i="2"/>
  <c r="CW78" i="2"/>
  <c r="CW41" i="2"/>
  <c r="CQ33" i="3"/>
  <c r="CL33" i="3"/>
  <c r="CP14" i="3"/>
  <c r="CO77" i="3"/>
  <c r="CJ14" i="3"/>
  <c r="CH77" i="3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P18" i="2"/>
  <c r="CP79" i="2" s="1"/>
  <c r="CN79" i="2"/>
  <c r="CU79" i="2"/>
  <c r="CV17" i="2"/>
  <c r="CW14" i="2"/>
  <c r="CR14" i="2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W67" i="2"/>
  <c r="CW58" i="2"/>
  <c r="CW56" i="2"/>
  <c r="CW44" i="2"/>
  <c r="CW37" i="2"/>
  <c r="CW26" i="2"/>
  <c r="CW22" i="2"/>
  <c r="CQ76" i="3"/>
  <c r="CQ65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5" i="2"/>
  <c r="CW74" i="2"/>
  <c r="CW72" i="2"/>
  <c r="CW71" i="2"/>
  <c r="CW65" i="2"/>
  <c r="CW64" i="2"/>
  <c r="CW62" i="2"/>
  <c r="CW53" i="2"/>
  <c r="CW47" i="2"/>
  <c r="CW46" i="2"/>
  <c r="CW30" i="2"/>
  <c r="CW24" i="2"/>
  <c r="CQ63" i="3"/>
  <c r="CW49" i="2"/>
  <c r="CW36" i="2"/>
  <c r="CW32" i="2"/>
  <c r="CW23" i="2"/>
  <c r="CQ74" i="3"/>
  <c r="CQ72" i="3"/>
  <c r="CQ71" i="3"/>
  <c r="CW76" i="2"/>
  <c r="CW69" i="2"/>
  <c r="CW66" i="2"/>
  <c r="CW60" i="2"/>
  <c r="CW54" i="2"/>
  <c r="CW42" i="2"/>
  <c r="CW40" i="2"/>
  <c r="CW21" i="2"/>
  <c r="CW19" i="2"/>
  <c r="CW16" i="2"/>
  <c r="CQ75" i="3"/>
  <c r="CQ69" i="3"/>
  <c r="CQ66" i="3"/>
  <c r="CW17" i="2" l="1"/>
  <c r="CV79" i="2"/>
  <c r="CQ14" i="3"/>
  <c r="CQ77" i="3" s="1"/>
  <c r="CP77" i="3"/>
  <c r="CL14" i="3"/>
  <c r="CL77" i="3" s="1"/>
  <c r="CJ77" i="3"/>
  <c r="I3" i="2"/>
  <c r="E6" i="1"/>
  <c r="D3" i="3"/>
  <c r="CH13" i="3"/>
  <c r="F11" i="1"/>
  <c r="D21" i="1"/>
  <c r="CW18" i="2"/>
  <c r="CW79" i="2" s="1"/>
  <c r="CR18" i="2"/>
  <c r="CR79" i="2" s="1"/>
  <c r="B6" i="1"/>
  <c r="I3" i="3"/>
  <c r="D3" i="2"/>
  <c r="CN13" i="2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<sst xmlns="http://schemas.openxmlformats.org/spreadsheetml/2006/main" count="580" uniqueCount="171">
  <si>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</si>
  <si>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</si>
  <si>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</si>
  <si>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</si>
  <si>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</si>
  <si>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</si>
  <si>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</si>
  <si>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</si>
  <si>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</si>
  <si>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</si>
  <si>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</si>
  <si>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</si>
  <si>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</si>
  <si>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</si>
  <si>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</si>
  <si>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</si>
  <si>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</si>
  <si>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</si>
  <si>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</si>
  <si>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</si>
  <si>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</si>
  <si>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</si>
  <si>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</si>
  <si>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</si>
  <si>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</si>
  <si>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</si>
  <si>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</si>
  <si>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</si>
  <si>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</si>
  <si>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</si>
  <si>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</si>
  <si>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</si>
  <si>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</si>
  <si>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</si>
  <si>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</si>
  <si>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</si>
  <si>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</si>
  <si>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</si>
  <si>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</si>
  <si>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</si>
  <si>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</si>
  <si>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</si>
  <si>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</si>
  <si>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</si>
  <si>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</si>
  <si>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</si>
  <si>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</si>
  <si>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</si>
  <si>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</si>
  <si>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</si>
  <si>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</si>
  <si>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</si>
  <si>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</si>
  <si>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</si>
  <si>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</si>
  <si>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</si>
  <si>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</si>
  <si>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</si>
  <si>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</si>
  <si>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</si>
  <si>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</si>
  <si>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</si>
  <si>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</si>
  <si>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</si>
  <si>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</si>
  <si>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</si>
  <si>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</si>
  <si>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</si>
  <si>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</si>
  <si>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</si>
  <si>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</si>
  <si>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</si>
  <si>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</si>
  <si>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</si>
  <si>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</si>
  <si>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</si>
  <si>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</si>
  <si>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</si>
  <si>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</si>
  <si>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</si>
  <si>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</si>
  <si>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</si>
  <si>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</si>
  <si>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</si>
  <si>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</si>
  <si>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</si>
  <si>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</si>
  <si>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</si>
  <si>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</si>
  <si>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</si>
  <si>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</si>
  <si>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</si>
  <si>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</si>
  <si>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</si>
  <si>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</si>
  <si>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</si>
  <si>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</si>
  <si>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</si>
  <si>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</si>
  <si>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</si>
  <si>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</si>
  <si>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</si>
  <si>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</si>
  <si>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</si>
  <si>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</si>
  <si>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</si>
  <si>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</si>
  <si>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</si>
  <si>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</si>
  <si>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</si>
  <si>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</si>
  <si>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</si>
  <si>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19:56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</si>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</sst>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467</v>
      </c>
      <c r="C6" s="89"/>
      <c r="E6" s="88">
        <f>'Programa CAJAS REPORTE DIARIO'!CH77</f>
        <v>1305</v>
      </c>
      <c r="F6" s="89"/>
      <c r="H6" s="101">
        <f>B6+E6</f>
        <v>1772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467</v>
      </c>
      <c r="F3" s="79" t="s">
        <v>1</v>
      </c>
      <c r="I3" s="80">
        <f>'Programa CAJAS REPORTE DIARIO'!CH77+CN79</f>
        <v>1772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123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2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63</v>
      </c>
      <c r="CP29" s="27">
        <f t="shared" si="4"/>
        <v>63</v>
      </c>
      <c r="CQ29" s="22">
        <v>0</v>
      </c>
      <c r="CR29" s="22">
        <f t="shared" si="5"/>
        <v>63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123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467</v>
      </c>
      <c r="CP79" s="25">
        <f>+SUM(CP14:CP78)</f>
        <v>467</v>
      </c>
      <c r="CQ79" s="25">
        <f>+SUM(CQ14:CQ78)</f>
        <v>0</v>
      </c>
      <c r="CR79" s="25">
        <f>+SUM(CR14:CR78)</f>
        <v>467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2665.5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1305</v>
      </c>
      <c r="F3" s="79" t="s">
        <v>1</v>
      </c>
      <c r="I3" s="80">
        <f>'Programa CASETAS REPORTE DIARIO'!CN79+CH77</f>
        <v>1772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446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1305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72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76</v>
      </c>
      <c r="CJ35" s="27">
        <f t="shared" si="3"/>
        <v>76</v>
      </c>
      <c r="CK35" s="22">
        <v>0</v>
      </c>
      <c r="CL35" s="22">
        <f t="shared" si="4"/>
        <v>76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23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446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1305</v>
      </c>
      <c r="CJ77" s="25">
        <f>+SUM(CJ14:CJ76)</f>
        <v>1305</v>
      </c>
      <c r="CK77" s="25">
        <f>+SUM(CK14:CK76)</f>
        <v>0</v>
      </c>
      <c r="CL77" s="25">
        <f>+SUM(CL14:CL76)</f>
        <v>1305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5682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2026-10-28T01:56:27Z</dcterms:modified>
</cp:coreProperties>
</file>