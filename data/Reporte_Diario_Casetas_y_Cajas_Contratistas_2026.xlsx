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1A3FB5A-3BB8-44FA-A2D0-40CDF3168F8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Q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P13" i="2" s="1"/>
  <c r="BO79" i="2"/>
  <c r="BO13" i="2" s="1"/>
  <c r="BN79" i="2"/>
  <c r="BM79" i="2"/>
  <c r="BM13" i="2" s="1"/>
  <c r="BL79" i="2"/>
  <c r="BK79" i="2"/>
  <c r="BJ79" i="2"/>
  <c r="BI79" i="2"/>
  <c r="BH79" i="2"/>
  <c r="BH13" i="2" s="1"/>
  <c r="BG79" i="2"/>
  <c r="BG13" i="2" s="1"/>
  <c r="BF79" i="2"/>
  <c r="BF13" i="2" s="1"/>
  <c r="BE79" i="2"/>
  <c r="BD79" i="2"/>
  <c r="BC79" i="2"/>
  <c r="BB79" i="2"/>
  <c r="BA79" i="2"/>
  <c r="AZ79" i="2"/>
  <c r="AZ13" i="2" s="1"/>
  <c r="AY79" i="2"/>
  <c r="AX79" i="2"/>
  <c r="AX13" i="2" s="1"/>
  <c r="AW79" i="2"/>
  <c r="AW13" i="2" s="1"/>
  <c r="AV79" i="2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N13" i="2"/>
  <c r="BL13" i="2"/>
  <c r="BK13" i="2"/>
  <c r="BJ13" i="2"/>
  <c r="BI13" i="2"/>
  <c r="BE13" i="2"/>
  <c r="BD13" i="2"/>
  <c r="BC13" i="2"/>
  <c r="BB13" i="2"/>
  <c r="BA13" i="2"/>
  <c r="AY13" i="2"/>
  <c r="AV13" i="2"/>
  <c r="AD13" i="2"/>
  <c r="AC13" i="2"/>
  <c r="AB13" i="2"/>
  <c r="AA13" i="2"/>
  <c r="Z13" i="2"/>
  <c r="Y13" i="2"/>
  <c r="X13" i="2"/>
  <c r="W13" i="2"/>
  <c r="CQ76" i="3" l="1"/>
  <c r="CW42" i="2"/>
  <c r="CQ41" i="3"/>
  <c r="CQ26" i="3"/>
  <c r="CQ24" i="3"/>
  <c r="CW60" i="2"/>
  <c r="CW59" i="2"/>
  <c r="CW58" i="2"/>
  <c r="CW57" i="2"/>
  <c r="CW56" i="2"/>
  <c r="CW55" i="2"/>
  <c r="CW54" i="2"/>
  <c r="CW53" i="2"/>
  <c r="CW51" i="2"/>
  <c r="CW50" i="2"/>
  <c r="CW49" i="2"/>
  <c r="CW48" i="2"/>
  <c r="CW47" i="2"/>
  <c r="CW45" i="2"/>
  <c r="CW44" i="2"/>
  <c r="CW43" i="2"/>
  <c r="CW22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H77" i="3"/>
  <c r="CJ19" i="3"/>
  <c r="CO77" i="3"/>
  <c r="CP16" i="3"/>
  <c r="CQ16" i="3" s="1"/>
  <c r="CP77" i="3"/>
  <c r="CQ14" i="3"/>
  <c r="CL14" i="3"/>
  <c r="CJ77" i="3"/>
  <c r="F11" i="1"/>
  <c r="D24" i="1"/>
  <c r="CV14" i="2"/>
  <c r="CU79" i="2"/>
  <c r="CP14" i="2"/>
  <c r="CN79" i="2"/>
  <c r="CQ75" i="3"/>
  <c r="CQ15" i="3"/>
  <c r="CW52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39" i="3"/>
  <c r="CQ36" i="3"/>
  <c r="CQ35" i="3"/>
  <c r="CQ34" i="3"/>
  <c r="CQ32" i="3"/>
  <c r="CQ31" i="3"/>
  <c r="CQ30" i="3"/>
  <c r="CQ29" i="3"/>
  <c r="CQ28" i="3"/>
  <c r="CQ27" i="3"/>
  <c r="CQ20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8" i="3"/>
  <c r="CQ37" i="3"/>
  <c r="CQ33" i="3"/>
  <c r="CQ25" i="3"/>
  <c r="CQ23" i="3"/>
  <c r="CQ18" i="3"/>
  <c r="CQ17" i="3"/>
  <c r="CW61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1" i="2"/>
  <c r="CW20" i="2"/>
  <c r="CW19" i="2"/>
  <c r="CW18" i="2"/>
  <c r="CW17" i="2"/>
  <c r="CW16" i="2"/>
  <c r="CW15" i="2"/>
  <c r="CQ71" i="3"/>
  <c r="CQ70" i="3"/>
  <c r="CQ69" i="3"/>
  <c r="CQ68" i="3"/>
  <c r="CQ67" i="3"/>
  <c r="CQ21" i="3"/>
  <c r="CQ74" i="3"/>
  <c r="CQ72" i="3"/>
  <c r="CQ22" i="3"/>
  <c r="CW46" i="2"/>
  <c r="E6" i="1" l="1"/>
  <c r="D3" i="3"/>
  <c r="I3" i="2"/>
  <c r="CH13" i="3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I3" i="3"/>
  <c r="CN13" i="2"/>
  <c r="D3" i="2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<sst xmlns="http://schemas.openxmlformats.org/spreadsheetml/2006/main" count="589" uniqueCount="175">
  <si>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</si>
  <si>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</si>
  <si>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</si>
  <si>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</si>
  <si>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</si>
  <si>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</si>
  <si>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</si>
  <si>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</si>
  <si>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</si>
  <si>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</si>
  <si>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</si>
  <si>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</si>
  <si>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</si>
  <si>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</si>
  <si>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</si>
  <si>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</si>
  <si>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</si>
  <si>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</si>
  <si>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</si>
  <si>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</si>
  <si>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</si>
  <si>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</si>
  <si>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</si>
  <si>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</si>
  <si>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</si>
  <si>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</si>
  <si>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</si>
  <si>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</si>
  <si>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</si>
  <si>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</si>
  <si>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</si>
  <si>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</si>
  <si>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</si>
  <si>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</si>
  <si>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</si>
  <si>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</si>
  <si>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</si>
  <si>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</si>
  <si>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</si>
  <si>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</si>
  <si>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</si>
  <si>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</si>
  <si>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</si>
  <si>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</si>
  <si>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</si>
  <si>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</si>
  <si>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</si>
  <si>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</si>
  <si>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</si>
  <si>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</si>
  <si>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</si>
  <si>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</si>
  <si>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</si>
  <si>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</si>
  <si>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</si>
  <si>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</si>
  <si>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</si>
  <si>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</si>
  <si>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</si>
  <si>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</si>
  <si>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</si>
  <si>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</si>
  <si>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</si>
  <si>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</si>
  <si>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</si>
  <si>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</si>
  <si>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</si>
  <si>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</si>
  <si>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</si>
  <si>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</si>
  <si>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</si>
  <si>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</si>
  <si>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</si>
  <si>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</si>
  <si>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</si>
  <si>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</si>
  <si>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</si>
  <si>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</si>
  <si>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</si>
  <si>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</si>
  <si>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</si>
  <si>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</si>
  <si>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</si>
  <si>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</si>
  <si>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</si>
  <si>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</si>
  <si>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</si>
  <si>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</si>
  <si>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</si>
  <si>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</si>
  <si>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</si>
  <si>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</si>
  <si>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</si>
  <si>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</si>
  <si>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</si>
  <si>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</si>
  <si>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</si>
  <si>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</si>
  <si>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</si>
  <si>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</si>
  <si>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</si>
  <si>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</si>
  <si>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</si>
  <si>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</si>
  <si>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</si>
  <si>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</si>
  <si>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</si>
  <si>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</si>
  <si>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</si>
  <si>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</si>
  <si>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</si>
  <si>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</si>
  <si>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14:00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</si>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</sst>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753</v>
      </c>
      <c r="C6" s="89"/>
      <c r="E6" s="88">
        <f>'Programa CAJAS REPORTE DIARIO'!CH77</f>
        <v>2045</v>
      </c>
      <c r="F6" s="89"/>
      <c r="H6" s="101">
        <f>B6+E6</f>
        <v>2798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94</v>
      </c>
      <c r="E23" s="70">
        <f>'Programa CAJAS REPORTE DIARIO'!AT77</f>
        <v>316</v>
      </c>
      <c r="F23" s="70">
        <f t="shared" si="0"/>
        <v>410</v>
      </c>
      <c r="G23" s="70">
        <f t="shared" si="1"/>
        <v>2798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753</v>
      </c>
      <c r="E24" s="75">
        <f>SUM(E11:E23)</f>
        <v>2045</v>
      </c>
      <c r="F24" s="75">
        <f>SUM(F11:F23)</f>
        <v>2798</v>
      </c>
      <c r="G24" s="75">
        <f>F24</f>
        <v>2798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753</v>
      </c>
      <c r="F3" s="79" t="s">
        <v>1</v>
      </c>
      <c r="I3" s="80">
        <f>'Programa CAJAS REPORTE DIARIO'!CH77+CN79</f>
        <v>2798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165</v>
      </c>
      <c r="CP28" s="27">
        <f t="shared" si="4"/>
        <v>165</v>
      </c>
      <c r="CQ28" s="22">
        <v>0</v>
      </c>
      <c r="CR28" s="22">
        <f t="shared" si="5"/>
        <v>165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109</v>
      </c>
      <c r="CP29" s="27">
        <f t="shared" si="4"/>
        <v>109</v>
      </c>
      <c r="CQ29" s="22">
        <v>0</v>
      </c>
      <c r="CR29" s="22">
        <f t="shared" si="5"/>
        <v>109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753</v>
      </c>
      <c r="CP79" s="25">
        <f>+SUM(CP14:CP78)</f>
        <v>753</v>
      </c>
      <c r="CQ79" s="25">
        <f>+SUM(CQ14:CQ78)</f>
        <v>0</v>
      </c>
      <c r="CR79" s="25">
        <f>+SUM(CR14:CR78)</f>
        <v>753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2045</v>
      </c>
      <c r="F3" s="79" t="s">
        <v>1</v>
      </c>
      <c r="I3" s="80">
        <f>'Programa CASETAS REPORTE DIARIO'!CN79+CH77</f>
        <v>2798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316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2045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398</v>
      </c>
      <c r="CJ27" s="27">
        <f t="shared" si="3"/>
        <v>398</v>
      </c>
      <c r="CK27" s="22">
        <v>0</v>
      </c>
      <c r="CL27" s="22">
        <f t="shared" si="4"/>
        <v>398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10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47</v>
      </c>
      <c r="CJ29" s="27">
        <f t="shared" si="3"/>
        <v>47</v>
      </c>
      <c r="CK29" s="22">
        <v>0</v>
      </c>
      <c r="CL29" s="22">
        <f t="shared" si="4"/>
        <v>47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53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146</v>
      </c>
      <c r="CJ35" s="27">
        <f t="shared" si="3"/>
        <v>146</v>
      </c>
      <c r="CK35" s="22">
        <v>0</v>
      </c>
      <c r="CL35" s="22">
        <f t="shared" si="4"/>
        <v>146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9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52</v>
      </c>
      <c r="CJ37" s="27">
        <f t="shared" si="3"/>
        <v>52</v>
      </c>
      <c r="CK37" s="22">
        <v>0</v>
      </c>
      <c r="CL37" s="22">
        <f t="shared" si="4"/>
        <v>52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30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137</v>
      </c>
      <c r="CJ43" s="27">
        <f t="shared" si="3"/>
        <v>137</v>
      </c>
      <c r="CK43" s="22">
        <v>0</v>
      </c>
      <c r="CL43" s="22">
        <f t="shared" si="4"/>
        <v>137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67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72</v>
      </c>
      <c r="CJ53" s="27">
        <f t="shared" si="11"/>
        <v>72</v>
      </c>
      <c r="CK53" s="22">
        <v>0</v>
      </c>
      <c r="CL53" s="22">
        <f t="shared" si="12"/>
        <v>72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12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59</v>
      </c>
      <c r="CJ61" s="27">
        <f t="shared" si="11"/>
        <v>59</v>
      </c>
      <c r="CK61" s="22">
        <v>0</v>
      </c>
      <c r="CL61" s="22">
        <f t="shared" si="12"/>
        <v>59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316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2045</v>
      </c>
      <c r="CJ77" s="25">
        <f>+SUM(CJ14:CJ76)</f>
        <v>2045</v>
      </c>
      <c r="CK77" s="25">
        <f>+SUM(CK14:CK76)</f>
        <v>0</v>
      </c>
      <c r="CL77" s="25">
        <f>+SUM(CL14:CL76)</f>
        <v>2045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9187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2026-10-29T20:00:07Z</dcterms:modified>
</cp:coreProperties>
</file>