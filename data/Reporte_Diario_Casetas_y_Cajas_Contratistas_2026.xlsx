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D71C1A9-1905-4C76-976D-7F43D0580718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DC19" i="3"/>
  <c r="CO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W78" i="2" s="1"/>
  <c r="CN78" i="2"/>
  <c r="CP78" i="2" s="1"/>
  <c r="CR78" i="2" s="1"/>
  <c r="DD77" i="2"/>
  <c r="CU77" i="2" s="1"/>
  <c r="CV77" i="2" s="1"/>
  <c r="CW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W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W66" i="2" s="1"/>
  <c r="CN66" i="2"/>
  <c r="CP66" i="2" s="1"/>
  <c r="CR66" i="2" s="1"/>
  <c r="DD65" i="2"/>
  <c r="CU65" i="2" s="1"/>
  <c r="CV65" i="2" s="1"/>
  <c r="CW65" i="2" s="1"/>
  <c r="CN65" i="2"/>
  <c r="CP65" i="2" s="1"/>
  <c r="CR65" i="2" s="1"/>
  <c r="DD64" i="2"/>
  <c r="CU64" i="2" s="1"/>
  <c r="CV64" i="2" s="1"/>
  <c r="CW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W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W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W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W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W32" i="2" s="1"/>
  <c r="CN32" i="2"/>
  <c r="CP32" i="2" s="1"/>
  <c r="CR32" i="2" s="1"/>
  <c r="DD31" i="2"/>
  <c r="CU31" i="2" s="1"/>
  <c r="CV31" i="2" s="1"/>
  <c r="CW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W74" i="2" l="1"/>
  <c r="CW71" i="2"/>
  <c r="CW46" i="2"/>
  <c r="CW44" i="2"/>
  <c r="CW36" i="2"/>
  <c r="CW29" i="2"/>
  <c r="CW70" i="2"/>
  <c r="CW39" i="2"/>
  <c r="CW38" i="2"/>
  <c r="CW27" i="2"/>
  <c r="CW24" i="2"/>
  <c r="CW21" i="2"/>
  <c r="CW20" i="2"/>
  <c r="CW18" i="2"/>
  <c r="CW17" i="2"/>
  <c r="CW49" i="2"/>
  <c r="CW15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Q70" i="3"/>
  <c r="CW69" i="2"/>
  <c r="CW40" i="2"/>
  <c r="CW35" i="2"/>
  <c r="CW16" i="2"/>
  <c r="CW22" i="2"/>
  <c r="CQ54" i="3"/>
  <c r="CW75" i="2"/>
  <c r="CW33" i="2"/>
  <c r="CW26" i="2"/>
  <c r="CW23" i="2"/>
  <c r="CW72" i="2"/>
  <c r="CW53" i="2"/>
  <c r="CW37" i="2"/>
  <c r="CW30" i="2"/>
  <c r="CW19" i="2"/>
  <c r="E20" i="1"/>
  <c r="F20" i="1" s="1"/>
  <c r="AQ13" i="3"/>
  <c r="E19" i="1"/>
  <c r="F19" i="1" s="1"/>
  <c r="AP13" i="3"/>
  <c r="E18" i="1"/>
  <c r="F18" i="1" s="1"/>
  <c r="AO13" i="3"/>
  <c r="AN13" i="3"/>
  <c r="E17" i="1"/>
  <c r="F17" i="1" s="1"/>
  <c r="E16" i="1"/>
  <c r="F16" i="1" s="1"/>
  <c r="AM13" i="3"/>
  <c r="AL13" i="3"/>
  <c r="E15" i="1"/>
  <c r="F15" i="1" s="1"/>
  <c r="E14" i="1"/>
  <c r="F14" i="1" s="1"/>
  <c r="AK13" i="3"/>
  <c r="AJ13" i="3"/>
  <c r="E13" i="1"/>
  <c r="F13" i="1" s="1"/>
  <c r="AI13" i="3"/>
  <c r="E12" i="1"/>
  <c r="F12" i="1" s="1"/>
  <c r="AH13" i="3"/>
  <c r="E11" i="1"/>
  <c r="F11" i="1" s="1"/>
  <c r="CH77" i="3"/>
  <c r="CJ20" i="3"/>
  <c r="CJ77" i="3" s="1"/>
  <c r="CP19" i="3"/>
  <c r="CO77" i="3"/>
  <c r="CQ14" i="3"/>
  <c r="CL14" i="3"/>
  <c r="D21" i="1"/>
  <c r="CV14" i="2"/>
  <c r="CU79" i="2"/>
  <c r="CN79" i="2"/>
  <c r="CP14" i="2"/>
  <c r="CQ76" i="3"/>
  <c r="CQ75" i="3"/>
  <c r="CQ74" i="3"/>
  <c r="CQ73" i="3"/>
  <c r="CQ72" i="3"/>
  <c r="CQ71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41" i="3"/>
  <c r="CQ40" i="3"/>
  <c r="CQ39" i="3"/>
  <c r="CQ38" i="3"/>
  <c r="CQ37" i="3"/>
  <c r="CQ36" i="3"/>
  <c r="CQ35" i="3"/>
  <c r="CQ34" i="3"/>
  <c r="CQ33" i="3"/>
  <c r="CQ32" i="3"/>
  <c r="CQ31" i="3"/>
  <c r="CQ18" i="3"/>
  <c r="CQ17" i="3"/>
  <c r="CQ16" i="3"/>
  <c r="CQ15" i="3"/>
  <c r="CW76" i="2"/>
  <c r="CW68" i="2"/>
  <c r="CW67" i="2"/>
  <c r="CW52" i="2"/>
  <c r="CW51" i="2"/>
  <c r="CW42" i="2"/>
  <c r="CW34" i="2"/>
  <c r="CW28" i="2"/>
  <c r="CQ68" i="3"/>
  <c r="CQ67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30" i="3"/>
  <c r="CQ29" i="3"/>
  <c r="CQ28" i="3"/>
  <c r="CQ27" i="3"/>
  <c r="CQ26" i="3"/>
  <c r="CQ25" i="3"/>
  <c r="CQ24" i="3"/>
  <c r="CQ23" i="3"/>
  <c r="CQ22" i="3"/>
  <c r="CQ21" i="3"/>
  <c r="CW63" i="2"/>
  <c r="CW62" i="2"/>
  <c r="CW61" i="2"/>
  <c r="CW60" i="2"/>
  <c r="CW59" i="2"/>
  <c r="CW58" i="2"/>
  <c r="CW57" i="2"/>
  <c r="CW56" i="2"/>
  <c r="CW55" i="2"/>
  <c r="CW54" i="2"/>
  <c r="CW47" i="2"/>
  <c r="CW25" i="2"/>
  <c r="CQ69" i="3"/>
  <c r="CQ19" i="3" l="1"/>
  <c r="CP77" i="3"/>
  <c r="I3" i="2"/>
  <c r="E6" i="1"/>
  <c r="D3" i="3"/>
  <c r="CH13" i="3"/>
  <c r="CQ20" i="3"/>
  <c r="CQ77" i="3" s="1"/>
  <c r="CL20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V79" i="2"/>
  <c r="CW14" i="2"/>
  <c r="CW79" i="2" s="1"/>
  <c r="D3" i="2"/>
  <c r="CN13" i="2"/>
  <c r="B6" i="1"/>
  <c r="I3" i="3"/>
  <c r="CR14" i="2"/>
  <c r="CR79" i="2" s="1"/>
  <c r="CP79" i="2"/>
  <c r="E21" i="1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<sst xmlns="http://schemas.openxmlformats.org/spreadsheetml/2006/main" count="580" uniqueCount="171">
  <si>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</si>
  <si>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</si>
  <si>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</si>
  <si>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</si>
  <si>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</si>
  <si>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</si>
  <si>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</si>
  <si>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</si>
  <si>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</si>
  <si>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</si>
  <si>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</si>
  <si>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</si>
  <si>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</si>
  <si>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</si>
  <si>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</si>
  <si>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</si>
  <si>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</si>
  <si>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</si>
  <si>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</si>
  <si>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</si>
  <si>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</si>
  <si>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</si>
  <si>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</si>
  <si>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</si>
  <si>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</si>
  <si>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</si>
  <si>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</si>
  <si>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</si>
  <si>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</si>
  <si>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</si>
  <si>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</si>
  <si>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</si>
  <si>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</si>
  <si>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</si>
  <si>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</si>
  <si>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</si>
  <si>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</si>
  <si>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</si>
  <si>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</si>
  <si>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</si>
  <si>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</si>
  <si>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</si>
  <si>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</si>
  <si>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</si>
  <si>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</si>
  <si>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</si>
  <si>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</si>
  <si>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</si>
  <si>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</si>
  <si>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</si>
  <si>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</si>
  <si>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</si>
  <si>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</si>
  <si>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</si>
  <si>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</si>
  <si>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</si>
  <si>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</si>
  <si>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</si>
  <si>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</si>
  <si>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</si>
  <si>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</si>
  <si>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</si>
  <si>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</si>
  <si>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</si>
  <si>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</si>
  <si>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</si>
  <si>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</si>
  <si>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</si>
  <si>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</si>
  <si>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</si>
  <si>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</si>
  <si>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</si>
  <si>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</si>
  <si>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</si>
  <si>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</si>
  <si>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</si>
  <si>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</si>
  <si>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</si>
  <si>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</si>
  <si>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</si>
  <si>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</si>
  <si>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</si>
  <si>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</si>
  <si>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</si>
  <si>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</si>
  <si>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</si>
  <si>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</si>
  <si>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</si>
  <si>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</si>
  <si>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</si>
  <si>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</si>
  <si>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</si>
  <si>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</si>
  <si>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</si>
  <si>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</si>
  <si>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</si>
  <si>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</si>
  <si>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</si>
  <si>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</si>
  <si>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</si>
  <si>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</si>
  <si>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</si>
  <si>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</si>
  <si>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</si>
  <si>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</si>
  <si>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</si>
  <si>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</si>
  <si>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</si>
  <si>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</si>
  <si>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</si>
  <si>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</si>
  <si>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</si>
  <si>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21:51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</si>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</sst>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481</v>
      </c>
      <c r="C6" s="89"/>
      <c r="E6" s="88">
        <f>'Programa CAJAS REPORTE DIARIO'!CH77</f>
        <v>1325</v>
      </c>
      <c r="F6" s="89"/>
      <c r="H6" s="101">
        <f>B6+E6</f>
        <v>1806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481</v>
      </c>
      <c r="F3" s="79" t="s">
        <v>1</v>
      </c>
      <c r="I3" s="80">
        <f>'Programa CAJAS REPORTE DIARIO'!CH77+CN79</f>
        <v>1806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137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481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71</v>
      </c>
      <c r="CP29" s="27">
        <f t="shared" si="4"/>
        <v>71</v>
      </c>
      <c r="CQ29" s="22">
        <v>0</v>
      </c>
      <c r="CR29" s="22">
        <f t="shared" si="5"/>
        <v>71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335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33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42</v>
      </c>
      <c r="CP42" s="27">
        <f t="shared" si="4"/>
        <v>42</v>
      </c>
      <c r="CQ42" s="22">
        <v>0</v>
      </c>
      <c r="CR42" s="22">
        <f t="shared" si="5"/>
        <v>42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-42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14</v>
      </c>
      <c r="CP51" s="27">
        <f t="shared" si="11"/>
        <v>14</v>
      </c>
      <c r="CQ51" s="22">
        <v>0</v>
      </c>
      <c r="CR51" s="22">
        <f t="shared" si="12"/>
        <v>14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736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137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481</v>
      </c>
      <c r="CP79" s="25">
        <f>+SUM(CP14:CP78)</f>
        <v>481</v>
      </c>
      <c r="CQ79" s="25">
        <f>+SUM(CQ14:CQ78)</f>
        <v>0</v>
      </c>
      <c r="CR79" s="25">
        <f>+SUM(CR14:CR78)</f>
        <v>481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2651.5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1325</v>
      </c>
      <c r="F3" s="79" t="s">
        <v>1</v>
      </c>
      <c r="I3" s="80">
        <f>'Programa CASETAS REPORTE DIARIO'!CN79+CH77</f>
        <v>1806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1325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82</v>
      </c>
      <c r="CJ35" s="27">
        <f t="shared" si="3"/>
        <v>82</v>
      </c>
      <c r="CK35" s="22">
        <v>0</v>
      </c>
      <c r="CL35" s="22">
        <f t="shared" si="4"/>
        <v>82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1325</v>
      </c>
      <c r="CJ77" s="25">
        <f>+SUM(CJ14:CJ76)</f>
        <v>1325</v>
      </c>
      <c r="CK77" s="25">
        <f>+SUM(CK14:CK76)</f>
        <v>0</v>
      </c>
      <c r="CL77" s="25">
        <f>+SUM(CL14:CL76)</f>
        <v>1325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5662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2026-10-28T03:51:30Z</dcterms:modified>
</cp:coreProperties>
</file>