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C4FD046-F6D0-48E1-A571-07BB382B69D6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W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/>
  <c r="CV64" i="2" s="1"/>
  <c r="CW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W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56" i="2" l="1"/>
  <c r="CW58" i="2"/>
  <c r="CW52" i="2"/>
  <c r="CW74" i="2"/>
  <c r="CW78" i="2"/>
  <c r="CQ41" i="3"/>
  <c r="CQ28" i="3"/>
  <c r="CW68" i="2"/>
  <c r="CW51" i="2"/>
  <c r="CW45" i="2"/>
  <c r="AM13" i="2"/>
  <c r="D22" i="1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E22" i="1"/>
  <c r="F22" i="1" s="1"/>
  <c r="AS13" i="3"/>
  <c r="E21" i="1"/>
  <c r="F21" i="1" s="1"/>
  <c r="AR13" i="3"/>
  <c r="E20" i="1"/>
  <c r="F20" i="1" s="1"/>
  <c r="AQ13" i="3"/>
  <c r="AP13" i="3"/>
  <c r="E19" i="1"/>
  <c r="F19" i="1" s="1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AK13" i="3"/>
  <c r="AJ13" i="3"/>
  <c r="E13" i="1"/>
  <c r="AI13" i="3"/>
  <c r="E12" i="1"/>
  <c r="AH13" i="3"/>
  <c r="E11" i="1"/>
  <c r="F11" i="1" s="1"/>
  <c r="CJ20" i="3"/>
  <c r="CJ77" i="3" s="1"/>
  <c r="CH77" i="3"/>
  <c r="CP19" i="3"/>
  <c r="CQ19" i="3" s="1"/>
  <c r="CO77" i="3"/>
  <c r="CQ14" i="3"/>
  <c r="CP77" i="3"/>
  <c r="CL14" i="3"/>
  <c r="D23" i="1"/>
  <c r="CN79" i="2"/>
  <c r="CP18" i="2"/>
  <c r="CU79" i="2"/>
  <c r="CV17" i="2"/>
  <c r="CW14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30" i="3"/>
  <c r="CW69" i="2"/>
  <c r="CW53" i="2"/>
  <c r="CW66" i="2"/>
  <c r="CW59" i="2"/>
  <c r="CQ40" i="3"/>
  <c r="CQ39" i="3"/>
  <c r="CQ38" i="3"/>
  <c r="CQ37" i="3"/>
  <c r="CQ36" i="3"/>
  <c r="CQ35" i="3"/>
  <c r="CQ34" i="3"/>
  <c r="CQ33" i="3"/>
  <c r="CQ32" i="3"/>
  <c r="CQ31" i="3"/>
  <c r="CQ29" i="3"/>
  <c r="CW75" i="2"/>
  <c r="CW67" i="2"/>
  <c r="CW63" i="2"/>
  <c r="CW61" i="2"/>
  <c r="CW55" i="2"/>
  <c r="CQ27" i="3"/>
  <c r="CQ26" i="3"/>
  <c r="CQ25" i="3"/>
  <c r="CQ24" i="3"/>
  <c r="CQ23" i="3"/>
  <c r="CQ22" i="3"/>
  <c r="CQ21" i="3"/>
  <c r="CQ18" i="3"/>
  <c r="CQ17" i="3"/>
  <c r="CQ16" i="3"/>
  <c r="CQ15" i="3"/>
  <c r="CW73" i="2"/>
  <c r="CW71" i="2"/>
  <c r="CW50" i="2"/>
  <c r="CW49" i="2"/>
  <c r="CW48" i="2"/>
  <c r="CW47" i="2"/>
  <c r="CW46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CW17" i="2" l="1"/>
  <c r="CV79" i="2"/>
  <c r="F14" i="1"/>
  <c r="F13" i="1"/>
  <c r="F12" i="1"/>
  <c r="CQ20" i="3"/>
  <c r="CQ77" i="3" s="1"/>
  <c r="CL20" i="3"/>
  <c r="CL77" i="3" s="1"/>
  <c r="I3" i="2"/>
  <c r="E6" i="1"/>
  <c r="D3" i="3"/>
  <c r="CH13" i="3"/>
  <c r="G11" i="1"/>
  <c r="B6" i="1"/>
  <c r="I3" i="3"/>
  <c r="D3" i="2"/>
  <c r="CN13" i="2"/>
  <c r="CW18" i="2"/>
  <c r="CW79" i="2" s="1"/>
  <c r="CR18" i="2"/>
  <c r="CR79" i="2" s="1"/>
  <c r="E23" i="1"/>
  <c r="F23" i="1" l="1"/>
  <c r="G23" i="1" s="1"/>
  <c r="G12" i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<sst xmlns="http://schemas.openxmlformats.org/spreadsheetml/2006/main" count="586" uniqueCount="174">
  <si>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</si>
  <si>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</si>
  <si>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</si>
  <si>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</si>
  <si>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</si>
  <si>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</si>
  <si>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</si>
  <si>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</si>
  <si>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</si>
  <si>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</si>
  <si>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</si>
  <si>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</si>
  <si>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</si>
  <si>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</si>
  <si>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</si>
  <si>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</si>
  <si>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</si>
  <si>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</si>
  <si>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</si>
  <si>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</si>
  <si>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</si>
  <si>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</si>
  <si>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</si>
  <si>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</si>
  <si>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</si>
  <si>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</si>
  <si>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</si>
  <si>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</si>
  <si>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</si>
  <si>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</si>
  <si>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</si>
  <si>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</si>
  <si>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</si>
  <si>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</si>
  <si>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</si>
  <si>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</si>
  <si>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</si>
  <si>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</si>
  <si>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</si>
  <si>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</si>
  <si>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</si>
  <si>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</si>
  <si>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</si>
  <si>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</si>
  <si>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</si>
  <si>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</si>
  <si>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</si>
  <si>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</si>
  <si>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</si>
  <si>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</si>
  <si>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</si>
  <si>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</si>
  <si>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</si>
  <si>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</si>
  <si>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</si>
  <si>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</si>
  <si>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</si>
  <si>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</si>
  <si>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</si>
  <si>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</si>
  <si>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</si>
  <si>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</si>
  <si>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</si>
  <si>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</si>
  <si>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</si>
  <si>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</si>
  <si>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</si>
  <si>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</si>
  <si>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</si>
  <si>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</si>
  <si>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</si>
  <si>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</si>
  <si>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</si>
  <si>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</si>
  <si>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</si>
  <si>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</si>
  <si>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</si>
  <si>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</si>
  <si>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</si>
  <si>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</si>
  <si>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</si>
  <si>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</si>
  <si>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</si>
  <si>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</si>
  <si>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</si>
  <si>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</si>
  <si>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</si>
  <si>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</si>
  <si>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</si>
  <si>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</si>
  <si>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</si>
  <si>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</si>
  <si>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</si>
  <si>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</si>
  <si>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</si>
  <si>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</si>
  <si>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</si>
  <si>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</si>
  <si>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</si>
  <si>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</si>
  <si>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</si>
  <si>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</si>
  <si>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</si>
  <si>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</si>
  <si>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</si>
  <si>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</si>
  <si>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</si>
  <si>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</si>
  <si>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</si>
  <si>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</si>
  <si>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</si>
  <si>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</si>
  <si>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21:29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</si>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</sst>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1725</v>
      </c>
      <c r="F6" s="89"/>
      <c r="H6" s="101">
        <f>B6+E6</f>
        <v>2384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400</v>
      </c>
      <c r="F22" s="72">
        <f t="shared" si="0"/>
        <v>577</v>
      </c>
      <c r="G22" s="72">
        <f t="shared" si="1"/>
        <v>2384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1725</v>
      </c>
      <c r="F23" s="75">
        <f>SUM(F11:F22)</f>
        <v>2384</v>
      </c>
      <c r="G23" s="75">
        <f>F23</f>
        <v>2384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2384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1725</v>
      </c>
      <c r="F3" s="79" t="s">
        <v>1</v>
      </c>
      <c r="I3" s="80">
        <f>'Programa CASETAS REPORTE DIARIO'!CN79+CH77</f>
        <v>2384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1725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27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40</v>
      </c>
      <c r="CJ41" s="27">
        <f t="shared" si="3"/>
        <v>40</v>
      </c>
      <c r="CK41" s="22">
        <v>0</v>
      </c>
      <c r="CL41" s="22">
        <f t="shared" si="4"/>
        <v>40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-27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1725</v>
      </c>
      <c r="CJ77" s="25">
        <f>+SUM(CJ14:CJ76)</f>
        <v>1725</v>
      </c>
      <c r="CK77" s="25">
        <f>+SUM(CK14:CK76)</f>
        <v>0</v>
      </c>
      <c r="CL77" s="25">
        <f>+SUM(CL14:CL76)</f>
        <v>1725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2026-10-29T03:29:07Z</dcterms:modified>
</cp:coreProperties>
</file>