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679ABCD4-93A3-4763-9B41-727253E3ADFB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V77" i="3"/>
  <c r="AU77" i="3"/>
  <c r="AT77" i="3"/>
  <c r="AS77" i="3"/>
  <c r="E22" i="1" s="1"/>
  <c r="AR77" i="3"/>
  <c r="E21" i="1" s="1"/>
  <c r="AQ77" i="3"/>
  <c r="AP77" i="3"/>
  <c r="AO77" i="3"/>
  <c r="AN77" i="3"/>
  <c r="AM77" i="3"/>
  <c r="AL77" i="3"/>
  <c r="AK77" i="3"/>
  <c r="AK13" i="3" s="1"/>
  <c r="AJ77" i="3"/>
  <c r="AJ13" i="3" s="1"/>
  <c r="AI77" i="3"/>
  <c r="AI13" i="3" s="1"/>
  <c r="AH77" i="3"/>
  <c r="AH13" i="3" s="1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E20" i="1"/>
  <c r="E19" i="1"/>
  <c r="E18" i="1"/>
  <c r="E17" i="1"/>
  <c r="E16" i="1"/>
  <c r="E15" i="1"/>
  <c r="E14" i="1"/>
  <c r="E13" i="1"/>
  <c r="E12" i="1"/>
  <c r="E11" i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Y13" i="2" s="1"/>
  <c r="BX79" i="2"/>
  <c r="BW79" i="2"/>
  <c r="BV79" i="2"/>
  <c r="BV13" i="2" s="1"/>
  <c r="BU79" i="2"/>
  <c r="BU13" i="2" s="1"/>
  <c r="BT79" i="2"/>
  <c r="BT13" i="2" s="1"/>
  <c r="BS79" i="2"/>
  <c r="BS13" i="2" s="1"/>
  <c r="BR79" i="2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F20" i="1" s="1"/>
  <c r="AJ79" i="2"/>
  <c r="D19" i="1" s="1"/>
  <c r="F19" i="1" s="1"/>
  <c r="AI79" i="2"/>
  <c r="D18" i="1" s="1"/>
  <c r="F18" i="1" s="1"/>
  <c r="AH79" i="2"/>
  <c r="D17" i="1" s="1"/>
  <c r="F17" i="1" s="1"/>
  <c r="AG79" i="2"/>
  <c r="D16" i="1" s="1"/>
  <c r="F16" i="1" s="1"/>
  <c r="AF79" i="2"/>
  <c r="D15" i="1" s="1"/>
  <c r="F15" i="1" s="1"/>
  <c r="AE79" i="2"/>
  <c r="D14" i="1" s="1"/>
  <c r="F14" i="1" s="1"/>
  <c r="AD79" i="2"/>
  <c r="D13" i="1" s="1"/>
  <c r="F13" i="1" s="1"/>
  <c r="AC79" i="2"/>
  <c r="D12" i="1" s="1"/>
  <c r="F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W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X13" i="2"/>
  <c r="BW13" i="2"/>
  <c r="BR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30" i="3" l="1"/>
  <c r="CQ24" i="3"/>
  <c r="CQ15" i="3"/>
  <c r="CW59" i="2"/>
  <c r="CQ20" i="3"/>
  <c r="CQ19" i="3"/>
  <c r="CQ16" i="3"/>
  <c r="CQ47" i="3"/>
  <c r="CW58" i="2"/>
  <c r="CW17" i="2"/>
  <c r="CR17" i="2"/>
  <c r="CO77" i="3"/>
  <c r="CP14" i="3"/>
  <c r="CJ14" i="3"/>
  <c r="CH77" i="3"/>
  <c r="D23" i="1"/>
  <c r="F11" i="1"/>
  <c r="CV14" i="2"/>
  <c r="CU79" i="2"/>
  <c r="CP14" i="2"/>
  <c r="CN79" i="2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29" i="3"/>
  <c r="CQ28" i="3"/>
  <c r="CQ27" i="3"/>
  <c r="CQ26" i="3"/>
  <c r="CQ25" i="3"/>
  <c r="CQ23" i="3"/>
  <c r="CQ22" i="3"/>
  <c r="CQ21" i="3"/>
  <c r="F22" i="1"/>
  <c r="F21" i="1"/>
  <c r="E23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7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18" i="3"/>
  <c r="CQ17" i="3"/>
  <c r="CQ14" i="3" l="1"/>
  <c r="CQ77" i="3" s="1"/>
  <c r="CP77" i="3"/>
  <c r="CL14" i="3"/>
  <c r="CL77" i="3" s="1"/>
  <c r="CJ77" i="3"/>
  <c r="E6" i="1"/>
  <c r="D3" i="3"/>
  <c r="CH13" i="3"/>
  <c r="I3" i="2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V79" i="2"/>
  <c r="CW14" i="2"/>
  <c r="CW79" i="2" s="1"/>
  <c r="CR14" i="2"/>
  <c r="CR79" i="2" s="1"/>
  <c r="CP79" i="2"/>
  <c r="CN13" i="2"/>
  <c r="B6" i="1"/>
  <c r="I3" i="3"/>
  <c r="D3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<sst xmlns="http://schemas.openxmlformats.org/spreadsheetml/2006/main" count="586" uniqueCount="174">
  <si>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</si>
  <si>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</si>
  <si>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</si>
  <si>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</si>
  <si>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</si>
  <si>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</si>
  <si>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</si>
  <si>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</si>
  <si>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</si>
  <si>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</si>
  <si>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</si>
  <si>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</si>
  <si>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</si>
  <si>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</si>
  <si>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</si>
  <si>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</si>
  <si>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</si>
  <si>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</si>
  <si>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</si>
  <si>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</si>
  <si>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</si>
  <si>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</si>
  <si>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</si>
  <si>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</si>
  <si>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</si>
  <si>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</si>
  <si>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</si>
  <si>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</si>
  <si>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</si>
  <si>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</si>
  <si>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</si>
  <si>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</si>
  <si>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</si>
  <si>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</si>
  <si>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</si>
  <si>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</si>
  <si>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</si>
  <si>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</si>
  <si>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</si>
  <si>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</si>
  <si>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</si>
  <si>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</si>
  <si>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</si>
  <si>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</si>
  <si>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</si>
  <si>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</si>
  <si>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</si>
  <si>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</si>
  <si>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</si>
  <si>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</si>
  <si>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</si>
  <si>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</si>
  <si>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</si>
  <si>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</si>
  <si>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</si>
  <si>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</si>
  <si>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</si>
  <si>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</si>
  <si>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</si>
  <si>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</si>
  <si>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</si>
  <si>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</si>
  <si>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</si>
  <si>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</si>
  <si>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</si>
  <si>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</si>
  <si>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</si>
  <si>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</si>
  <si>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</si>
  <si>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</si>
  <si>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</si>
  <si>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</si>
  <si>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</si>
  <si>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</si>
  <si>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</si>
  <si>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</si>
  <si>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</si>
  <si>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</si>
  <si>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</si>
  <si>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</si>
  <si>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</si>
  <si>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</si>
  <si>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</si>
  <si>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</si>
  <si>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</si>
  <si>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</si>
  <si>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</si>
  <si>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</si>
  <si>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</si>
  <si>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</si>
  <si>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</si>
  <si>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</si>
  <si>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</si>
  <si>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</si>
  <si>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</si>
  <si>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</si>
  <si>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</si>
  <si>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</si>
  <si>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</si>
  <si>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</si>
  <si>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</si>
  <si>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</si>
  <si>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</si>
  <si>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</si>
  <si>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</si>
  <si>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</si>
  <si>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</si>
  <si>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</si>
  <si>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</si>
  <si>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</si>
  <si>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</si>
  <si>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</si>
  <si>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19:25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</si>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</sst>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633</v>
      </c>
      <c r="C6" s="89"/>
      <c r="E6" s="88">
        <f>'Programa CAJAS REPORTE DIARIO'!CH77</f>
        <v>1680</v>
      </c>
      <c r="F6" s="89"/>
      <c r="H6" s="101">
        <f>B6+E6</f>
        <v>2313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151</v>
      </c>
      <c r="E22" s="72">
        <f>'Programa CAJAS REPORTE DIARIO'!AS77</f>
        <v>355</v>
      </c>
      <c r="F22" s="72">
        <f t="shared" si="0"/>
        <v>506</v>
      </c>
      <c r="G22" s="72">
        <f t="shared" si="1"/>
        <v>2313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633</v>
      </c>
      <c r="E23" s="75">
        <f>SUM(E11:E22)</f>
        <v>1680</v>
      </c>
      <c r="F23" s="75">
        <f>SUM(F11:F22)</f>
        <v>2313</v>
      </c>
      <c r="G23" s="75">
        <f>F23</f>
        <v>2313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633</v>
      </c>
      <c r="F3" s="79" t="s">
        <v>1</v>
      </c>
      <c r="I3" s="80">
        <f>'Programa CAJAS REPORTE DIARIO'!CH77+CN79</f>
        <v>2313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151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633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31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181</v>
      </c>
      <c r="CP27" s="27">
        <f t="shared" si="4"/>
        <v>181</v>
      </c>
      <c r="CQ27" s="22">
        <v>0</v>
      </c>
      <c r="CR27" s="22">
        <f t="shared" si="5"/>
        <v>181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25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68</v>
      </c>
      <c r="CP42" s="27">
        <f t="shared" si="4"/>
        <v>68</v>
      </c>
      <c r="CQ42" s="22">
        <v>0</v>
      </c>
      <c r="CR42" s="22">
        <f t="shared" si="5"/>
        <v>68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-68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3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17</v>
      </c>
      <c r="CP51" s="27">
        <f t="shared" si="11"/>
        <v>17</v>
      </c>
      <c r="CQ51" s="22">
        <v>0</v>
      </c>
      <c r="CR51" s="22">
        <f t="shared" si="12"/>
        <v>17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733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34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36</v>
      </c>
      <c r="CP58" s="27">
        <f t="shared" si="11"/>
        <v>36</v>
      </c>
      <c r="CQ58" s="22">
        <v>0</v>
      </c>
      <c r="CR58" s="22">
        <f t="shared" si="12"/>
        <v>36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1643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151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633</v>
      </c>
      <c r="CP79" s="25">
        <f>+SUM(CP14:CP78)</f>
        <v>633</v>
      </c>
      <c r="CQ79" s="25">
        <f>+SUM(CQ14:CQ78)</f>
        <v>0</v>
      </c>
      <c r="CR79" s="25">
        <f>+SUM(CR14:CR78)</f>
        <v>633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6449.5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1680</v>
      </c>
      <c r="F3" s="79" t="s">
        <v>1</v>
      </c>
      <c r="I3" s="80">
        <f>'Programa CASETAS REPORTE DIARIO'!CN79+CH77</f>
        <v>2313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355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1680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11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24</v>
      </c>
      <c r="CJ41" s="27">
        <f t="shared" si="3"/>
        <v>24</v>
      </c>
      <c r="CK41" s="22">
        <v>0</v>
      </c>
      <c r="CL41" s="22">
        <f t="shared" si="4"/>
        <v>24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-11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50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219</v>
      </c>
      <c r="CJ46" s="27">
        <f t="shared" ref="CJ46:CJ76" si="11">CH46</f>
        <v>219</v>
      </c>
      <c r="CK46" s="22">
        <v>0</v>
      </c>
      <c r="CL46" s="22">
        <f t="shared" ref="CL46:CL77" si="12">CJ46+CK46</f>
        <v>219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1285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2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31</v>
      </c>
      <c r="CJ50" s="27">
        <f t="shared" si="11"/>
        <v>31</v>
      </c>
      <c r="CK50" s="22">
        <v>0</v>
      </c>
      <c r="CL50" s="22">
        <f t="shared" si="12"/>
        <v>31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171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22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63</v>
      </c>
      <c r="CJ57" s="27">
        <f t="shared" si="11"/>
        <v>63</v>
      </c>
      <c r="CK57" s="22">
        <v>0</v>
      </c>
      <c r="CL57" s="22">
        <f t="shared" si="12"/>
        <v>63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190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355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1680</v>
      </c>
      <c r="CJ77" s="25">
        <f>+SUM(CJ14:CJ76)</f>
        <v>1680</v>
      </c>
      <c r="CK77" s="25">
        <f>+SUM(CK14:CK76)</f>
        <v>0</v>
      </c>
      <c r="CL77" s="25">
        <f>+SUM(CL14:CL76)</f>
        <v>1680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6827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2026-10-29T01:25:27Z</dcterms:modified>
</cp:coreProperties>
</file>