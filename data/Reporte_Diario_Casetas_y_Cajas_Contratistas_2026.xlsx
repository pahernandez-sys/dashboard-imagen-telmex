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67EED9A-355D-4597-8A06-13B4D9387771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Q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DC33" i="3"/>
  <c r="CO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Q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N85" i="2" l="1"/>
  <c r="CW60" i="2"/>
  <c r="CW68" i="2"/>
  <c r="CW57" i="2"/>
  <c r="CW66" i="2"/>
  <c r="CW62" i="2"/>
  <c r="CQ59" i="3"/>
  <c r="CQ55" i="3"/>
  <c r="CQ35" i="3"/>
  <c r="CQ17" i="3"/>
  <c r="CW56" i="2"/>
  <c r="CW54" i="2"/>
  <c r="CW52" i="2"/>
  <c r="CW55" i="2"/>
  <c r="E20" i="1"/>
  <c r="AQ13" i="3"/>
  <c r="AP13" i="3"/>
  <c r="E19" i="1"/>
  <c r="E18" i="1"/>
  <c r="AO13" i="3"/>
  <c r="AN13" i="3"/>
  <c r="E17" i="1"/>
  <c r="AM13" i="3"/>
  <c r="E16" i="1"/>
  <c r="AL13" i="3"/>
  <c r="E15" i="1"/>
  <c r="AK13" i="3"/>
  <c r="E14" i="1"/>
  <c r="E13" i="1"/>
  <c r="AJ13" i="3"/>
  <c r="AI13" i="3"/>
  <c r="E12" i="1"/>
  <c r="AH13" i="3"/>
  <c r="E11" i="1"/>
  <c r="CJ34" i="3"/>
  <c r="CH77" i="3"/>
  <c r="CP33" i="3"/>
  <c r="CQ33" i="3" s="1"/>
  <c r="CO77" i="3"/>
  <c r="CQ14" i="3"/>
  <c r="CP77" i="3"/>
  <c r="CL14" i="3"/>
  <c r="CJ77" i="3"/>
  <c r="AK13" i="2"/>
  <c r="D20" i="1"/>
  <c r="D19" i="1"/>
  <c r="AJ13" i="2"/>
  <c r="AI13" i="2"/>
  <c r="D18" i="1"/>
  <c r="AH13" i="2"/>
  <c r="D17" i="1"/>
  <c r="D16" i="1"/>
  <c r="AG13" i="2"/>
  <c r="D15" i="1"/>
  <c r="AF13" i="2"/>
  <c r="D14" i="1"/>
  <c r="AE13" i="2"/>
  <c r="AD13" i="2"/>
  <c r="D13" i="1"/>
  <c r="D12" i="1"/>
  <c r="F12" i="1" s="1"/>
  <c r="AC13" i="2"/>
  <c r="D11" i="1"/>
  <c r="AB13" i="2"/>
  <c r="CP44" i="2"/>
  <c r="CN79" i="2"/>
  <c r="CV43" i="2"/>
  <c r="CW43" i="2" s="1"/>
  <c r="CU79" i="2"/>
  <c r="CW14" i="2"/>
  <c r="CV79" i="2"/>
  <c r="CR14" i="2"/>
  <c r="CP79" i="2"/>
  <c r="CQ54" i="3"/>
  <c r="CQ53" i="3"/>
  <c r="CQ52" i="3"/>
  <c r="CQ51" i="3"/>
  <c r="CQ50" i="3"/>
  <c r="CQ49" i="3"/>
  <c r="CQ48" i="3"/>
  <c r="CQ47" i="3"/>
  <c r="CQ46" i="3"/>
  <c r="CQ45" i="3"/>
  <c r="CQ44" i="3"/>
  <c r="CQ43" i="3"/>
  <c r="CQ41" i="3"/>
  <c r="CQ40" i="3"/>
  <c r="CQ39" i="3"/>
  <c r="CQ30" i="3"/>
  <c r="CQ24" i="3"/>
  <c r="CQ23" i="3"/>
  <c r="CQ22" i="3"/>
  <c r="CQ19" i="3"/>
  <c r="CQ18" i="3"/>
  <c r="CQ38" i="3"/>
  <c r="CQ37" i="3"/>
  <c r="CQ36" i="3"/>
  <c r="CQ32" i="3"/>
  <c r="CQ31" i="3"/>
  <c r="CQ29" i="3"/>
  <c r="CQ28" i="3"/>
  <c r="CQ27" i="3"/>
  <c r="CQ26" i="3"/>
  <c r="CQ21" i="3"/>
  <c r="CQ20" i="3"/>
  <c r="CW65" i="2"/>
  <c r="CW64" i="2"/>
  <c r="CW61" i="2"/>
  <c r="CW59" i="2"/>
  <c r="CW58" i="2"/>
  <c r="CQ16" i="3"/>
  <c r="CQ15" i="3"/>
  <c r="CW78" i="2"/>
  <c r="CW77" i="2"/>
  <c r="CW76" i="2"/>
  <c r="CW75" i="2"/>
  <c r="CW74" i="2"/>
  <c r="CW73" i="2"/>
  <c r="CW72" i="2"/>
  <c r="CW71" i="2"/>
  <c r="CW70" i="2"/>
  <c r="CW51" i="2"/>
  <c r="CW50" i="2"/>
  <c r="CW49" i="2"/>
  <c r="CW48" i="2"/>
  <c r="CW47" i="2"/>
  <c r="CW46" i="2"/>
  <c r="CW45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8" i="3"/>
  <c r="CQ57" i="3"/>
  <c r="CQ56" i="3"/>
  <c r="F20" i="1" l="1"/>
  <c r="F19" i="1"/>
  <c r="F18" i="1"/>
  <c r="F17" i="1"/>
  <c r="F16" i="1"/>
  <c r="F15" i="1"/>
  <c r="F14" i="1"/>
  <c r="F13" i="1"/>
  <c r="CQ34" i="3"/>
  <c r="CQ77" i="3" s="1"/>
  <c r="CL34" i="3"/>
  <c r="CL77" i="3" s="1"/>
  <c r="I3" i="2"/>
  <c r="E6" i="1"/>
  <c r="D3" i="3"/>
  <c r="CH13" i="3"/>
  <c r="F11" i="1"/>
  <c r="D21" i="1"/>
  <c r="CW44" i="2"/>
  <c r="CW79" i="2" s="1"/>
  <c r="CR44" i="2"/>
  <c r="CR79" i="2" s="1"/>
  <c r="CN13" i="2"/>
  <c r="D3" i="2"/>
  <c r="B6" i="1"/>
  <c r="I3" i="3"/>
  <c r="E21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H6" i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<sst xmlns="http://schemas.openxmlformats.org/spreadsheetml/2006/main" count="580" uniqueCount="171">
  <si>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</si>
  <si>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</si>
  <si>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</si>
  <si>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</si>
  <si>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</si>
  <si>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</si>
  <si>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</si>
  <si>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</si>
  <si>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</si>
  <si>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</si>
  <si>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</si>
  <si>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</si>
  <si>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</si>
  <si>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</si>
  <si>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</si>
  <si>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</si>
  <si>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</si>
  <si>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</si>
  <si>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</si>
  <si>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</si>
  <si>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</si>
  <si>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</si>
  <si>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</si>
  <si>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</si>
  <si>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</si>
  <si>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</si>
  <si>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</si>
  <si>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</si>
  <si>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</si>
  <si>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</si>
  <si>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</si>
  <si>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</si>
  <si>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</si>
  <si>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</si>
  <si>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</si>
  <si>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</si>
  <si>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</si>
  <si>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</si>
  <si>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</si>
  <si>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</si>
  <si>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</si>
  <si>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</si>
  <si>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</si>
  <si>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</si>
  <si>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</si>
  <si>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</si>
  <si>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</si>
  <si>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</si>
  <si>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</si>
  <si>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</si>
  <si>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</si>
  <si>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</si>
  <si>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</si>
  <si>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</si>
  <si>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</si>
  <si>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</si>
  <si>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</si>
  <si>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</si>
  <si>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</si>
  <si>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</si>
  <si>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</si>
  <si>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</si>
  <si>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</si>
  <si>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</si>
  <si>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</si>
  <si>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</si>
  <si>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</si>
  <si>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</si>
  <si>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</si>
  <si>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</si>
  <si>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</si>
  <si>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</si>
  <si>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</si>
  <si>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</si>
  <si>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</si>
  <si>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</si>
  <si>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</si>
  <si>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</si>
  <si>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</si>
  <si>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</si>
  <si>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</si>
  <si>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</si>
  <si>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</si>
  <si>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</si>
  <si>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</si>
  <si>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</si>
  <si>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</si>
  <si>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</si>
  <si>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</si>
  <si>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</si>
  <si>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</si>
  <si>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</si>
  <si>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</si>
  <si>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</si>
  <si>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</si>
  <si>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</si>
  <si>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</si>
  <si>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</si>
  <si>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</si>
  <si>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</si>
  <si>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</si>
  <si>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</si>
  <si>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</si>
  <si>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</si>
  <si>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</si>
  <si>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</si>
  <si>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</si>
  <si>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</si>
  <si>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</si>
  <si>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</si>
  <si>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</si>
  <si>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</si>
  <si>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18:38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</si>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</sst>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457</v>
      </c>
      <c r="C6" s="89"/>
      <c r="E6" s="88">
        <f>'Programa CAJAS REPORTE DIARIO'!CH77</f>
        <v>1241</v>
      </c>
      <c r="F6" s="89"/>
      <c r="H6" s="101">
        <f>B6+E6</f>
        <v>1698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457</v>
      </c>
      <c r="F3" s="79" t="s">
        <v>1</v>
      </c>
      <c r="I3" s="80">
        <f>'Programa CAJAS REPORTE DIARIO'!CH77+CN79</f>
        <v>1698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113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457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32</v>
      </c>
      <c r="CP42" s="27">
        <f t="shared" si="4"/>
        <v>32</v>
      </c>
      <c r="CQ42" s="22">
        <v>0</v>
      </c>
      <c r="CR42" s="22">
        <f t="shared" si="5"/>
        <v>32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-32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113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457</v>
      </c>
      <c r="CP79" s="25">
        <f>+SUM(CP14:CP78)</f>
        <v>457</v>
      </c>
      <c r="CQ79" s="25">
        <f>+SUM(CQ14:CQ78)</f>
        <v>0</v>
      </c>
      <c r="CR79" s="25">
        <f>+SUM(CR14:CR78)</f>
        <v>457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1241</v>
      </c>
      <c r="F3" s="79" t="s">
        <v>1</v>
      </c>
      <c r="I3" s="80">
        <f>'Programa CASETAS REPORTE DIARIO'!CN79+CH77</f>
        <v>1698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382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1241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43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331</v>
      </c>
      <c r="CJ27" s="27">
        <f t="shared" si="3"/>
        <v>331</v>
      </c>
      <c r="CK27" s="22">
        <v>0</v>
      </c>
      <c r="CL27" s="22">
        <f t="shared" si="4"/>
        <v>331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43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196</v>
      </c>
      <c r="CJ28" s="27">
        <f t="shared" si="3"/>
        <v>196</v>
      </c>
      <c r="CK28" s="22">
        <v>0</v>
      </c>
      <c r="CL28" s="22">
        <f t="shared" si="4"/>
        <v>196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71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75</v>
      </c>
      <c r="CJ35" s="27">
        <f t="shared" si="3"/>
        <v>75</v>
      </c>
      <c r="CK35" s="22">
        <v>0</v>
      </c>
      <c r="CL35" s="22">
        <f t="shared" si="4"/>
        <v>75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36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38</v>
      </c>
      <c r="CJ37" s="27">
        <f t="shared" si="3"/>
        <v>38</v>
      </c>
      <c r="CK37" s="22">
        <v>0</v>
      </c>
      <c r="CL37" s="22">
        <f t="shared" si="4"/>
        <v>38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10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117</v>
      </c>
      <c r="CJ46" s="27">
        <f t="shared" ref="CJ46:CJ76" si="11">CH46</f>
        <v>117</v>
      </c>
      <c r="CK46" s="22">
        <v>0</v>
      </c>
      <c r="CL46" s="22">
        <f t="shared" ref="CL46:CL77" si="12">CJ46+CK46</f>
        <v>117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214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2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4</v>
      </c>
      <c r="CJ75" s="27">
        <f t="shared" si="11"/>
        <v>4</v>
      </c>
      <c r="CK75" s="22">
        <v>0</v>
      </c>
      <c r="CL75" s="22">
        <f t="shared" si="12"/>
        <v>4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-3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382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1241</v>
      </c>
      <c r="CJ77" s="25">
        <f>+SUM(CJ14:CJ76)</f>
        <v>1241</v>
      </c>
      <c r="CK77" s="25">
        <f>+SUM(CK14:CK76)</f>
        <v>0</v>
      </c>
      <c r="CL77" s="25">
        <f>+SUM(CL14:CL76)</f>
        <v>1241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5746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2026-10-28T00:38:07Z</dcterms:modified>
</cp:coreProperties>
</file>