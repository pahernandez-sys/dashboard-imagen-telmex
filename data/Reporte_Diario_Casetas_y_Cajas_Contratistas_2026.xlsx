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FF71B22-993C-4086-96BB-8908BF34D2C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0" i="3" l="1"/>
  <c r="CQ36" i="3"/>
  <c r="CW39" i="2"/>
  <c r="CW28" i="2"/>
  <c r="AF13" i="2"/>
  <c r="D15" i="1"/>
  <c r="AE13" i="2"/>
  <c r="D14" i="1"/>
  <c r="AD13" i="2"/>
  <c r="D13" i="1"/>
  <c r="AC13" i="2"/>
  <c r="D12" i="1"/>
  <c r="AB13" i="2"/>
  <c r="D11" i="1"/>
  <c r="CQ64" i="3"/>
  <c r="CQ40" i="3"/>
  <c r="CW30" i="2"/>
  <c r="CW29" i="2"/>
  <c r="CW66" i="2"/>
  <c r="E22" i="1"/>
  <c r="AS13" i="3"/>
  <c r="E21" i="1"/>
  <c r="AR13" i="3"/>
  <c r="E20" i="1"/>
  <c r="AQ13" i="3"/>
  <c r="AP13" i="3"/>
  <c r="E19" i="1"/>
  <c r="E18" i="1"/>
  <c r="AO13" i="3"/>
  <c r="AN13" i="3"/>
  <c r="E17" i="1"/>
  <c r="AM13" i="3"/>
  <c r="E16" i="1"/>
  <c r="AL13" i="3"/>
  <c r="E15" i="1"/>
  <c r="AK13" i="3"/>
  <c r="E14" i="1"/>
  <c r="AJ13" i="3"/>
  <c r="E13" i="1"/>
  <c r="AI13" i="3"/>
  <c r="E12" i="1"/>
  <c r="E11" i="1"/>
  <c r="AH13" i="3"/>
  <c r="AM13" i="2"/>
  <c r="D22" i="1"/>
  <c r="AL13" i="2"/>
  <c r="D21" i="1"/>
  <c r="AK13" i="2"/>
  <c r="D20" i="1"/>
  <c r="AJ13" i="2"/>
  <c r="D19" i="1"/>
  <c r="AI13" i="2"/>
  <c r="D18" i="1"/>
  <c r="F18" i="1" s="1"/>
  <c r="AH13" i="2"/>
  <c r="D17" i="1"/>
  <c r="F17" i="1" s="1"/>
  <c r="AG13" i="2"/>
  <c r="D16" i="1"/>
  <c r="F16" i="1" s="1"/>
  <c r="CP14" i="3"/>
  <c r="CO77" i="3"/>
  <c r="CJ14" i="3"/>
  <c r="CH77" i="3"/>
  <c r="CN79" i="2"/>
  <c r="CP18" i="2"/>
  <c r="CP79" i="2" s="1"/>
  <c r="CU79" i="2"/>
  <c r="CV17" i="2"/>
  <c r="CW14" i="2"/>
  <c r="CR14" i="2"/>
  <c r="CQ65" i="3"/>
  <c r="CQ63" i="3"/>
  <c r="CQ62" i="3"/>
  <c r="CQ61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Q41" i="3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8" i="2"/>
  <c r="CW37" i="2"/>
  <c r="CW36" i="2"/>
  <c r="CW35" i="2"/>
  <c r="CW34" i="2"/>
  <c r="CW33" i="2"/>
  <c r="CW32" i="2"/>
  <c r="CQ38" i="3"/>
  <c r="CQ37" i="3"/>
  <c r="CQ35" i="3"/>
  <c r="CW27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39" i="3"/>
  <c r="F15" i="1" l="1"/>
  <c r="F14" i="1"/>
  <c r="F13" i="1"/>
  <c r="F12" i="1"/>
  <c r="F23" i="1" s="1"/>
  <c r="G23" i="1" s="1"/>
  <c r="F22" i="1"/>
  <c r="F21" i="1"/>
  <c r="F20" i="1"/>
  <c r="F19" i="1"/>
  <c r="F11" i="1"/>
  <c r="D23" i="1"/>
  <c r="E23" i="1"/>
  <c r="CW17" i="2"/>
  <c r="CV79" i="2"/>
  <c r="CQ14" i="3"/>
  <c r="CQ77" i="3" s="1"/>
  <c r="CP77" i="3"/>
  <c r="CJ77" i="3"/>
  <c r="CL14" i="3"/>
  <c r="CL77" i="3" s="1"/>
  <c r="I3" i="2"/>
  <c r="CH13" i="3"/>
  <c r="D3" i="3"/>
  <c r="E6" i="1"/>
  <c r="G11" i="1"/>
  <c r="I3" i="3"/>
  <c r="D3" i="2"/>
  <c r="CN13" i="2"/>
  <c r="B6" i="1"/>
  <c r="CW18" i="2"/>
  <c r="CW79" i="2" s="1"/>
  <c r="CR18" i="2"/>
  <c r="CR79" i="2" s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<sst xmlns="http://schemas.openxmlformats.org/spreadsheetml/2006/main" count="586" uniqueCount="174">
  <si>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</si>
  <si>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</si>
  <si>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</si>
  <si>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</si>
  <si>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</si>
  <si>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</si>
  <si>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</si>
  <si>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</si>
  <si>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</si>
  <si>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</si>
  <si>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</si>
  <si>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</si>
  <si>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</si>
  <si>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</si>
  <si>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</si>
  <si>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</si>
  <si>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</si>
  <si>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</si>
  <si>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</si>
  <si>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</si>
  <si>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</si>
  <si>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</si>
  <si>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</si>
  <si>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</si>
  <si>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</si>
  <si>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</si>
  <si>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</si>
  <si>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</si>
  <si>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</si>
  <si>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</si>
  <si>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</si>
  <si>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</si>
  <si>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</si>
  <si>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</si>
  <si>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</si>
  <si>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</si>
  <si>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</si>
  <si>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</si>
  <si>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</si>
  <si>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</si>
  <si>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</si>
  <si>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</si>
  <si>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</si>
  <si>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</si>
  <si>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</si>
  <si>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</si>
  <si>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</si>
  <si>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</si>
  <si>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</si>
  <si>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</si>
  <si>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</si>
  <si>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</si>
  <si>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</si>
  <si>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</si>
  <si>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</si>
  <si>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</si>
  <si>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</si>
  <si>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</si>
  <si>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</si>
  <si>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</si>
  <si>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</si>
  <si>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</si>
  <si>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</si>
  <si>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</si>
  <si>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</si>
  <si>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</si>
  <si>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</si>
  <si>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</si>
  <si>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</si>
  <si>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</si>
  <si>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</si>
  <si>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</si>
  <si>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</si>
  <si>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</si>
  <si>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</si>
  <si>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</si>
  <si>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</si>
  <si>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</si>
  <si>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</si>
  <si>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</si>
  <si>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</si>
  <si>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</si>
  <si>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</si>
  <si>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</si>
  <si>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</si>
  <si>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</si>
  <si>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</si>
  <si>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</si>
  <si>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</si>
  <si>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</si>
  <si>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</si>
  <si>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</si>
  <si>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</si>
  <si>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</si>
  <si>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</si>
  <si>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</si>
  <si>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</si>
  <si>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</si>
  <si>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</si>
  <si>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</si>
  <si>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</si>
  <si>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</si>
  <si>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</si>
  <si>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</si>
  <si>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</si>
  <si>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</si>
  <si>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</si>
  <si>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</si>
  <si>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</si>
  <si>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</si>
  <si>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</si>
  <si>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</si>
  <si>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15:37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</si>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</sst>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614</v>
      </c>
      <c r="C6" s="89"/>
      <c r="E6" s="88">
        <f>'Programa CAJAS REPORTE DIARIO'!CH77</f>
        <v>1553</v>
      </c>
      <c r="F6" s="89"/>
      <c r="H6" s="101">
        <f>B6+E6</f>
        <v>2167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132</v>
      </c>
      <c r="E22" s="72">
        <f>'Programa CAJAS REPORTE DIARIO'!AS77</f>
        <v>228</v>
      </c>
      <c r="F22" s="72">
        <f t="shared" si="0"/>
        <v>360</v>
      </c>
      <c r="G22" s="72">
        <f t="shared" si="1"/>
        <v>2167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614</v>
      </c>
      <c r="E23" s="75">
        <f>SUM(E11:E22)</f>
        <v>1553</v>
      </c>
      <c r="F23" s="75">
        <f>SUM(F11:F22)</f>
        <v>2167</v>
      </c>
      <c r="G23" s="75">
        <f>F23</f>
        <v>2167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614</v>
      </c>
      <c r="F3" s="79" t="s">
        <v>1</v>
      </c>
      <c r="I3" s="80">
        <f>'Programa CAJAS REPORTE DIARIO'!CH77+CN79</f>
        <v>2167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132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58</v>
      </c>
      <c r="CP42" s="27">
        <f t="shared" si="4"/>
        <v>58</v>
      </c>
      <c r="CQ42" s="22">
        <v>0</v>
      </c>
      <c r="CR42" s="22">
        <f t="shared" si="5"/>
        <v>58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33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35</v>
      </c>
      <c r="CP58" s="27">
        <f t="shared" si="11"/>
        <v>35</v>
      </c>
      <c r="CQ58" s="22">
        <v>0</v>
      </c>
      <c r="CR58" s="22">
        <f t="shared" si="12"/>
        <v>35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1644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132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614</v>
      </c>
      <c r="CP79" s="25">
        <f>+SUM(CP14:CP78)</f>
        <v>614</v>
      </c>
      <c r="CQ79" s="25">
        <f>+SUM(CQ14:CQ78)</f>
        <v>0</v>
      </c>
      <c r="CR79" s="25">
        <f>+SUM(CR14:CR78)</f>
        <v>614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1553</v>
      </c>
      <c r="F3" s="79" t="s">
        <v>1</v>
      </c>
      <c r="I3" s="80">
        <f>'Programa CASETAS REPORTE DIARIO'!CN79+CH77</f>
        <v>2167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228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1553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255</v>
      </c>
      <c r="CJ28" s="27">
        <f t="shared" si="3"/>
        <v>255</v>
      </c>
      <c r="CK28" s="22">
        <v>0</v>
      </c>
      <c r="CL28" s="22">
        <f t="shared" si="4"/>
        <v>255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42</v>
      </c>
      <c r="CJ36" s="27">
        <f t="shared" si="3"/>
        <v>42</v>
      </c>
      <c r="CK36" s="22">
        <v>0</v>
      </c>
      <c r="CL36" s="22">
        <f t="shared" si="4"/>
        <v>42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21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62</v>
      </c>
      <c r="CJ57" s="27">
        <f t="shared" si="11"/>
        <v>62</v>
      </c>
      <c r="CK57" s="22">
        <v>0</v>
      </c>
      <c r="CL57" s="22">
        <f t="shared" si="12"/>
        <v>62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191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228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1553</v>
      </c>
      <c r="CJ77" s="25">
        <f>+SUM(CJ14:CJ76)</f>
        <v>1553</v>
      </c>
      <c r="CK77" s="25">
        <f>+SUM(CK14:CK76)</f>
        <v>0</v>
      </c>
      <c r="CL77" s="25">
        <f>+SUM(CL14:CL76)</f>
        <v>1553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6954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2026-10-28T21:37:28Z</dcterms:modified>
</cp:coreProperties>
</file>