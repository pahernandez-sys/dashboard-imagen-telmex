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F42063C-2BE3-4697-AE44-89D2A19F4044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DD44" i="2"/>
  <c r="CU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W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W18" i="2" s="1"/>
  <c r="CN18" i="2"/>
  <c r="CP18" i="2" s="1"/>
  <c r="CR18" i="2" s="1"/>
  <c r="DD17" i="2"/>
  <c r="CU17" i="2" s="1"/>
  <c r="CV17" i="2" s="1"/>
  <c r="CW17" i="2" s="1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/>
  <c r="CV14" i="2" s="1"/>
  <c r="CN14" i="2"/>
  <c r="CP14" i="2" s="1"/>
  <c r="CW64" i="2" l="1"/>
  <c r="CW32" i="2"/>
  <c r="CW23" i="2"/>
  <c r="CW21" i="2"/>
  <c r="CW65" i="2"/>
  <c r="E24" i="1"/>
  <c r="AU13" i="3"/>
  <c r="AT13" i="3"/>
  <c r="E23" i="1"/>
  <c r="E22" i="1"/>
  <c r="AS13" i="3"/>
  <c r="AR13" i="3"/>
  <c r="E21" i="1"/>
  <c r="E20" i="1"/>
  <c r="AQ13" i="3"/>
  <c r="E19" i="1"/>
  <c r="AP13" i="3"/>
  <c r="E18" i="1"/>
  <c r="AO13" i="3"/>
  <c r="AN13" i="3"/>
  <c r="E17" i="1"/>
  <c r="E16" i="1"/>
  <c r="AM13" i="3"/>
  <c r="AL13" i="3"/>
  <c r="E15" i="1"/>
  <c r="AK13" i="3"/>
  <c r="E14" i="1"/>
  <c r="AJ13" i="3"/>
  <c r="E13" i="1"/>
  <c r="AI13" i="3"/>
  <c r="E12" i="1"/>
  <c r="AH13" i="3"/>
  <c r="E11" i="1"/>
  <c r="CJ59" i="3"/>
  <c r="CH77" i="3"/>
  <c r="CP18" i="3"/>
  <c r="CQ18" i="3" s="1"/>
  <c r="CO77" i="3"/>
  <c r="CQ14" i="3"/>
  <c r="CP77" i="3"/>
  <c r="CJ77" i="3"/>
  <c r="CL14" i="3"/>
  <c r="AO13" i="2"/>
  <c r="D24" i="1"/>
  <c r="D23" i="1"/>
  <c r="AN13" i="2"/>
  <c r="AM13" i="2"/>
  <c r="D22" i="1"/>
  <c r="D21" i="1"/>
  <c r="AL13" i="2"/>
  <c r="AK13" i="2"/>
  <c r="D20" i="1"/>
  <c r="AJ13" i="2"/>
  <c r="D19" i="1"/>
  <c r="F19" i="1" s="1"/>
  <c r="D18" i="1"/>
  <c r="F18" i="1" s="1"/>
  <c r="AI13" i="2"/>
  <c r="AH13" i="2"/>
  <c r="D17" i="1"/>
  <c r="F17" i="1" s="1"/>
  <c r="AG13" i="2"/>
  <c r="D16" i="1"/>
  <c r="F16" i="1" s="1"/>
  <c r="D15" i="1"/>
  <c r="F15" i="1" s="1"/>
  <c r="AF13" i="2"/>
  <c r="D14" i="1"/>
  <c r="F14" i="1" s="1"/>
  <c r="AE13" i="2"/>
  <c r="AD13" i="2"/>
  <c r="D13" i="1"/>
  <c r="F13" i="1" s="1"/>
  <c r="AC13" i="2"/>
  <c r="D12" i="1"/>
  <c r="F12" i="1" s="1"/>
  <c r="D11" i="1"/>
  <c r="AB13" i="2"/>
  <c r="CN79" i="2"/>
  <c r="CP45" i="2"/>
  <c r="CV44" i="2"/>
  <c r="CW44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W31" i="2"/>
  <c r="CW29" i="2"/>
  <c r="CW22" i="2"/>
  <c r="CW20" i="2"/>
  <c r="CW19" i="2"/>
  <c r="CQ29" i="3"/>
  <c r="CQ28" i="3"/>
  <c r="CQ27" i="3"/>
  <c r="CQ26" i="3"/>
  <c r="CQ25" i="3"/>
  <c r="CQ24" i="3"/>
  <c r="CQ23" i="3"/>
  <c r="CQ22" i="3"/>
  <c r="CQ21" i="3"/>
  <c r="CQ20" i="3"/>
  <c r="CQ19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28" i="2"/>
  <c r="CW27" i="2"/>
  <c r="CW26" i="2"/>
  <c r="CW2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3" i="2"/>
  <c r="CW42" i="2"/>
  <c r="CW41" i="2"/>
  <c r="CW40" i="2"/>
  <c r="CW39" i="2"/>
  <c r="CW38" i="2"/>
  <c r="CW37" i="2"/>
  <c r="CW36" i="2"/>
  <c r="CW35" i="2"/>
  <c r="CW34" i="2"/>
  <c r="CW33" i="2"/>
  <c r="F24" i="1" l="1"/>
  <c r="F23" i="1"/>
  <c r="F22" i="1"/>
  <c r="F21" i="1"/>
  <c r="F20" i="1"/>
  <c r="CQ59" i="3"/>
  <c r="CQ77" i="3" s="1"/>
  <c r="CL59" i="3"/>
  <c r="CL77" i="3" s="1"/>
  <c r="I3" i="2"/>
  <c r="CH13" i="3"/>
  <c r="E6" i="1"/>
  <c r="D3" i="3"/>
  <c r="F11" i="1"/>
  <c r="D25" i="1"/>
  <c r="D3" i="2"/>
  <c r="CN13" i="2"/>
  <c r="B6" i="1"/>
  <c r="I3" i="3"/>
  <c r="CW45" i="2"/>
  <c r="CR45" i="2"/>
  <c r="CR79" i="2" s="1"/>
  <c r="E25" i="1"/>
  <c r="CW79" i="2"/>
  <c r="H6" i="1" l="1"/>
  <c r="F25" i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<sst xmlns="http://schemas.openxmlformats.org/spreadsheetml/2006/main" count="592" uniqueCount="176">
  <si>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</si>
  <si>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</si>
  <si>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</si>
  <si>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</si>
  <si>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</si>
  <si>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</si>
  <si>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</si>
  <si>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</si>
  <si>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</si>
  <si>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</si>
  <si>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</si>
  <si>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</si>
  <si>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</si>
  <si>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</si>
  <si>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</si>
  <si>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</si>
  <si>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</si>
  <si>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</si>
  <si>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</si>
  <si>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</si>
  <si>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</si>
  <si>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</si>
  <si>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</si>
  <si>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</si>
  <si>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</si>
  <si>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</si>
  <si>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</si>
  <si>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</si>
  <si>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</si>
  <si>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</si>
  <si>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</si>
  <si>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</si>
  <si>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</si>
  <si>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</si>
  <si>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</si>
  <si>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</si>
  <si>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</si>
  <si>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</si>
  <si>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</si>
  <si>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</si>
  <si>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</si>
  <si>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</si>
  <si>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</si>
  <si>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</si>
  <si>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</si>
  <si>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</si>
  <si>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</si>
  <si>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</si>
  <si>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</si>
  <si>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</si>
  <si>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</si>
  <si>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</si>
  <si>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</si>
  <si>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</si>
  <si>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</si>
  <si>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</si>
  <si>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</si>
  <si>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</si>
  <si>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</si>
  <si>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</si>
  <si>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</si>
  <si>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</si>
  <si>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</si>
  <si>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</si>
  <si>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</si>
  <si>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</si>
  <si>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</si>
  <si>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</si>
  <si>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</si>
  <si>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</si>
  <si>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</si>
  <si>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</si>
  <si>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</si>
  <si>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</si>
  <si>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</si>
  <si>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</si>
  <si>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</si>
  <si>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</si>
  <si>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</si>
  <si>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</si>
  <si>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</si>
  <si>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</si>
  <si>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</si>
  <si>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</si>
  <si>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</si>
  <si>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</si>
  <si>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</si>
  <si>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</si>
  <si>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</si>
  <si>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</si>
  <si>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</si>
  <si>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</si>
  <si>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</si>
  <si>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</si>
  <si>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</si>
  <si>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</si>
  <si>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</si>
  <si>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</si>
  <si>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</si>
  <si>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</si>
  <si>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</si>
  <si>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</si>
  <si>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</si>
  <si>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</si>
  <si>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</si>
  <si>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</si>
  <si>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</si>
  <si>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</si>
  <si>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</si>
  <si>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</si>
  <si>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</si>
  <si>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</si>
  <si>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15:40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</si>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</sst>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1038</v>
      </c>
      <c r="C6" s="89"/>
      <c r="E6" s="88">
        <f>'Programa CAJAS REPORTE DIARIO'!CH77</f>
        <v>3075</v>
      </c>
      <c r="F6" s="89"/>
      <c r="H6" s="101">
        <f>B6+E6</f>
        <v>4113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130</v>
      </c>
      <c r="E24" s="72">
        <f>'Programa CAJAS REPORTE DIARIO'!AU77</f>
        <v>600</v>
      </c>
      <c r="F24" s="72">
        <f t="shared" si="0"/>
        <v>730</v>
      </c>
      <c r="G24" s="72">
        <f t="shared" si="1"/>
        <v>4113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1038</v>
      </c>
      <c r="E25" s="75">
        <f>SUM(E11:E24)</f>
        <v>3075</v>
      </c>
      <c r="F25" s="75">
        <f>SUM(F11:F24)</f>
        <v>4113</v>
      </c>
      <c r="G25" s="75">
        <f>F25</f>
        <v>4113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1038</v>
      </c>
      <c r="F3" s="79" t="s">
        <v>1</v>
      </c>
      <c r="I3" s="80">
        <f>'Programa CAJAS REPORTE DIARIO'!CH77+CN79</f>
        <v>4113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130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1038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14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214</v>
      </c>
      <c r="CP27" s="27">
        <f t="shared" si="4"/>
        <v>214</v>
      </c>
      <c r="CQ27" s="22">
        <v>0</v>
      </c>
      <c r="CR27" s="22">
        <f t="shared" si="5"/>
        <v>214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18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131</v>
      </c>
      <c r="CP29" s="27">
        <f t="shared" si="4"/>
        <v>131</v>
      </c>
      <c r="CQ29" s="22">
        <v>0</v>
      </c>
      <c r="CR29" s="22">
        <f t="shared" si="5"/>
        <v>131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40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173</v>
      </c>
      <c r="CP42" s="27">
        <f t="shared" si="4"/>
        <v>173</v>
      </c>
      <c r="CQ42" s="22">
        <v>0</v>
      </c>
      <c r="CR42" s="22">
        <f t="shared" si="5"/>
        <v>173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-173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50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112</v>
      </c>
      <c r="CP56" s="27">
        <f t="shared" si="11"/>
        <v>112</v>
      </c>
      <c r="CQ56" s="22">
        <v>0</v>
      </c>
      <c r="CR56" s="22">
        <f t="shared" si="12"/>
        <v>112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-112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130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1038</v>
      </c>
      <c r="CP79" s="25">
        <f>+SUM(CP14:CP78)</f>
        <v>1038</v>
      </c>
      <c r="CQ79" s="25">
        <f>+SUM(CQ14:CQ78)</f>
        <v>0</v>
      </c>
      <c r="CR79" s="25">
        <f>+SUM(CR14:CR78)</f>
        <v>1038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6228.5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3075</v>
      </c>
      <c r="F3" s="79" t="s">
        <v>1</v>
      </c>
      <c r="I3" s="80">
        <f>'Programa CASETAS REPORTE DIARIO'!CN79+CH77</f>
        <v>4113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600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3075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46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483</v>
      </c>
      <c r="CJ27" s="27">
        <f t="shared" si="3"/>
        <v>483</v>
      </c>
      <c r="CK27" s="22">
        <v>0</v>
      </c>
      <c r="CL27" s="22">
        <f t="shared" si="4"/>
        <v>483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351</v>
      </c>
      <c r="CJ28" s="27">
        <f t="shared" si="3"/>
        <v>351</v>
      </c>
      <c r="CK28" s="22">
        <v>0</v>
      </c>
      <c r="CL28" s="22">
        <f t="shared" si="4"/>
        <v>351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-171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33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138</v>
      </c>
      <c r="CJ29" s="27">
        <f t="shared" si="3"/>
        <v>138</v>
      </c>
      <c r="CK29" s="22">
        <v>0</v>
      </c>
      <c r="CL29" s="22">
        <f t="shared" si="4"/>
        <v>138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1198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116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202</v>
      </c>
      <c r="CJ37" s="27">
        <f t="shared" si="3"/>
        <v>202</v>
      </c>
      <c r="CK37" s="22">
        <v>0</v>
      </c>
      <c r="CL37" s="22">
        <f t="shared" si="4"/>
        <v>202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373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40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99</v>
      </c>
      <c r="CJ41" s="27">
        <f t="shared" si="3"/>
        <v>99</v>
      </c>
      <c r="CK41" s="22">
        <v>0</v>
      </c>
      <c r="CL41" s="22">
        <f t="shared" si="4"/>
        <v>99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481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229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402</v>
      </c>
      <c r="CJ53" s="27">
        <f t="shared" si="11"/>
        <v>402</v>
      </c>
      <c r="CK53" s="22">
        <v>0</v>
      </c>
      <c r="CL53" s="22">
        <f t="shared" si="12"/>
        <v>402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-334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19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102</v>
      </c>
      <c r="CJ55" s="27">
        <f t="shared" si="11"/>
        <v>102</v>
      </c>
      <c r="CK55" s="22">
        <v>0</v>
      </c>
      <c r="CL55" s="22">
        <f t="shared" si="12"/>
        <v>102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-72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2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70</v>
      </c>
      <c r="CJ61" s="27">
        <f t="shared" si="11"/>
        <v>70</v>
      </c>
      <c r="CK61" s="22">
        <v>0</v>
      </c>
      <c r="CL61" s="22">
        <f t="shared" si="12"/>
        <v>70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600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3075</v>
      </c>
      <c r="CJ77" s="25">
        <f>+SUM(CJ14:CJ76)</f>
        <v>3075</v>
      </c>
      <c r="CK77" s="25">
        <f>+SUM(CK14:CK76)</f>
        <v>0</v>
      </c>
      <c r="CL77" s="25">
        <f>+SUM(CL14:CL76)</f>
        <v>3075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8319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2026-10-30T21:40:09Z</dcterms:modified>
</cp:coreProperties>
</file>