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B1DE094-AE7A-4A2D-83BA-C5DC390CAD4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W63" i="2" s="1"/>
  <c r="CN63" i="2"/>
  <c r="CP63" i="2" s="1"/>
  <c r="CR63" i="2" s="1"/>
  <c r="DD62" i="2"/>
  <c r="CU62" i="2"/>
  <c r="CV62" i="2" s="1"/>
  <c r="CW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70" i="2" l="1"/>
  <c r="CW57" i="2"/>
  <c r="CW44" i="2"/>
  <c r="CW67" i="2"/>
  <c r="E23" i="1"/>
  <c r="AT13" i="3"/>
  <c r="E22" i="1"/>
  <c r="AS13" i="3"/>
  <c r="E21" i="1"/>
  <c r="AR13" i="3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59" i="2"/>
  <c r="CO77" i="3"/>
  <c r="CP14" i="3"/>
  <c r="CH77" i="3"/>
  <c r="CJ14" i="3"/>
  <c r="CV30" i="2"/>
  <c r="CU79" i="2"/>
  <c r="CN79" i="2"/>
  <c r="CP17" i="2"/>
  <c r="CW14" i="2"/>
  <c r="CR14" i="2"/>
  <c r="CP79" i="2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5" i="2"/>
  <c r="CW74" i="2"/>
  <c r="CW73" i="2"/>
  <c r="CW72" i="2"/>
  <c r="CW68" i="2"/>
  <c r="CW66" i="2"/>
  <c r="CW65" i="2"/>
  <c r="CW64" i="2"/>
  <c r="CW69" i="2"/>
  <c r="CW60" i="2"/>
  <c r="CW58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W54" i="2"/>
  <c r="F23" i="1" l="1"/>
  <c r="F22" i="1"/>
  <c r="F21" i="1"/>
  <c r="F19" i="1"/>
  <c r="F18" i="1"/>
  <c r="F17" i="1"/>
  <c r="F16" i="1"/>
  <c r="F15" i="1"/>
  <c r="F13" i="1"/>
  <c r="F12" i="1"/>
  <c r="F14" i="1"/>
  <c r="E24" i="1"/>
  <c r="F11" i="1"/>
  <c r="F20" i="1"/>
  <c r="D24" i="1"/>
  <c r="CP77" i="3"/>
  <c r="CQ14" i="3"/>
  <c r="CQ77" i="3" s="1"/>
  <c r="D3" i="3"/>
  <c r="CH13" i="3"/>
  <c r="E6" i="1"/>
  <c r="I3" i="2"/>
  <c r="CJ77" i="3"/>
  <c r="CL14" i="3"/>
  <c r="CL77" i="3" s="1"/>
  <c r="I3" i="3"/>
  <c r="B6" i="1"/>
  <c r="CN13" i="2"/>
  <c r="D3" i="2"/>
  <c r="CW17" i="2"/>
  <c r="CW79" i="2" s="1"/>
  <c r="CR17" i="2"/>
  <c r="CR79" i="2" s="1"/>
  <c r="CW30" i="2"/>
  <c r="CV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<sst xmlns="http://schemas.openxmlformats.org/spreadsheetml/2006/main" count="589" uniqueCount="175">
  <si>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</si>
  <si>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</si>
  <si>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</si>
  <si>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</si>
  <si>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</si>
  <si>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</si>
  <si>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</si>
  <si>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</si>
  <si>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</si>
  <si>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</si>
  <si>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</si>
  <si>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</si>
  <si>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</si>
  <si>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</si>
  <si>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</si>
  <si>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</si>
  <si>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</si>
  <si>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</si>
  <si>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</si>
  <si>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</si>
  <si>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</si>
  <si>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</si>
  <si>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</si>
  <si>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</si>
  <si>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</si>
  <si>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</si>
  <si>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</si>
  <si>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</si>
  <si>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</si>
  <si>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</si>
  <si>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</si>
  <si>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</si>
  <si>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</si>
  <si>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</si>
  <si>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</si>
  <si>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</si>
  <si>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</si>
  <si>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</si>
  <si>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</si>
  <si>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</si>
  <si>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</si>
  <si>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</si>
  <si>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</si>
  <si>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</si>
  <si>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</si>
  <si>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</si>
  <si>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</si>
  <si>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</si>
  <si>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</si>
  <si>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</si>
  <si>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</si>
  <si>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</si>
  <si>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</si>
  <si>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</si>
  <si>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</si>
  <si>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</si>
  <si>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</si>
  <si>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</si>
  <si>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</si>
  <si>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</si>
  <si>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</si>
  <si>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</si>
  <si>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</si>
  <si>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</si>
  <si>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</si>
  <si>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</si>
  <si>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</si>
  <si>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</si>
  <si>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</si>
  <si>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</si>
  <si>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</si>
  <si>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</si>
  <si>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</si>
  <si>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</si>
  <si>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</si>
  <si>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</si>
  <si>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</si>
  <si>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</si>
  <si>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</si>
  <si>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</si>
  <si>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</si>
  <si>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</si>
  <si>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</si>
  <si>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</si>
  <si>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</si>
  <si>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</si>
  <si>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</si>
  <si>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</si>
  <si>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</si>
  <si>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</si>
  <si>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</si>
  <si>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</si>
  <si>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</si>
  <si>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</si>
  <si>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</si>
  <si>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</si>
  <si>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</si>
  <si>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</si>
  <si>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</si>
  <si>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</si>
  <si>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</si>
  <si>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</si>
  <si>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</si>
  <si>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</si>
  <si>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</si>
  <si>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</si>
  <si>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</si>
  <si>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</si>
  <si>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</si>
  <si>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</si>
  <si>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</si>
  <si>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</si>
  <si>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12:11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</si>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</sst>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723</v>
      </c>
      <c r="C6" s="89"/>
      <c r="E6" s="88">
        <f>'Programa CAJAS REPORTE DIARIO'!CH77</f>
        <v>1922</v>
      </c>
      <c r="F6" s="89"/>
      <c r="H6" s="101">
        <f>B6+E6</f>
        <v>2645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64</v>
      </c>
      <c r="E23" s="70">
        <f>'Programa CAJAS REPORTE DIARIO'!AT77</f>
        <v>193</v>
      </c>
      <c r="F23" s="70">
        <f t="shared" si="0"/>
        <v>257</v>
      </c>
      <c r="G23" s="70">
        <f t="shared" si="1"/>
        <v>2645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723</v>
      </c>
      <c r="E24" s="75">
        <f>SUM(E11:E23)</f>
        <v>1922</v>
      </c>
      <c r="F24" s="75">
        <f>SUM(F11:F23)</f>
        <v>2645</v>
      </c>
      <c r="G24" s="75">
        <f>F24</f>
        <v>2645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723</v>
      </c>
      <c r="F3" s="79" t="s">
        <v>1</v>
      </c>
      <c r="I3" s="80">
        <f>'Programa CAJAS REPORTE DIARIO'!CH77+CN79</f>
        <v>2645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64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4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187</v>
      </c>
      <c r="CP27" s="27">
        <f t="shared" si="4"/>
        <v>187</v>
      </c>
      <c r="CQ27" s="22">
        <v>0</v>
      </c>
      <c r="CR27" s="22">
        <f t="shared" si="5"/>
        <v>187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162</v>
      </c>
      <c r="CP28" s="27">
        <f t="shared" si="4"/>
        <v>162</v>
      </c>
      <c r="CQ28" s="22">
        <v>0</v>
      </c>
      <c r="CR28" s="22">
        <f t="shared" si="5"/>
        <v>162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14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100</v>
      </c>
      <c r="CP29" s="27">
        <f t="shared" si="4"/>
        <v>100</v>
      </c>
      <c r="CQ29" s="22">
        <v>0</v>
      </c>
      <c r="CR29" s="22">
        <f t="shared" si="5"/>
        <v>100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71</v>
      </c>
      <c r="CP42" s="27">
        <f t="shared" si="4"/>
        <v>71</v>
      </c>
      <c r="CQ42" s="22">
        <v>0</v>
      </c>
      <c r="CR42" s="22">
        <f t="shared" si="5"/>
        <v>71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64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723</v>
      </c>
      <c r="CP79" s="25">
        <f>+SUM(CP14:CP78)</f>
        <v>723</v>
      </c>
      <c r="CQ79" s="25">
        <f>+SUM(CQ14:CQ78)</f>
        <v>0</v>
      </c>
      <c r="CR79" s="25">
        <f>+SUM(CR14:CR78)</f>
        <v>723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1922</v>
      </c>
      <c r="F3" s="79" t="s">
        <v>1</v>
      </c>
      <c r="I3" s="80">
        <f>'Programa CASETAS REPORTE DIARIO'!CN79+CH77</f>
        <v>2645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193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1922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388</v>
      </c>
      <c r="CJ27" s="27">
        <f t="shared" si="3"/>
        <v>388</v>
      </c>
      <c r="CK27" s="22">
        <v>0</v>
      </c>
      <c r="CL27" s="22">
        <f t="shared" si="4"/>
        <v>388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298</v>
      </c>
      <c r="CJ28" s="27">
        <f t="shared" si="3"/>
        <v>298</v>
      </c>
      <c r="CK28" s="22">
        <v>0</v>
      </c>
      <c r="CL28" s="22">
        <f t="shared" si="4"/>
        <v>298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20</v>
      </c>
      <c r="CJ53" s="27">
        <f t="shared" si="11"/>
        <v>20</v>
      </c>
      <c r="CK53" s="22">
        <v>0</v>
      </c>
      <c r="CL53" s="22">
        <f t="shared" si="12"/>
        <v>20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48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200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55</v>
      </c>
      <c r="CJ61" s="27">
        <f t="shared" si="11"/>
        <v>55</v>
      </c>
      <c r="CK61" s="22">
        <v>0</v>
      </c>
      <c r="CL61" s="22">
        <f t="shared" si="12"/>
        <v>55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193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1922</v>
      </c>
      <c r="CJ77" s="25">
        <f>+SUM(CJ14:CJ76)</f>
        <v>1922</v>
      </c>
      <c r="CK77" s="25">
        <f>+SUM(CK14:CK76)</f>
        <v>0</v>
      </c>
      <c r="CL77" s="25">
        <f>+SUM(CL14:CL76)</f>
        <v>1922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9310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2026-10-29T18:11:07Z</dcterms:modified>
</cp:coreProperties>
</file>