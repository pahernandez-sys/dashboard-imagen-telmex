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38B4CE6-0CB3-4CB9-801B-E1B4BB647CD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Z13" i="3" s="1"/>
  <c r="AY77" i="3"/>
  <c r="AX77" i="3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Q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Y13" i="3"/>
  <c r="AX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W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W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W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42" i="2" l="1"/>
  <c r="CQ36" i="3"/>
  <c r="CW40" i="2"/>
  <c r="CW17" i="2"/>
  <c r="CW26" i="2"/>
  <c r="CQ70" i="3"/>
  <c r="CQ68" i="3"/>
  <c r="CQ66" i="3"/>
  <c r="CQ61" i="3"/>
  <c r="CQ59" i="3"/>
  <c r="CQ58" i="3"/>
  <c r="CQ55" i="3"/>
  <c r="CQ50" i="3"/>
  <c r="CQ46" i="3"/>
  <c r="CQ45" i="3"/>
  <c r="CQ41" i="3"/>
  <c r="CQ40" i="3"/>
  <c r="CQ39" i="3"/>
  <c r="CW15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AI13" i="3"/>
  <c r="E12" i="1"/>
  <c r="AH13" i="3"/>
  <c r="E11" i="1"/>
  <c r="E23" i="1" s="1"/>
  <c r="CQ67" i="3"/>
  <c r="CP14" i="3"/>
  <c r="CO77" i="3"/>
  <c r="CJ14" i="3"/>
  <c r="CH77" i="3"/>
  <c r="AM13" i="2"/>
  <c r="D22" i="1"/>
  <c r="D21" i="1"/>
  <c r="AL13" i="2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D13" i="1"/>
  <c r="AD13" i="2"/>
  <c r="D12" i="1"/>
  <c r="F12" i="1" s="1"/>
  <c r="AC13" i="2"/>
  <c r="D11" i="1"/>
  <c r="AB13" i="2"/>
  <c r="CN79" i="2"/>
  <c r="CP58" i="2"/>
  <c r="CV30" i="2"/>
  <c r="CW30" i="2" s="1"/>
  <c r="CU79" i="2"/>
  <c r="CW14" i="2"/>
  <c r="CV79" i="2"/>
  <c r="CR14" i="2"/>
  <c r="CP79" i="2"/>
  <c r="CQ73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4" i="2"/>
  <c r="CW43" i="2"/>
  <c r="CW41" i="2"/>
  <c r="CW25" i="2"/>
  <c r="CQ76" i="3"/>
  <c r="CQ75" i="3"/>
  <c r="CQ74" i="3"/>
  <c r="CQ72" i="3"/>
  <c r="CQ71" i="3"/>
  <c r="CQ69" i="3"/>
  <c r="CQ64" i="3"/>
  <c r="CQ63" i="3"/>
  <c r="CQ62" i="3"/>
  <c r="CQ57" i="3"/>
  <c r="CQ53" i="3"/>
  <c r="CQ51" i="3"/>
  <c r="CQ48" i="3"/>
  <c r="CQ44" i="3"/>
  <c r="CQ38" i="3"/>
  <c r="CQ37" i="3"/>
  <c r="CQ47" i="3"/>
  <c r="CW22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4" i="2"/>
  <c r="CW19" i="2"/>
  <c r="CW18" i="2"/>
  <c r="CQ65" i="3"/>
  <c r="CQ52" i="3"/>
  <c r="CQ60" i="3"/>
  <c r="CQ56" i="3"/>
  <c r="CQ54" i="3"/>
  <c r="CQ43" i="3"/>
  <c r="CQ42" i="3"/>
  <c r="F22" i="1" l="1"/>
  <c r="F21" i="1"/>
  <c r="F20" i="1"/>
  <c r="F19" i="1"/>
  <c r="F18" i="1"/>
  <c r="F17" i="1"/>
  <c r="F16" i="1"/>
  <c r="F15" i="1"/>
  <c r="F14" i="1"/>
  <c r="F13" i="1"/>
  <c r="CP77" i="3"/>
  <c r="CQ14" i="3"/>
  <c r="CQ77" i="3" s="1"/>
  <c r="CL14" i="3"/>
  <c r="CL77" i="3" s="1"/>
  <c r="CJ77" i="3"/>
  <c r="I3" i="2"/>
  <c r="E6" i="1"/>
  <c r="D3" i="3"/>
  <c r="CH13" i="3"/>
  <c r="F11" i="1"/>
  <c r="D23" i="1"/>
  <c r="B6" i="1"/>
  <c r="I3" i="3"/>
  <c r="D3" i="2"/>
  <c r="CN13" i="2"/>
  <c r="CW58" i="2"/>
  <c r="CR58" i="2"/>
  <c r="CR79" i="2" s="1"/>
  <c r="CW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<sst xmlns="http://schemas.openxmlformats.org/spreadsheetml/2006/main" count="586" uniqueCount="174">
  <si>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</si>
  <si>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</si>
  <si>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</si>
  <si>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</si>
  <si>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</si>
  <si>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</si>
  <si>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</si>
  <si>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</si>
  <si>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</si>
  <si>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</si>
  <si>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</si>
  <si>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</si>
  <si>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</si>
  <si>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</si>
  <si>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</si>
  <si>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</si>
  <si>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</si>
  <si>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</si>
  <si>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</si>
  <si>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</si>
  <si>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</si>
  <si>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</si>
  <si>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</si>
  <si>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</si>
  <si>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</si>
  <si>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</si>
  <si>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</si>
  <si>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</si>
  <si>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</si>
  <si>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</si>
  <si>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</si>
  <si>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</si>
  <si>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</si>
  <si>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</si>
  <si>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</si>
  <si>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</si>
  <si>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</si>
  <si>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</si>
  <si>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</si>
  <si>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</si>
  <si>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</si>
  <si>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</si>
  <si>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</si>
  <si>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</si>
  <si>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</si>
  <si>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</si>
  <si>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</si>
  <si>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</si>
  <si>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</si>
  <si>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</si>
  <si>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</si>
  <si>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</si>
  <si>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</si>
  <si>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</si>
  <si>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</si>
  <si>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</si>
  <si>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</si>
  <si>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</si>
  <si>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</si>
  <si>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</si>
  <si>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</si>
  <si>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</si>
  <si>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</si>
  <si>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</si>
  <si>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</si>
  <si>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</si>
  <si>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</si>
  <si>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</si>
  <si>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</si>
  <si>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</si>
  <si>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</si>
  <si>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</si>
  <si>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</si>
  <si>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</si>
  <si>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</si>
  <si>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</si>
  <si>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</si>
  <si>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</si>
  <si>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</si>
  <si>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</si>
  <si>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</si>
  <si>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</si>
  <si>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</si>
  <si>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</si>
  <si>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</si>
  <si>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</si>
  <si>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</si>
  <si>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</si>
  <si>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</si>
  <si>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</si>
  <si>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</si>
  <si>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</si>
  <si>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</si>
  <si>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</si>
  <si>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</si>
  <si>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</si>
  <si>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</si>
  <si>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</si>
  <si>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</si>
  <si>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</si>
  <si>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</si>
  <si>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</si>
  <si>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</si>
  <si>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</si>
  <si>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</si>
  <si>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</si>
  <si>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</si>
  <si>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</si>
  <si>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</si>
  <si>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</si>
  <si>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</si>
  <si>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</si>
  <si>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13:30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</si>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</sst>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576</v>
      </c>
      <c r="C6" s="89"/>
      <c r="E6" s="88">
        <f>'Programa CAJAS REPORTE DIARIO'!CH77</f>
        <v>1459</v>
      </c>
      <c r="F6" s="89"/>
      <c r="H6" s="101">
        <f>B6+E6</f>
        <v>2035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94</v>
      </c>
      <c r="E22" s="72">
        <f>'Programa CAJAS REPORTE DIARIO'!AS77</f>
        <v>134</v>
      </c>
      <c r="F22" s="72">
        <f t="shared" si="0"/>
        <v>228</v>
      </c>
      <c r="G22" s="72">
        <f t="shared" si="1"/>
        <v>2035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576</v>
      </c>
      <c r="E23" s="75">
        <f>SUM(E11:E22)</f>
        <v>1459</v>
      </c>
      <c r="F23" s="75">
        <f>SUM(F11:F22)</f>
        <v>2035</v>
      </c>
      <c r="G23" s="75">
        <f>F23</f>
        <v>2035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576</v>
      </c>
      <c r="F3" s="79" t="s">
        <v>1</v>
      </c>
      <c r="I3" s="80">
        <f>'Programa CAJAS REPORTE DIARIO'!CH77+CN79</f>
        <v>2035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94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19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169</v>
      </c>
      <c r="CP27" s="27">
        <f t="shared" si="4"/>
        <v>169</v>
      </c>
      <c r="CQ27" s="22">
        <v>0</v>
      </c>
      <c r="CR27" s="22">
        <f t="shared" si="5"/>
        <v>169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23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138</v>
      </c>
      <c r="CP28" s="27">
        <f t="shared" si="4"/>
        <v>138</v>
      </c>
      <c r="CQ28" s="22">
        <v>0</v>
      </c>
      <c r="CR28" s="22">
        <f t="shared" si="5"/>
        <v>138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1239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94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576</v>
      </c>
      <c r="CP79" s="25">
        <f>+SUM(CP14:CP78)</f>
        <v>576</v>
      </c>
      <c r="CQ79" s="25">
        <f>+SUM(CQ14:CQ78)</f>
        <v>0</v>
      </c>
      <c r="CR79" s="25">
        <f>+SUM(CR14:CR78)</f>
        <v>576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4808.5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1459</v>
      </c>
      <c r="F3" s="79" t="s">
        <v>1</v>
      </c>
      <c r="I3" s="80">
        <f>'Programa CASETAS REPORTE DIARIO'!CN79+CH77</f>
        <v>2035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134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1459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20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352</v>
      </c>
      <c r="CJ27" s="27">
        <f t="shared" si="3"/>
        <v>352</v>
      </c>
      <c r="CK27" s="22">
        <v>0</v>
      </c>
      <c r="CL27" s="22">
        <f t="shared" si="4"/>
        <v>352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434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24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236</v>
      </c>
      <c r="CJ28" s="27">
        <f t="shared" si="3"/>
        <v>236</v>
      </c>
      <c r="CK28" s="22">
        <v>0</v>
      </c>
      <c r="CL28" s="22">
        <f t="shared" si="4"/>
        <v>236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-58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8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38</v>
      </c>
      <c r="CJ36" s="27">
        <f t="shared" si="3"/>
        <v>38</v>
      </c>
      <c r="CK36" s="22">
        <v>0</v>
      </c>
      <c r="CL36" s="22">
        <f t="shared" si="4"/>
        <v>38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-38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14</v>
      </c>
      <c r="CJ41" s="27">
        <f t="shared" si="3"/>
        <v>14</v>
      </c>
      <c r="CK41" s="22">
        <v>0</v>
      </c>
      <c r="CL41" s="22">
        <f t="shared" si="4"/>
        <v>14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10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70</v>
      </c>
      <c r="CJ43" s="27">
        <f t="shared" si="3"/>
        <v>70</v>
      </c>
      <c r="CK43" s="22">
        <v>0</v>
      </c>
      <c r="CL43" s="22">
        <f t="shared" si="4"/>
        <v>70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-50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1323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23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66</v>
      </c>
      <c r="CJ55" s="27">
        <f t="shared" si="11"/>
        <v>66</v>
      </c>
      <c r="CK55" s="22">
        <v>0</v>
      </c>
      <c r="CL55" s="22">
        <f t="shared" si="12"/>
        <v>66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8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39</v>
      </c>
      <c r="CJ61" s="27">
        <f t="shared" si="11"/>
        <v>39</v>
      </c>
      <c r="CK61" s="22">
        <v>0</v>
      </c>
      <c r="CL61" s="22">
        <f t="shared" si="12"/>
        <v>39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14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59</v>
      </c>
      <c r="CJ70" s="27">
        <f t="shared" si="11"/>
        <v>59</v>
      </c>
      <c r="CK70" s="22">
        <v>0</v>
      </c>
      <c r="CL70" s="22">
        <f t="shared" si="12"/>
        <v>59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-45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134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1459</v>
      </c>
      <c r="CJ77" s="25">
        <f>+SUM(CJ14:CJ76)</f>
        <v>1459</v>
      </c>
      <c r="CK77" s="25">
        <f>+SUM(CK14:CK76)</f>
        <v>0</v>
      </c>
      <c r="CL77" s="25">
        <f>+SUM(CL14:CL76)</f>
        <v>1459</v>
      </c>
      <c r="CM77" s="25"/>
      <c r="CN77" s="25"/>
      <c r="CO77" s="25">
        <f>+SUM(CO14:CO76)</f>
        <v>8168</v>
      </c>
      <c r="CP77" s="25">
        <f>+SUM(CP14:CP76)</f>
        <v>8168</v>
      </c>
      <c r="CQ77" s="25">
        <f>+SUM(CQ14:CQ76)</f>
        <v>6709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2026-10-28T19:30:20Z</dcterms:modified>
</cp:coreProperties>
</file>