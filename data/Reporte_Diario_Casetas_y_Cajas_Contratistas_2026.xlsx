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C9385B0-8E3D-40B2-BE39-76BB1E077E8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W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37" i="2" l="1"/>
  <c r="CW30" i="2"/>
  <c r="CW32" i="2"/>
  <c r="CW25" i="2"/>
  <c r="CW17" i="2"/>
  <c r="CW51" i="2"/>
  <c r="CW44" i="2"/>
  <c r="CQ74" i="3"/>
  <c r="CW71" i="2"/>
  <c r="CW18" i="2"/>
  <c r="CQ32" i="3"/>
  <c r="CQ28" i="3"/>
  <c r="CQ24" i="3"/>
  <c r="CW76" i="2"/>
  <c r="CW23" i="2"/>
  <c r="CW15" i="2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AO13" i="3"/>
  <c r="E18" i="1"/>
  <c r="F18" i="1" s="1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AJ13" i="3"/>
  <c r="E13" i="1"/>
  <c r="F13" i="1" s="1"/>
  <c r="E12" i="1"/>
  <c r="F12" i="1" s="1"/>
  <c r="AI13" i="3"/>
  <c r="E11" i="1"/>
  <c r="AH13" i="3"/>
  <c r="CO77" i="3"/>
  <c r="CP14" i="3"/>
  <c r="CH77" i="3"/>
  <c r="CJ14" i="3"/>
  <c r="F11" i="1"/>
  <c r="D24" i="1"/>
  <c r="CU79" i="2"/>
  <c r="CV14" i="2"/>
  <c r="CP14" i="2"/>
  <c r="CN79" i="2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7" i="3"/>
  <c r="CQ26" i="3"/>
  <c r="CQ25" i="3"/>
  <c r="CQ22" i="3"/>
  <c r="CQ21" i="3"/>
  <c r="CQ20" i="3"/>
  <c r="CQ16" i="3"/>
  <c r="CW77" i="2"/>
  <c r="CW75" i="2"/>
  <c r="CW74" i="2"/>
  <c r="CW73" i="2"/>
  <c r="CW70" i="2"/>
  <c r="CW69" i="2"/>
  <c r="CW39" i="2"/>
  <c r="CW36" i="2"/>
  <c r="CW34" i="2"/>
  <c r="CW24" i="2"/>
  <c r="CQ23" i="3"/>
  <c r="CQ19" i="3"/>
  <c r="CQ18" i="3"/>
  <c r="CQ17" i="3"/>
  <c r="CQ15" i="3"/>
  <c r="CW53" i="2"/>
  <c r="CW52" i="2"/>
  <c r="CW49" i="2"/>
  <c r="CW46" i="2"/>
  <c r="CW43" i="2"/>
  <c r="CW42" i="2"/>
  <c r="CW41" i="2"/>
  <c r="CW40" i="2"/>
  <c r="CW35" i="2"/>
  <c r="CW33" i="2"/>
  <c r="CW29" i="2"/>
  <c r="CW28" i="2"/>
  <c r="CW27" i="2"/>
  <c r="CW26" i="2"/>
  <c r="CW21" i="2"/>
  <c r="CW20" i="2"/>
  <c r="CW19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4" i="2"/>
  <c r="CW38" i="2"/>
  <c r="CW22" i="2"/>
  <c r="CW16" i="2"/>
  <c r="CQ76" i="3"/>
  <c r="CQ75" i="3"/>
  <c r="CQ14" i="3" l="1"/>
  <c r="CQ77" i="3" s="1"/>
  <c r="CP77" i="3"/>
  <c r="E6" i="1"/>
  <c r="D3" i="3"/>
  <c r="I3" i="2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V79" i="2"/>
  <c r="CW14" i="2"/>
  <c r="CW79" i="2" s="1"/>
  <c r="CP79" i="2"/>
  <c r="CR14" i="2"/>
  <c r="CR79" i="2" s="1"/>
  <c r="B6" i="1"/>
  <c r="I3" i="3"/>
  <c r="D3" i="2"/>
  <c r="CN13" i="2"/>
  <c r="E24" i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<sst xmlns="http://schemas.openxmlformats.org/spreadsheetml/2006/main" count="589" uniqueCount="175">
  <si>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</si>
  <si>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</si>
  <si>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</si>
  <si>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</si>
  <si>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</si>
  <si>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</si>
  <si>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</si>
  <si>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</si>
  <si>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</si>
  <si>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</si>
  <si>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</si>
  <si>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</si>
  <si>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</si>
  <si>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</si>
  <si>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</si>
  <si>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</si>
  <si>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</si>
  <si>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</si>
  <si>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</si>
  <si>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</si>
  <si>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</si>
  <si>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</si>
  <si>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</si>
  <si>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</si>
  <si>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</si>
  <si>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</si>
  <si>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</si>
  <si>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</si>
  <si>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</si>
  <si>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</si>
  <si>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</si>
  <si>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</si>
  <si>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</si>
  <si>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</si>
  <si>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</si>
  <si>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</si>
  <si>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</si>
  <si>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</si>
  <si>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</si>
  <si>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</si>
  <si>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</si>
  <si>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</si>
  <si>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</si>
  <si>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</si>
  <si>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</si>
  <si>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</si>
  <si>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</si>
  <si>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</si>
  <si>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</si>
  <si>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</si>
  <si>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</si>
  <si>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</si>
  <si>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</si>
  <si>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</si>
  <si>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</si>
  <si>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</si>
  <si>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</si>
  <si>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</si>
  <si>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</si>
  <si>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</si>
  <si>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</si>
  <si>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</si>
  <si>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</si>
  <si>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</si>
  <si>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</si>
  <si>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</si>
  <si>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</si>
  <si>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</si>
  <si>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</si>
  <si>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</si>
  <si>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</si>
  <si>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</si>
  <si>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</si>
  <si>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</si>
  <si>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</si>
  <si>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</si>
  <si>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</si>
  <si>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</si>
  <si>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</si>
  <si>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</si>
  <si>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</si>
  <si>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</si>
  <si>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</si>
  <si>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</si>
  <si>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</si>
  <si>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</si>
  <si>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</si>
  <si>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</si>
  <si>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</si>
  <si>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</si>
  <si>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</si>
  <si>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</si>
  <si>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</si>
  <si>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</si>
  <si>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</si>
  <si>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</si>
  <si>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</si>
  <si>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</si>
  <si>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</si>
  <si>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</si>
  <si>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</si>
  <si>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</si>
  <si>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</si>
  <si>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</si>
  <si>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</si>
  <si>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</si>
  <si>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</si>
  <si>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</si>
  <si>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</si>
  <si>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</si>
  <si>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</si>
  <si>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</si>
  <si>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15:36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</si>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</sst>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815</v>
      </c>
      <c r="C6" s="89"/>
      <c r="E6" s="88">
        <f>'Programa CAJAS REPORTE DIARIO'!CH77</f>
        <v>2184</v>
      </c>
      <c r="F6" s="89"/>
      <c r="H6" s="101">
        <f>B6+E6</f>
        <v>2999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156</v>
      </c>
      <c r="E23" s="70">
        <f>'Programa CAJAS REPORTE DIARIO'!AT77</f>
        <v>455</v>
      </c>
      <c r="F23" s="70">
        <f t="shared" si="0"/>
        <v>611</v>
      </c>
      <c r="G23" s="70">
        <f t="shared" si="1"/>
        <v>2999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815</v>
      </c>
      <c r="E24" s="75">
        <f>SUM(E11:E23)</f>
        <v>2184</v>
      </c>
      <c r="F24" s="75">
        <f>SUM(F11:F23)</f>
        <v>2999</v>
      </c>
      <c r="G24" s="75">
        <f>F24</f>
        <v>2999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815</v>
      </c>
      <c r="F3" s="79" t="s">
        <v>1</v>
      </c>
      <c r="I3" s="80">
        <f>'Programa CAJAS REPORTE DIARIO'!CH77+CN79</f>
        <v>2999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156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815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190</v>
      </c>
      <c r="CP27" s="27">
        <f t="shared" si="4"/>
        <v>190</v>
      </c>
      <c r="CQ27" s="22">
        <v>0</v>
      </c>
      <c r="CR27" s="22">
        <f t="shared" si="5"/>
        <v>190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25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170</v>
      </c>
      <c r="CP28" s="27">
        <f t="shared" si="4"/>
        <v>170</v>
      </c>
      <c r="CQ28" s="22">
        <v>0</v>
      </c>
      <c r="CR28" s="22">
        <f t="shared" si="5"/>
        <v>170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20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90</v>
      </c>
      <c r="CP42" s="27">
        <f t="shared" si="4"/>
        <v>90</v>
      </c>
      <c r="CQ42" s="22">
        <v>0</v>
      </c>
      <c r="CR42" s="22">
        <f t="shared" si="5"/>
        <v>90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-90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42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42</v>
      </c>
      <c r="CP56" s="27">
        <f t="shared" si="11"/>
        <v>42</v>
      </c>
      <c r="CQ56" s="22">
        <v>0</v>
      </c>
      <c r="CR56" s="22">
        <f t="shared" si="12"/>
        <v>42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-42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156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815</v>
      </c>
      <c r="CP79" s="25">
        <f>+SUM(CP14:CP78)</f>
        <v>815</v>
      </c>
      <c r="CQ79" s="25">
        <f>+SUM(CQ14:CQ78)</f>
        <v>0</v>
      </c>
      <c r="CR79" s="25">
        <f>+SUM(CR14:CR78)</f>
        <v>815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6451.5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2184</v>
      </c>
      <c r="F3" s="79" t="s">
        <v>1</v>
      </c>
      <c r="I3" s="80">
        <f>'Programa CASETAS REPORTE DIARIO'!CN79+CH77</f>
        <v>2999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455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2184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405</v>
      </c>
      <c r="CJ27" s="27">
        <f t="shared" si="3"/>
        <v>405</v>
      </c>
      <c r="CK27" s="22">
        <v>0</v>
      </c>
      <c r="CL27" s="22">
        <f t="shared" si="4"/>
        <v>405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42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79</v>
      </c>
      <c r="CJ29" s="27">
        <f t="shared" si="3"/>
        <v>79</v>
      </c>
      <c r="CK29" s="22">
        <v>0</v>
      </c>
      <c r="CL29" s="22">
        <f t="shared" si="4"/>
        <v>79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1257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61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154</v>
      </c>
      <c r="CJ35" s="27">
        <f t="shared" si="3"/>
        <v>154</v>
      </c>
      <c r="CK35" s="22">
        <v>0</v>
      </c>
      <c r="CL35" s="22">
        <f t="shared" si="4"/>
        <v>154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42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85</v>
      </c>
      <c r="CJ37" s="27">
        <f t="shared" si="3"/>
        <v>85</v>
      </c>
      <c r="CK37" s="22">
        <v>0</v>
      </c>
      <c r="CL37" s="22">
        <f t="shared" si="4"/>
        <v>85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490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46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272</v>
      </c>
      <c r="CJ46" s="27">
        <f t="shared" ref="CJ46:CJ76" si="11">CH46</f>
        <v>272</v>
      </c>
      <c r="CK46" s="22">
        <v>0</v>
      </c>
      <c r="CL46" s="22">
        <f t="shared" ref="CL46:CL77" si="12">CJ46+CK46</f>
        <v>272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1256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107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112</v>
      </c>
      <c r="CJ53" s="27">
        <f t="shared" si="11"/>
        <v>112</v>
      </c>
      <c r="CK53" s="22">
        <v>0</v>
      </c>
      <c r="CL53" s="22">
        <f t="shared" si="12"/>
        <v>112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-44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17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64</v>
      </c>
      <c r="CJ61" s="27">
        <f t="shared" si="11"/>
        <v>64</v>
      </c>
      <c r="CK61" s="22">
        <v>0</v>
      </c>
      <c r="CL61" s="22">
        <f t="shared" si="12"/>
        <v>64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455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2184</v>
      </c>
      <c r="CJ77" s="25">
        <f>+SUM(CJ14:CJ76)</f>
        <v>2184</v>
      </c>
      <c r="CK77" s="25">
        <f>+SUM(CK14:CK76)</f>
        <v>0</v>
      </c>
      <c r="CL77" s="25">
        <f>+SUM(CL14:CL76)</f>
        <v>2184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9048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2026-10-29T21:36:38Z</dcterms:modified>
</cp:coreProperties>
</file>