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219D767-8641-4CE8-B6C4-DFC99A58A452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Q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W49" i="2" l="1"/>
  <c r="CW45" i="2"/>
  <c r="CW43" i="2"/>
  <c r="CW41" i="2"/>
  <c r="CW40" i="2"/>
  <c r="E20" i="1"/>
  <c r="AQ13" i="3"/>
  <c r="AP13" i="3"/>
  <c r="E19" i="1"/>
  <c r="E18" i="1"/>
  <c r="AO13" i="3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E21" i="1" s="1"/>
  <c r="CP14" i="3"/>
  <c r="CO77" i="3"/>
  <c r="CJ14" i="3"/>
  <c r="CH77" i="3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18" i="2"/>
  <c r="CN79" i="2"/>
  <c r="CV17" i="2"/>
  <c r="CW17" i="2" s="1"/>
  <c r="CU79" i="2"/>
  <c r="CW14" i="2"/>
  <c r="CV79" i="2"/>
  <c r="CR14" i="2"/>
  <c r="CP79" i="2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W48" i="2"/>
  <c r="CW47" i="2"/>
  <c r="CW46" i="2"/>
  <c r="CW44" i="2"/>
  <c r="CW42" i="2"/>
  <c r="CQ14" i="3" l="1"/>
  <c r="CQ77" i="3" s="1"/>
  <c r="CP77" i="3"/>
  <c r="CL14" i="3"/>
  <c r="CL77" i="3" s="1"/>
  <c r="CJ77" i="3"/>
  <c r="I3" i="2"/>
  <c r="D3" i="3"/>
  <c r="E6" i="1"/>
  <c r="CH13" i="3"/>
  <c r="F11" i="1"/>
  <c r="D21" i="1"/>
  <c r="CW18" i="2"/>
  <c r="CW79" i="2" s="1"/>
  <c r="CR18" i="2"/>
  <c r="CR79" i="2" s="1"/>
  <c r="B6" i="1"/>
  <c r="D3" i="2"/>
  <c r="CN13" i="2"/>
  <c r="I3" i="3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<sst xmlns="http://schemas.openxmlformats.org/spreadsheetml/2006/main" count="580" uniqueCount="171">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</sst>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469</v>
      </c>
      <c r="C6" s="89"/>
      <c r="E6" s="88">
        <f>'Programa CAJAS REPORTE DIARIO'!CH77</f>
        <v>1320</v>
      </c>
      <c r="F6" s="89"/>
      <c r="H6" s="101">
        <f>B6+E6</f>
        <v>1789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469</v>
      </c>
      <c r="F3" s="79" t="s">
        <v>1</v>
      </c>
      <c r="I3" s="80">
        <f>'Programa CAJAS REPORTE DIARIO'!CH77+CN79</f>
        <v>1789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125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4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65</v>
      </c>
      <c r="CP29" s="27">
        <f t="shared" si="4"/>
        <v>65</v>
      </c>
      <c r="CQ29" s="22">
        <v>0</v>
      </c>
      <c r="CR29" s="22">
        <f t="shared" si="5"/>
        <v>65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125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469</v>
      </c>
      <c r="CP79" s="25">
        <f>+SUM(CP14:CP78)</f>
        <v>469</v>
      </c>
      <c r="CQ79" s="25">
        <f>+SUM(CQ14:CQ78)</f>
        <v>0</v>
      </c>
      <c r="CR79" s="25">
        <f>+SUM(CR14:CR78)</f>
        <v>469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2663.5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1320</v>
      </c>
      <c r="F3" s="79" t="s">
        <v>1</v>
      </c>
      <c r="I3" s="80">
        <f>'Programa CASETAS REPORTE DIARIO'!CN79+CH77</f>
        <v>1789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461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1320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57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164</v>
      </c>
      <c r="CJ46" s="27">
        <f t="shared" ref="CJ46:CJ76" si="11">CH46</f>
        <v>164</v>
      </c>
      <c r="CK46" s="22">
        <v>0</v>
      </c>
      <c r="CL46" s="22">
        <f t="shared" ref="CL46:CL77" si="12">CJ46+CK46</f>
        <v>164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167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461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1320</v>
      </c>
      <c r="CJ77" s="25">
        <f>+SUM(CJ14:CJ76)</f>
        <v>1320</v>
      </c>
      <c r="CK77" s="25">
        <f>+SUM(CK14:CK76)</f>
        <v>0</v>
      </c>
      <c r="CL77" s="25">
        <f>+SUM(CL14:CL76)</f>
        <v>1320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5667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2026-10-28T02:50:56Z</dcterms:modified>
</cp:coreProperties>
</file>