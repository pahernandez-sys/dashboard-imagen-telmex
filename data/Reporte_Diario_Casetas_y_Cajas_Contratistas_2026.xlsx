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ADB577B-CF29-4FFD-9405-0FC561B14C8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AT13" i="3" l="1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AL13" i="3"/>
  <c r="E15" i="1"/>
  <c r="AJ13" i="3"/>
  <c r="E13" i="1"/>
  <c r="AI13" i="3"/>
  <c r="E12" i="1"/>
  <c r="AH13" i="3"/>
  <c r="E11" i="1"/>
  <c r="CQ19" i="3"/>
  <c r="CW44" i="2"/>
  <c r="F16" i="1"/>
  <c r="F15" i="1"/>
  <c r="F13" i="1"/>
  <c r="F12" i="1"/>
  <c r="CW78" i="2"/>
  <c r="CW76" i="2"/>
  <c r="CW72" i="2"/>
  <c r="CW71" i="2"/>
  <c r="CW70" i="2"/>
  <c r="CW69" i="2"/>
  <c r="CW68" i="2"/>
  <c r="CW67" i="2"/>
  <c r="CW66" i="2"/>
  <c r="CW65" i="2"/>
  <c r="CW63" i="2"/>
  <c r="CW60" i="2"/>
  <c r="CW59" i="2"/>
  <c r="CW58" i="2"/>
  <c r="CW57" i="2"/>
  <c r="CW56" i="2"/>
  <c r="CW55" i="2"/>
  <c r="CW54" i="2"/>
  <c r="CW51" i="2"/>
  <c r="CW50" i="2"/>
  <c r="CW49" i="2"/>
  <c r="CW46" i="2"/>
  <c r="CW45" i="2"/>
  <c r="CW43" i="2"/>
  <c r="AK13" i="3"/>
  <c r="E14" i="1"/>
  <c r="CO77" i="3"/>
  <c r="CP14" i="3"/>
  <c r="CH77" i="3"/>
  <c r="CJ14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W64" i="2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5" i="2"/>
  <c r="CW74" i="2"/>
  <c r="CW73" i="2"/>
  <c r="CW52" i="2"/>
  <c r="CW47" i="2"/>
  <c r="CW77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W62" i="2"/>
  <c r="CW61" i="2"/>
  <c r="CW53" i="2"/>
  <c r="CW48" i="2"/>
  <c r="F14" i="1" l="1"/>
  <c r="E24" i="1"/>
  <c r="CQ14" i="3"/>
  <c r="CQ77" i="3" s="1"/>
  <c r="CP77" i="3"/>
  <c r="D3" i="3"/>
  <c r="CH13" i="3"/>
  <c r="I3" i="2"/>
  <c r="E6" i="1"/>
  <c r="CL14" i="3"/>
  <c r="CL77" i="3" s="1"/>
  <c r="CJ77" i="3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B6" i="1"/>
  <c r="CN13" i="2"/>
  <c r="D3" i="2"/>
  <c r="I3" i="3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<sst xmlns="http://schemas.openxmlformats.org/spreadsheetml/2006/main" count="589" uniqueCount="175">
  <si>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</si>
  <si>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</si>
  <si>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</si>
  <si>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</si>
  <si>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</si>
  <si>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</si>
  <si>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</si>
  <si>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</si>
  <si>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</si>
  <si>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</si>
  <si>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</si>
  <si>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</si>
  <si>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</si>
  <si>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</si>
  <si>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</si>
  <si>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</si>
  <si>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</si>
  <si>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</si>
  <si>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</si>
  <si>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</si>
  <si>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</si>
  <si>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</si>
  <si>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</si>
  <si>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</si>
  <si>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</si>
  <si>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</si>
  <si>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</si>
  <si>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</si>
  <si>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</si>
  <si>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</si>
  <si>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</si>
  <si>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</si>
  <si>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</si>
  <si>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</si>
  <si>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</si>
  <si>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</si>
  <si>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</si>
  <si>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</si>
  <si>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</si>
  <si>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</si>
  <si>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</si>
  <si>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</si>
  <si>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</si>
  <si>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</si>
  <si>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</si>
  <si>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</si>
  <si>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</si>
  <si>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</si>
  <si>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</si>
  <si>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</si>
  <si>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</si>
  <si>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</si>
  <si>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</si>
  <si>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</si>
  <si>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</si>
  <si>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</si>
  <si>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</si>
  <si>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</si>
  <si>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</si>
  <si>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</si>
  <si>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</si>
  <si>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</si>
  <si>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</si>
  <si>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</si>
  <si>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</si>
  <si>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</si>
  <si>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</si>
  <si>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</si>
  <si>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</si>
  <si>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</si>
  <si>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</si>
  <si>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</si>
  <si>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</si>
  <si>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</si>
  <si>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</si>
  <si>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</si>
  <si>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</si>
  <si>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</si>
  <si>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</si>
  <si>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</si>
  <si>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</si>
  <si>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</si>
  <si>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</si>
  <si>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</si>
  <si>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</si>
  <si>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</si>
  <si>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</si>
  <si>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</si>
  <si>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</si>
  <si>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</si>
  <si>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</si>
  <si>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</si>
  <si>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</si>
  <si>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</si>
  <si>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</si>
  <si>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</si>
  <si>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</si>
  <si>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</si>
  <si>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</si>
  <si>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</si>
  <si>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</si>
  <si>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</si>
  <si>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</si>
  <si>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</si>
  <si>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</si>
  <si>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</si>
  <si>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</si>
  <si>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</si>
  <si>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</si>
  <si>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</si>
  <si>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</si>
  <si>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</si>
  <si>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11:27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</si>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</sst>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704</v>
      </c>
      <c r="C6" s="89"/>
      <c r="E6" s="88">
        <f>'Programa CAJAS REPORTE DIARIO'!CH77</f>
        <v>1874</v>
      </c>
      <c r="F6" s="89"/>
      <c r="H6" s="101">
        <f>B6+E6</f>
        <v>2578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45</v>
      </c>
      <c r="E23" s="70">
        <f>'Programa CAJAS REPORTE DIARIO'!AT77</f>
        <v>145</v>
      </c>
      <c r="F23" s="70">
        <f t="shared" si="0"/>
        <v>190</v>
      </c>
      <c r="G23" s="70">
        <f t="shared" si="1"/>
        <v>2578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704</v>
      </c>
      <c r="E24" s="75">
        <f>SUM(E11:E23)</f>
        <v>1874</v>
      </c>
      <c r="F24" s="75">
        <f>SUM(F11:F23)</f>
        <v>2578</v>
      </c>
      <c r="G24" s="75">
        <f>F24</f>
        <v>2578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704</v>
      </c>
      <c r="F3" s="79" t="s">
        <v>1</v>
      </c>
      <c r="I3" s="80">
        <f>'Programa CAJAS REPORTE DIARIO'!CH77+CN79</f>
        <v>2578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45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704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2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185</v>
      </c>
      <c r="CP27" s="27">
        <f t="shared" si="4"/>
        <v>185</v>
      </c>
      <c r="CQ27" s="22">
        <v>0</v>
      </c>
      <c r="CR27" s="22">
        <f t="shared" si="5"/>
        <v>185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157</v>
      </c>
      <c r="CP28" s="27">
        <f t="shared" si="4"/>
        <v>157</v>
      </c>
      <c r="CQ28" s="22">
        <v>0</v>
      </c>
      <c r="CR28" s="22">
        <f t="shared" si="5"/>
        <v>157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8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94</v>
      </c>
      <c r="CP29" s="27">
        <f t="shared" si="4"/>
        <v>94</v>
      </c>
      <c r="CQ29" s="22">
        <v>0</v>
      </c>
      <c r="CR29" s="22">
        <f t="shared" si="5"/>
        <v>94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19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19</v>
      </c>
      <c r="CP56" s="27">
        <f t="shared" si="11"/>
        <v>19</v>
      </c>
      <c r="CQ56" s="22">
        <v>0</v>
      </c>
      <c r="CR56" s="22">
        <f t="shared" si="12"/>
        <v>19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45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704</v>
      </c>
      <c r="CP79" s="25">
        <f>+SUM(CP14:CP78)</f>
        <v>704</v>
      </c>
      <c r="CQ79" s="25">
        <f>+SUM(CQ14:CQ78)</f>
        <v>0</v>
      </c>
      <c r="CR79" s="25">
        <f>+SUM(CR14:CR78)</f>
        <v>704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6562.5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1874</v>
      </c>
      <c r="F3" s="79" t="s">
        <v>1</v>
      </c>
      <c r="I3" s="80">
        <f>'Programa CASETAS REPORTE DIARIO'!CN79+CH77</f>
        <v>2578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145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1874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381</v>
      </c>
      <c r="CJ27" s="27">
        <f t="shared" si="3"/>
        <v>381</v>
      </c>
      <c r="CK27" s="22">
        <v>0</v>
      </c>
      <c r="CL27" s="22">
        <f t="shared" si="4"/>
        <v>381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10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290</v>
      </c>
      <c r="CJ28" s="27">
        <f t="shared" si="3"/>
        <v>290</v>
      </c>
      <c r="CK28" s="22">
        <v>0</v>
      </c>
      <c r="CL28" s="22">
        <f t="shared" si="4"/>
        <v>290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20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127</v>
      </c>
      <c r="CJ43" s="27">
        <f t="shared" si="3"/>
        <v>127</v>
      </c>
      <c r="CK43" s="22">
        <v>0</v>
      </c>
      <c r="CL43" s="22">
        <f t="shared" si="4"/>
        <v>127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265</v>
      </c>
      <c r="CJ46" s="27">
        <f t="shared" ref="CJ46:CJ76" si="11">CH46</f>
        <v>265</v>
      </c>
      <c r="CK46" s="22">
        <v>0</v>
      </c>
      <c r="CL46" s="22">
        <f t="shared" ref="CL46:CL77" si="12">CJ46+CK46</f>
        <v>265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1239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4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9</v>
      </c>
      <c r="CJ53" s="27">
        <f t="shared" si="11"/>
        <v>9</v>
      </c>
      <c r="CK53" s="22">
        <v>0</v>
      </c>
      <c r="CL53" s="22">
        <f t="shared" si="12"/>
        <v>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59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6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53</v>
      </c>
      <c r="CJ61" s="27">
        <f t="shared" si="11"/>
        <v>53</v>
      </c>
      <c r="CK61" s="22">
        <v>0</v>
      </c>
      <c r="CL61" s="22">
        <f t="shared" si="12"/>
        <v>53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145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1874</v>
      </c>
      <c r="CJ77" s="25">
        <f>+SUM(CJ14:CJ76)</f>
        <v>1874</v>
      </c>
      <c r="CK77" s="25">
        <f>+SUM(CK14:CK76)</f>
        <v>0</v>
      </c>
      <c r="CL77" s="25">
        <f>+SUM(CL14:CL76)</f>
        <v>1874</v>
      </c>
      <c r="CM77" s="25"/>
      <c r="CN77" s="25"/>
      <c r="CO77" s="25">
        <f>+SUM(CO14:CO76)</f>
        <v>10887</v>
      </c>
      <c r="CP77" s="25">
        <f>+SUM(CP14:CP76)</f>
        <v>10887</v>
      </c>
      <c r="CQ77" s="25">
        <f>+SUM(CQ14:CQ76)</f>
        <v>9013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2026-10-29T17:27:39Z</dcterms:modified>
</cp:coreProperties>
</file>