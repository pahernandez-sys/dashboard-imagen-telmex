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3268D72-5BCC-4AE4-8FAA-B6BB90744CDC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Q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W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9" i="3" l="1"/>
  <c r="CW57" i="2"/>
  <c r="CW51" i="2"/>
  <c r="CW49" i="2"/>
  <c r="CW30" i="2"/>
  <c r="CW37" i="2"/>
  <c r="CQ61" i="3"/>
  <c r="CQ59" i="3"/>
  <c r="CQ56" i="3"/>
  <c r="CQ55" i="3"/>
  <c r="CQ54" i="3"/>
  <c r="CQ53" i="3"/>
  <c r="CQ52" i="3"/>
  <c r="CQ64" i="3"/>
  <c r="CQ48" i="3"/>
  <c r="CQ24" i="3"/>
  <c r="CW72" i="2"/>
  <c r="CW47" i="2"/>
  <c r="CW45" i="2"/>
  <c r="CW36" i="2"/>
  <c r="CW56" i="2"/>
  <c r="CW33" i="2"/>
  <c r="CW74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4" i="1" s="1"/>
  <c r="AH13" i="3"/>
  <c r="CW71" i="2"/>
  <c r="CW44" i="2"/>
  <c r="CO77" i="3"/>
  <c r="CP14" i="3"/>
  <c r="CH77" i="3"/>
  <c r="CJ14" i="3"/>
  <c r="D24" i="1"/>
  <c r="F11" i="1"/>
  <c r="CV14" i="2"/>
  <c r="CU79" i="2"/>
  <c r="CP14" i="2"/>
  <c r="CN79" i="2"/>
  <c r="CQ35" i="3"/>
  <c r="CQ34" i="3"/>
  <c r="CQ33" i="3"/>
  <c r="CQ32" i="3"/>
  <c r="CQ31" i="3"/>
  <c r="CQ30" i="3"/>
  <c r="CQ29" i="3"/>
  <c r="CQ28" i="3"/>
  <c r="CQ27" i="3"/>
  <c r="CQ26" i="3"/>
  <c r="CQ25" i="3"/>
  <c r="CQ23" i="3"/>
  <c r="CQ22" i="3"/>
  <c r="CQ21" i="3"/>
  <c r="CQ20" i="3"/>
  <c r="CQ19" i="3"/>
  <c r="CQ18" i="3"/>
  <c r="CQ17" i="3"/>
  <c r="CQ16" i="3"/>
  <c r="CQ15" i="3"/>
  <c r="CQ39" i="3"/>
  <c r="CW70" i="2"/>
  <c r="CW68" i="2"/>
  <c r="CW58" i="2"/>
  <c r="CW55" i="2"/>
  <c r="CW54" i="2"/>
  <c r="CW53" i="2"/>
  <c r="CW52" i="2"/>
  <c r="CW43" i="2"/>
  <c r="CW42" i="2"/>
  <c r="CW41" i="2"/>
  <c r="CW32" i="2"/>
  <c r="CQ57" i="3"/>
  <c r="CQ51" i="3"/>
  <c r="CQ50" i="3"/>
  <c r="CQ47" i="3"/>
  <c r="CQ45" i="3"/>
  <c r="CQ44" i="3"/>
  <c r="CQ38" i="3"/>
  <c r="CQ36" i="3"/>
  <c r="CW78" i="2"/>
  <c r="CW77" i="2"/>
  <c r="CW76" i="2"/>
  <c r="CW75" i="2"/>
  <c r="CW73" i="2"/>
  <c r="CW69" i="2"/>
  <c r="CW66" i="2"/>
  <c r="CW65" i="2"/>
  <c r="CW64" i="2"/>
  <c r="CW63" i="2"/>
  <c r="CW62" i="2"/>
  <c r="CW61" i="2"/>
  <c r="CW60" i="2"/>
  <c r="CW50" i="2"/>
  <c r="CW46" i="2"/>
  <c r="CW40" i="2"/>
  <c r="CW39" i="2"/>
  <c r="CW38" i="2"/>
  <c r="CW34" i="2"/>
  <c r="CQ58" i="3"/>
  <c r="CQ43" i="3"/>
  <c r="CQ37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2" i="3"/>
  <c r="CQ60" i="3"/>
  <c r="CQ46" i="3"/>
  <c r="CQ41" i="3"/>
  <c r="CQ40" i="3"/>
  <c r="CQ42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<sst xmlns="http://schemas.openxmlformats.org/spreadsheetml/2006/main" count="589" uniqueCount="175">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</sst>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2472</v>
      </c>
      <c r="F6" s="89"/>
      <c r="H6" s="101">
        <f>B6+E6</f>
        <v>3380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743</v>
      </c>
      <c r="F23" s="70">
        <f t="shared" si="0"/>
        <v>992</v>
      </c>
      <c r="G23" s="70">
        <f t="shared" si="1"/>
        <v>3380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2472</v>
      </c>
      <c r="F24" s="75">
        <f>SUM(F11:F23)</f>
        <v>3380</v>
      </c>
      <c r="G24" s="75">
        <f>F24</f>
        <v>3380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2472</v>
      </c>
      <c r="F3" s="79" t="s">
        <v>1</v>
      </c>
      <c r="I3" s="80">
        <f>'Programa CASETAS REPORTE DIARIO'!CN79+CH77</f>
        <v>3380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12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56</v>
      </c>
      <c r="CJ41" s="27">
        <f t="shared" si="3"/>
        <v>56</v>
      </c>
      <c r="CK41" s="22">
        <v>0</v>
      </c>
      <c r="CL41" s="22">
        <f t="shared" si="4"/>
        <v>56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424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2472</v>
      </c>
      <c r="CJ77" s="25">
        <f>+SUM(CJ14:CJ76)</f>
        <v>2472</v>
      </c>
      <c r="CK77" s="25">
        <f>+SUM(CK14:CK76)</f>
        <v>0</v>
      </c>
      <c r="CL77" s="25">
        <f>+SUM(CL14:CL76)</f>
        <v>2472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8760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2026-10-30T03:21:08Z</dcterms:modified>
</cp:coreProperties>
</file>