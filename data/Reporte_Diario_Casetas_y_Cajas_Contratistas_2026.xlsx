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904F77E-2911-4070-BEC0-B3C064455C3C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Q51" i="3" l="1"/>
  <c r="CQ64" i="3"/>
  <c r="CQ59" i="3"/>
  <c r="CQ52" i="3"/>
  <c r="CQ47" i="3"/>
  <c r="CQ34" i="3"/>
  <c r="CQ30" i="3"/>
  <c r="CQ29" i="3"/>
  <c r="CQ28" i="3"/>
  <c r="CQ27" i="3"/>
  <c r="CQ26" i="3"/>
  <c r="CQ20" i="3"/>
  <c r="CQ19" i="3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AM13" i="3"/>
  <c r="E16" i="1"/>
  <c r="F16" i="1" s="1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3" i="1" s="1"/>
  <c r="AH13" i="3"/>
  <c r="CO77" i="3"/>
  <c r="CP14" i="3"/>
  <c r="CH77" i="3"/>
  <c r="CJ14" i="3"/>
  <c r="F11" i="1"/>
  <c r="D23" i="1"/>
  <c r="CU79" i="2"/>
  <c r="CV14" i="2"/>
  <c r="CN79" i="2"/>
  <c r="CP14" i="2"/>
  <c r="CQ76" i="3"/>
  <c r="CQ75" i="3"/>
  <c r="CQ74" i="3"/>
  <c r="CQ73" i="3"/>
  <c r="CQ72" i="3"/>
  <c r="CQ69" i="3"/>
  <c r="CQ68" i="3"/>
  <c r="CQ67" i="3"/>
  <c r="CQ66" i="3"/>
  <c r="CQ65" i="3"/>
  <c r="CQ62" i="3"/>
  <c r="CQ55" i="3"/>
  <c r="CQ54" i="3"/>
  <c r="CQ49" i="3"/>
  <c r="CQ45" i="3"/>
  <c r="CQ44" i="3"/>
  <c r="CQ40" i="3"/>
  <c r="CQ32" i="3"/>
  <c r="CQ15" i="3"/>
  <c r="CQ25" i="3"/>
  <c r="CQ24" i="3"/>
  <c r="CQ23" i="3"/>
  <c r="CQ22" i="3"/>
  <c r="CQ21" i="3"/>
  <c r="CQ17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Q41" i="3"/>
  <c r="CQ39" i="3"/>
  <c r="CQ38" i="3"/>
  <c r="CQ37" i="3"/>
  <c r="CQ36" i="3"/>
  <c r="CQ35" i="3"/>
  <c r="CQ33" i="3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1" i="3"/>
  <c r="CQ70" i="3"/>
  <c r="CQ63" i="3"/>
  <c r="CQ61" i="3"/>
  <c r="CQ60" i="3"/>
  <c r="CQ58" i="3"/>
  <c r="CQ56" i="3"/>
  <c r="CQ53" i="3"/>
  <c r="CQ50" i="3"/>
  <c r="CQ48" i="3"/>
  <c r="CQ43" i="3"/>
  <c r="CQ42" i="3"/>
  <c r="CQ31" i="3"/>
  <c r="CQ57" i="3"/>
  <c r="CQ46" i="3"/>
  <c r="CQ18" i="3"/>
  <c r="CQ16" i="3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V79" i="2"/>
  <c r="CW14" i="2"/>
  <c r="CW79" i="2" s="1"/>
  <c r="B6" i="1"/>
  <c r="I3" i="3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<sst xmlns="http://schemas.openxmlformats.org/spreadsheetml/2006/main" count="586" uniqueCount="174">
  <si>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</si>
  <si>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</si>
  <si>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</si>
  <si>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</si>
  <si>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</si>
  <si>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</si>
  <si>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</si>
  <si>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</si>
  <si>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</si>
  <si>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</si>
  <si>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</si>
  <si>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</si>
  <si>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</si>
  <si>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</si>
  <si>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</si>
  <si>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</si>
  <si>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</si>
  <si>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</si>
  <si>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</si>
  <si>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</si>
  <si>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</si>
  <si>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</si>
  <si>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</si>
  <si>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</si>
  <si>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</si>
  <si>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</si>
  <si>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</si>
  <si>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</si>
  <si>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</si>
  <si>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</si>
  <si>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</si>
  <si>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</si>
  <si>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</si>
  <si>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</si>
  <si>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</si>
  <si>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</si>
  <si>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</si>
  <si>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</si>
  <si>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</si>
  <si>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</si>
  <si>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</si>
  <si>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</si>
  <si>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</si>
  <si>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</si>
  <si>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</si>
  <si>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</si>
  <si>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</si>
  <si>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</si>
  <si>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</si>
  <si>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</si>
  <si>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</si>
  <si>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</si>
  <si>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</si>
  <si>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</si>
  <si>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</si>
  <si>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</si>
  <si>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</si>
  <si>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</si>
  <si>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</si>
  <si>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</si>
  <si>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</si>
  <si>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</si>
  <si>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</si>
  <si>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</si>
  <si>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</si>
  <si>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</si>
  <si>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</si>
  <si>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</si>
  <si>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</si>
  <si>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</si>
  <si>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</si>
  <si>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</si>
  <si>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</si>
  <si>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</si>
  <si>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</si>
  <si>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</si>
  <si>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</si>
  <si>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</si>
  <si>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</si>
  <si>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</si>
  <si>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</si>
  <si>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</si>
  <si>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</si>
  <si>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</si>
  <si>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</si>
  <si>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</si>
  <si>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</si>
  <si>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</si>
  <si>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</si>
  <si>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</si>
  <si>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</si>
  <si>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</si>
  <si>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</si>
  <si>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</si>
  <si>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</si>
  <si>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</si>
  <si>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</si>
  <si>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</si>
  <si>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</si>
  <si>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</si>
  <si>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</si>
  <si>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</si>
  <si>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</si>
  <si>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</si>
  <si>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</si>
  <si>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</si>
  <si>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</si>
  <si>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</si>
  <si>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</si>
  <si>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</si>
  <si>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</si>
  <si>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</si>
  <si>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12:05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</si>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</sst>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558</v>
      </c>
      <c r="C6" s="89"/>
      <c r="E6" s="88">
        <f>'Programa CAJAS REPORTE DIARIO'!CH77</f>
        <v>1391</v>
      </c>
      <c r="F6" s="89"/>
      <c r="H6" s="101">
        <f>B6+E6</f>
        <v>1949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76</v>
      </c>
      <c r="E22" s="72">
        <f>'Programa CAJAS REPORTE DIARIO'!AS77</f>
        <v>66</v>
      </c>
      <c r="F22" s="72">
        <f t="shared" si="0"/>
        <v>142</v>
      </c>
      <c r="G22" s="72">
        <f t="shared" si="1"/>
        <v>1949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558</v>
      </c>
      <c r="E23" s="75">
        <f>SUM(E11:E22)</f>
        <v>1391</v>
      </c>
      <c r="F23" s="75">
        <f>SUM(F11:F22)</f>
        <v>1949</v>
      </c>
      <c r="G23" s="75">
        <f>F23</f>
        <v>1949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558</v>
      </c>
      <c r="F3" s="79" t="s">
        <v>1</v>
      </c>
      <c r="I3" s="80">
        <f>'Programa CAJAS REPORTE DIARIO'!CH77+CN79</f>
        <v>1949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76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558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13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163</v>
      </c>
      <c r="CP27" s="27">
        <f t="shared" si="4"/>
        <v>163</v>
      </c>
      <c r="CQ27" s="22">
        <v>0</v>
      </c>
      <c r="CR27" s="22">
        <f t="shared" si="5"/>
        <v>163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207.5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16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131</v>
      </c>
      <c r="CP28" s="27">
        <f t="shared" si="4"/>
        <v>131</v>
      </c>
      <c r="CQ28" s="22">
        <v>0</v>
      </c>
      <c r="CR28" s="22">
        <f t="shared" si="5"/>
        <v>131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1246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2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16</v>
      </c>
      <c r="CP36" s="27">
        <f t="shared" si="4"/>
        <v>16</v>
      </c>
      <c r="CQ36" s="22">
        <v>0</v>
      </c>
      <c r="CR36" s="22">
        <f t="shared" si="5"/>
        <v>16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-16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76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558</v>
      </c>
      <c r="CP79" s="25">
        <f>+SUM(CP14:CP78)</f>
        <v>558</v>
      </c>
      <c r="CQ79" s="25">
        <f>+SUM(CQ14:CQ78)</f>
        <v>0</v>
      </c>
      <c r="CR79" s="25">
        <f>+SUM(CR14:CR78)</f>
        <v>558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2574.5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1391</v>
      </c>
      <c r="F3" s="79" t="s">
        <v>1</v>
      </c>
      <c r="I3" s="80">
        <f>'Programa CASETAS REPORTE DIARIO'!CN79+CH77</f>
        <v>1949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66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1391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8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340</v>
      </c>
      <c r="CJ27" s="27">
        <f t="shared" si="3"/>
        <v>340</v>
      </c>
      <c r="CK27" s="22">
        <v>0</v>
      </c>
      <c r="CL27" s="22">
        <f t="shared" si="4"/>
        <v>340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222</v>
      </c>
      <c r="CJ28" s="27">
        <f t="shared" si="3"/>
        <v>222</v>
      </c>
      <c r="CK28" s="22">
        <v>0</v>
      </c>
      <c r="CL28" s="22">
        <f t="shared" si="4"/>
        <v>222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33</v>
      </c>
      <c r="CJ36" s="27">
        <f t="shared" si="3"/>
        <v>33</v>
      </c>
      <c r="CK36" s="22">
        <v>0</v>
      </c>
      <c r="CL36" s="22">
        <f t="shared" si="4"/>
        <v>33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6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66</v>
      </c>
      <c r="CJ43" s="27">
        <f t="shared" si="3"/>
        <v>66</v>
      </c>
      <c r="CK43" s="22">
        <v>0</v>
      </c>
      <c r="CL43" s="22">
        <f t="shared" si="4"/>
        <v>66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-46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8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177</v>
      </c>
      <c r="CJ46" s="27">
        <f t="shared" ref="CJ46:CJ76" si="11">CH46</f>
        <v>177</v>
      </c>
      <c r="CK46" s="22">
        <v>0</v>
      </c>
      <c r="CL46" s="22">
        <f t="shared" ref="CL46:CL77" si="12">CJ46+CK46</f>
        <v>177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10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53</v>
      </c>
      <c r="CJ55" s="27">
        <f t="shared" si="11"/>
        <v>53</v>
      </c>
      <c r="CK55" s="22">
        <v>0</v>
      </c>
      <c r="CL55" s="22">
        <f t="shared" si="12"/>
        <v>53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36</v>
      </c>
      <c r="CJ61" s="27">
        <f t="shared" si="11"/>
        <v>36</v>
      </c>
      <c r="CK61" s="22">
        <v>0</v>
      </c>
      <c r="CL61" s="22">
        <f t="shared" si="12"/>
        <v>36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66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1391</v>
      </c>
      <c r="CJ77" s="25">
        <f>+SUM(CJ14:CJ76)</f>
        <v>1391</v>
      </c>
      <c r="CK77" s="25">
        <f>+SUM(CK14:CK76)</f>
        <v>0</v>
      </c>
      <c r="CL77" s="25">
        <f>+SUM(CL14:CL76)</f>
        <v>1391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5596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2026-10-28T18:05:26Z</dcterms:modified>
</cp:coreProperties>
</file>