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BC4C598-E2E8-442E-8405-B7A82B9E927F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L13" i="3" s="1"/>
  <c r="AK77" i="3"/>
  <c r="AK13" i="3" s="1"/>
  <c r="AJ77" i="3"/>
  <c r="AJ13" i="3" s="1"/>
  <c r="AI77" i="3"/>
  <c r="AI13" i="3" s="1"/>
  <c r="AH77" i="3"/>
  <c r="AH13" i="3" s="1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Q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E15" i="1"/>
  <c r="E14" i="1"/>
  <c r="E13" i="1"/>
  <c r="E12" i="1"/>
  <c r="E11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 s="1"/>
  <c r="CV77" i="2" s="1"/>
  <c r="CW77" i="2" s="1"/>
  <c r="CN77" i="2"/>
  <c r="CP77" i="2" s="1"/>
  <c r="CR77" i="2" s="1"/>
  <c r="DD76" i="2"/>
  <c r="CU76" i="2" s="1"/>
  <c r="CV76" i="2" s="1"/>
  <c r="CW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W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W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W56" i="2" l="1"/>
  <c r="CW54" i="2"/>
  <c r="CW71" i="2"/>
  <c r="CW68" i="2"/>
  <c r="CW73" i="2"/>
  <c r="CW55" i="2"/>
  <c r="AM13" i="3"/>
  <c r="E16" i="1"/>
  <c r="CW74" i="2"/>
  <c r="CW70" i="2"/>
  <c r="CQ66" i="3"/>
  <c r="CQ63" i="3"/>
  <c r="CQ61" i="3"/>
  <c r="CQ54" i="3"/>
  <c r="CQ53" i="3"/>
  <c r="CQ51" i="3"/>
  <c r="CQ38" i="3"/>
  <c r="CQ37" i="3"/>
  <c r="CQ36" i="3"/>
  <c r="CW64" i="2"/>
  <c r="CQ25" i="3"/>
  <c r="CQ21" i="3"/>
  <c r="CW62" i="2"/>
  <c r="CW52" i="2"/>
  <c r="CW18" i="2"/>
  <c r="CW17" i="2"/>
  <c r="AR13" i="3"/>
  <c r="E21" i="1"/>
  <c r="AQ13" i="3"/>
  <c r="E20" i="1"/>
  <c r="AP13" i="3"/>
  <c r="E19" i="1"/>
  <c r="AO13" i="3"/>
  <c r="E18" i="1"/>
  <c r="AN13" i="3"/>
  <c r="E17" i="1"/>
  <c r="AS13" i="3"/>
  <c r="E22" i="1"/>
  <c r="CO77" i="3"/>
  <c r="CP14" i="3"/>
  <c r="CH77" i="3"/>
  <c r="CJ14" i="3"/>
  <c r="D22" i="1"/>
  <c r="F22" i="1" s="1"/>
  <c r="AM13" i="2"/>
  <c r="D21" i="1"/>
  <c r="AL13" i="2"/>
  <c r="AK13" i="2"/>
  <c r="D20" i="1"/>
  <c r="D19" i="1"/>
  <c r="AJ13" i="2"/>
  <c r="D18" i="1"/>
  <c r="AI13" i="2"/>
  <c r="AH13" i="2"/>
  <c r="D17" i="1"/>
  <c r="AG13" i="2"/>
  <c r="D16" i="1"/>
  <c r="F16" i="1" s="1"/>
  <c r="AF13" i="2"/>
  <c r="D15" i="1"/>
  <c r="F15" i="1" s="1"/>
  <c r="AE13" i="2"/>
  <c r="D14" i="1"/>
  <c r="F14" i="1" s="1"/>
  <c r="D13" i="1"/>
  <c r="F13" i="1" s="1"/>
  <c r="AD13" i="2"/>
  <c r="AC13" i="2"/>
  <c r="D12" i="1"/>
  <c r="F12" i="1" s="1"/>
  <c r="AB13" i="2"/>
  <c r="D11" i="1"/>
  <c r="CP30" i="2"/>
  <c r="CN79" i="2"/>
  <c r="CV22" i="2"/>
  <c r="CW22" i="2" s="1"/>
  <c r="CU79" i="2"/>
  <c r="CW14" i="2"/>
  <c r="CV79" i="2"/>
  <c r="CR14" i="2"/>
  <c r="CP79" i="2"/>
  <c r="CQ50" i="3"/>
  <c r="CQ46" i="3"/>
  <c r="CQ43" i="3"/>
  <c r="CQ42" i="3"/>
  <c r="CW75" i="2"/>
  <c r="CW69" i="2"/>
  <c r="CW60" i="2"/>
  <c r="CQ76" i="3"/>
  <c r="CQ75" i="3"/>
  <c r="CQ74" i="3"/>
  <c r="CQ73" i="3"/>
  <c r="CQ72" i="3"/>
  <c r="CQ71" i="3"/>
  <c r="CQ70" i="3"/>
  <c r="CQ69" i="3"/>
  <c r="CQ68" i="3"/>
  <c r="CQ67" i="3"/>
  <c r="CQ64" i="3"/>
  <c r="CQ62" i="3"/>
  <c r="CQ60" i="3"/>
  <c r="CQ59" i="3"/>
  <c r="CQ58" i="3"/>
  <c r="CQ57" i="3"/>
  <c r="CQ56" i="3"/>
  <c r="CQ55" i="3"/>
  <c r="CQ52" i="3"/>
  <c r="CQ47" i="3"/>
  <c r="CQ45" i="3"/>
  <c r="CQ44" i="3"/>
  <c r="CQ41" i="3"/>
  <c r="CQ39" i="3"/>
  <c r="CQ35" i="3"/>
  <c r="CQ34" i="3"/>
  <c r="CQ33" i="3"/>
  <c r="CQ32" i="3"/>
  <c r="CQ30" i="3"/>
  <c r="CQ26" i="3"/>
  <c r="CQ24" i="3"/>
  <c r="CQ22" i="3"/>
  <c r="CQ19" i="3"/>
  <c r="CQ17" i="3"/>
  <c r="CQ16" i="3"/>
  <c r="CW66" i="2"/>
  <c r="CW61" i="2"/>
  <c r="CW57" i="2"/>
  <c r="CW53" i="2"/>
  <c r="CQ65" i="3"/>
  <c r="CQ49" i="3"/>
  <c r="CQ48" i="3"/>
  <c r="CQ23" i="3"/>
  <c r="CQ28" i="3"/>
  <c r="CQ27" i="3"/>
  <c r="CQ20" i="3"/>
  <c r="CQ18" i="3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1" i="2"/>
  <c r="CW20" i="2"/>
  <c r="CW19" i="2"/>
  <c r="CW16" i="2"/>
  <c r="CW15" i="2"/>
  <c r="CQ15" i="3"/>
  <c r="CW59" i="2"/>
  <c r="CQ31" i="3"/>
  <c r="CQ29" i="3"/>
  <c r="E23" i="1" l="1"/>
  <c r="F21" i="1"/>
  <c r="F20" i="1"/>
  <c r="F19" i="1"/>
  <c r="F18" i="1"/>
  <c r="F17" i="1"/>
  <c r="CQ14" i="3"/>
  <c r="CQ77" i="3" s="1"/>
  <c r="CP77" i="3"/>
  <c r="I3" i="2"/>
  <c r="D3" i="3"/>
  <c r="E6" i="1"/>
  <c r="CH13" i="3"/>
  <c r="CL14" i="3"/>
  <c r="CL77" i="3" s="1"/>
  <c r="CJ77" i="3"/>
  <c r="F11" i="1"/>
  <c r="D23" i="1"/>
  <c r="CW30" i="2"/>
  <c r="CW79" i="2" s="1"/>
  <c r="CR30" i="2"/>
  <c r="CR79" i="2" s="1"/>
  <c r="I3" i="3"/>
  <c r="B6" i="1"/>
  <c r="D3" i="2"/>
  <c r="CN13" i="2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<sst xmlns="http://schemas.openxmlformats.org/spreadsheetml/2006/main" count="586" uniqueCount="174">
  <si>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</si>
  <si>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</si>
  <si>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</si>
  <si>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</si>
  <si>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</si>
  <si>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</si>
  <si>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</si>
  <si>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</si>
  <si>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</si>
  <si>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</si>
  <si>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</si>
  <si>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</si>
  <si>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</si>
  <si>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</si>
  <si>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</si>
  <si>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</si>
  <si>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</si>
  <si>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</si>
  <si>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</si>
  <si>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</si>
  <si>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</si>
  <si>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</si>
  <si>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</si>
  <si>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</si>
  <si>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</si>
  <si>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</si>
  <si>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</si>
  <si>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</si>
  <si>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</si>
  <si>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</si>
  <si>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</si>
  <si>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</si>
  <si>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</si>
  <si>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</si>
  <si>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</si>
  <si>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</si>
  <si>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</si>
  <si>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</si>
  <si>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</si>
  <si>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</si>
  <si>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</si>
  <si>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</si>
  <si>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</si>
  <si>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</si>
  <si>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</si>
  <si>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</si>
  <si>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</si>
  <si>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</si>
  <si>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</si>
  <si>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</si>
  <si>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</si>
  <si>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</si>
  <si>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</si>
  <si>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</si>
  <si>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</si>
  <si>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</si>
  <si>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</si>
  <si>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</si>
  <si>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</si>
  <si>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</si>
  <si>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</si>
  <si>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</si>
  <si>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</si>
  <si>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</si>
  <si>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</si>
  <si>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</si>
  <si>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</si>
  <si>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</si>
  <si>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</si>
  <si>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</si>
  <si>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</si>
  <si>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</si>
  <si>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</si>
  <si>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</si>
  <si>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</si>
  <si>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</si>
  <si>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</si>
  <si>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</si>
  <si>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</si>
  <si>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</si>
  <si>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</si>
  <si>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</si>
  <si>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</si>
  <si>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</si>
  <si>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</si>
  <si>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</si>
  <si>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</si>
  <si>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</si>
  <si>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</si>
  <si>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</si>
  <si>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</si>
  <si>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</si>
  <si>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</si>
  <si>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</si>
  <si>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</si>
  <si>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</si>
  <si>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</si>
  <si>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</si>
  <si>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</si>
  <si>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</si>
  <si>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</si>
  <si>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</si>
  <si>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</si>
  <si>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</si>
  <si>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</si>
  <si>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</si>
  <si>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</si>
  <si>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</si>
  <si>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</si>
  <si>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</si>
  <si>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</si>
  <si>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</si>
  <si>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18:30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</si>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</sst>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632</v>
      </c>
      <c r="C6" s="89"/>
      <c r="E6" s="88">
        <f>'Programa CAJAS REPORTE DIARIO'!CH77</f>
        <v>1658</v>
      </c>
      <c r="F6" s="89"/>
      <c r="H6" s="101">
        <f>B6+E6</f>
        <v>2290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150</v>
      </c>
      <c r="E22" s="72">
        <f>'Programa CAJAS REPORTE DIARIO'!AS77</f>
        <v>333</v>
      </c>
      <c r="F22" s="72">
        <f t="shared" si="0"/>
        <v>483</v>
      </c>
      <c r="G22" s="72">
        <f t="shared" si="1"/>
        <v>2290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632</v>
      </c>
      <c r="E23" s="75">
        <f>SUM(E11:E22)</f>
        <v>1658</v>
      </c>
      <c r="F23" s="75">
        <f>SUM(F11:F22)</f>
        <v>2290</v>
      </c>
      <c r="G23" s="75">
        <f>F23</f>
        <v>2290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632</v>
      </c>
      <c r="F3" s="79" t="s">
        <v>1</v>
      </c>
      <c r="I3" s="80">
        <f>'Programa CAJAS REPORTE DIARIO'!CH77+CN79</f>
        <v>2290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632</v>
      </c>
      <c r="CP79" s="25">
        <f>+SUM(CP14:CP78)</f>
        <v>632</v>
      </c>
      <c r="CQ79" s="25">
        <f>+SUM(CQ14:CQ78)</f>
        <v>0</v>
      </c>
      <c r="CR79" s="25">
        <f>+SUM(CR14:CR78)</f>
        <v>632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1658</v>
      </c>
      <c r="F3" s="79" t="s">
        <v>1</v>
      </c>
      <c r="I3" s="80">
        <f>'Programa CASETAS REPORTE DIARIO'!CN79+CH77</f>
        <v>2290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333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1658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52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264</v>
      </c>
      <c r="CJ28" s="27">
        <f t="shared" si="3"/>
        <v>264</v>
      </c>
      <c r="CK28" s="22">
        <v>0</v>
      </c>
      <c r="CL28" s="22">
        <f t="shared" si="4"/>
        <v>264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6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19</v>
      </c>
      <c r="CJ41" s="27">
        <f t="shared" si="3"/>
        <v>19</v>
      </c>
      <c r="CK41" s="22">
        <v>0</v>
      </c>
      <c r="CL41" s="22">
        <f t="shared" si="4"/>
        <v>19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-6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333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1658</v>
      </c>
      <c r="CJ77" s="25">
        <f>+SUM(CJ14:CJ76)</f>
        <v>1658</v>
      </c>
      <c r="CK77" s="25">
        <f>+SUM(CK14:CK76)</f>
        <v>0</v>
      </c>
      <c r="CL77" s="25">
        <f>+SUM(CL14:CL76)</f>
        <v>1658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6849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2026-10-29T00:30:07Z</dcterms:modified>
</cp:coreProperties>
</file>