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0240B05-DBFA-43F0-98A6-E7CDDFA91C9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CW16" i="2" l="1"/>
  <c r="E22" i="1"/>
  <c r="AS13" i="3"/>
  <c r="CQ76" i="3"/>
  <c r="CQ73" i="3"/>
  <c r="CQ70" i="3"/>
  <c r="CQ68" i="3"/>
  <c r="CQ65" i="3"/>
  <c r="CQ59" i="3"/>
  <c r="CQ52" i="3"/>
  <c r="CQ51" i="3"/>
  <c r="CQ50" i="3"/>
  <c r="CQ37" i="3"/>
  <c r="CW19" i="2"/>
  <c r="CW36" i="2"/>
  <c r="CW29" i="2"/>
  <c r="CW28" i="2"/>
  <c r="CW27" i="2"/>
  <c r="CW25" i="2"/>
  <c r="CW22" i="2"/>
  <c r="E21" i="1"/>
  <c r="AR13" i="3"/>
  <c r="E20" i="1"/>
  <c r="AQ13" i="3"/>
  <c r="E19" i="1"/>
  <c r="AP13" i="3"/>
  <c r="E18" i="1"/>
  <c r="AO13" i="3"/>
  <c r="E17" i="1"/>
  <c r="AN13" i="3"/>
  <c r="E15" i="1"/>
  <c r="AL13" i="3"/>
  <c r="E14" i="1"/>
  <c r="AK13" i="3"/>
  <c r="E13" i="1"/>
  <c r="AJ13" i="3"/>
  <c r="E12" i="1"/>
  <c r="AI13" i="3"/>
  <c r="E11" i="1"/>
  <c r="AH13" i="3"/>
  <c r="AM13" i="3"/>
  <c r="E16" i="1"/>
  <c r="CP14" i="3"/>
  <c r="CO77" i="3"/>
  <c r="CH77" i="3"/>
  <c r="CJ14" i="3"/>
  <c r="D22" i="1"/>
  <c r="F22" i="1" s="1"/>
  <c r="AM13" i="2"/>
  <c r="D21" i="1"/>
  <c r="AL13" i="2"/>
  <c r="D20" i="1"/>
  <c r="AK13" i="2"/>
  <c r="D19" i="1"/>
  <c r="AJ13" i="2"/>
  <c r="D18" i="1"/>
  <c r="AI13" i="2"/>
  <c r="D17" i="1"/>
  <c r="F17" i="1" s="1"/>
  <c r="AH13" i="2"/>
  <c r="D16" i="1"/>
  <c r="F16" i="1" s="1"/>
  <c r="AG13" i="2"/>
  <c r="AF13" i="2"/>
  <c r="D15" i="1"/>
  <c r="F15" i="1" s="1"/>
  <c r="D14" i="1"/>
  <c r="F14" i="1" s="1"/>
  <c r="AE13" i="2"/>
  <c r="D13" i="1"/>
  <c r="F13" i="1" s="1"/>
  <c r="AD13" i="2"/>
  <c r="D12" i="1"/>
  <c r="F12" i="1" s="1"/>
  <c r="AC13" i="2"/>
  <c r="D11" i="1"/>
  <c r="AB13" i="2"/>
  <c r="CP18" i="2"/>
  <c r="CN79" i="2"/>
  <c r="CU79" i="2"/>
  <c r="CV17" i="2"/>
  <c r="CW17" i="2" s="1"/>
  <c r="CW14" i="2"/>
  <c r="CV79" i="2"/>
  <c r="CR14" i="2"/>
  <c r="CP79" i="2"/>
  <c r="CQ49" i="3"/>
  <c r="CQ48" i="3"/>
  <c r="CQ47" i="3"/>
  <c r="CQ46" i="3"/>
  <c r="CQ45" i="3"/>
  <c r="CQ44" i="3"/>
  <c r="CQ43" i="3"/>
  <c r="CQ42" i="3"/>
  <c r="CQ41" i="3"/>
  <c r="CQ40" i="3"/>
  <c r="CQ39" i="3"/>
  <c r="CQ38" i="3"/>
  <c r="CQ75" i="3"/>
  <c r="CQ64" i="3"/>
  <c r="CQ62" i="3"/>
  <c r="CQ60" i="3"/>
  <c r="CQ57" i="3"/>
  <c r="CQ55" i="3"/>
  <c r="CQ53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26" i="2"/>
  <c r="CW21" i="2"/>
  <c r="CW20" i="2"/>
  <c r="CQ74" i="3"/>
  <c r="CQ72" i="3"/>
  <c r="CQ71" i="3"/>
  <c r="CQ69" i="3"/>
  <c r="CQ67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5" i="2"/>
  <c r="CW34" i="2"/>
  <c r="CW33" i="2"/>
  <c r="CW32" i="2"/>
  <c r="CW31" i="2"/>
  <c r="CW30" i="2"/>
  <c r="CW24" i="2"/>
  <c r="CW23" i="2"/>
  <c r="CW15" i="2"/>
  <c r="CQ66" i="3"/>
  <c r="CQ61" i="3"/>
  <c r="CQ56" i="3"/>
  <c r="CQ54" i="3"/>
  <c r="CQ63" i="3"/>
  <c r="CQ58" i="3"/>
  <c r="E23" i="1" l="1"/>
  <c r="F21" i="1"/>
  <c r="F19" i="1"/>
  <c r="F18" i="1"/>
  <c r="F20" i="1"/>
  <c r="CQ14" i="3"/>
  <c r="CQ77" i="3" s="1"/>
  <c r="CP77" i="3"/>
  <c r="I3" i="2"/>
  <c r="E6" i="1"/>
  <c r="D3" i="3"/>
  <c r="CH13" i="3"/>
  <c r="CL14" i="3"/>
  <c r="CL77" i="3" s="1"/>
  <c r="CJ77" i="3"/>
  <c r="F11" i="1"/>
  <c r="D23" i="1"/>
  <c r="CW18" i="2"/>
  <c r="CW79" i="2" s="1"/>
  <c r="CR18" i="2"/>
  <c r="CR79" i="2" s="1"/>
  <c r="B6" i="1"/>
  <c r="I3" i="3"/>
  <c r="D3" i="2"/>
  <c r="CN13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<sst xmlns="http://schemas.openxmlformats.org/spreadsheetml/2006/main" count="586" uniqueCount="173">
  <si>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</si>
  <si>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</si>
  <si>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</si>
  <si>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</si>
  <si>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</si>
  <si>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</si>
  <si>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</si>
  <si>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</si>
  <si>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</si>
  <si>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</si>
  <si>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</si>
  <si>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</si>
  <si>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</si>
  <si>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</si>
  <si>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</si>
  <si>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</si>
  <si>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</si>
  <si>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</si>
  <si>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</si>
  <si>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</si>
  <si>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</si>
  <si>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</si>
  <si>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</si>
  <si>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</si>
  <si>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</si>
  <si>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</si>
  <si>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</si>
  <si>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</si>
  <si>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</si>
  <si>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</si>
  <si>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</si>
  <si>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</si>
  <si>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</si>
  <si>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</si>
  <si>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</si>
  <si>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</si>
  <si>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</si>
  <si>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</si>
  <si>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</si>
  <si>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</si>
  <si>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</si>
  <si>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</si>
  <si>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</si>
  <si>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</si>
  <si>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</si>
  <si>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</si>
  <si>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</si>
  <si>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</si>
  <si>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</si>
  <si>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</si>
  <si>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</si>
  <si>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</si>
  <si>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</si>
  <si>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</si>
  <si>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</si>
  <si>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</si>
  <si>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</si>
  <si>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</si>
  <si>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</si>
  <si>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</si>
  <si>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</si>
  <si>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</si>
  <si>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</si>
  <si>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</si>
  <si>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</si>
  <si>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</si>
  <si>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</si>
  <si>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</si>
  <si>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</si>
  <si>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</si>
  <si>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</si>
  <si>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</si>
  <si>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</si>
  <si>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</si>
  <si>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</si>
  <si>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</si>
  <si>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</si>
  <si>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</si>
  <si>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</si>
  <si>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</si>
  <si>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</si>
  <si>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</si>
  <si>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</si>
  <si>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</si>
  <si>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</si>
  <si>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</si>
  <si>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</si>
  <si>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</si>
  <si>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</si>
  <si>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</si>
  <si>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</si>
  <si>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</si>
  <si>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</si>
  <si>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</si>
  <si>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</si>
  <si>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</si>
  <si>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</si>
  <si>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</si>
  <si>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</si>
  <si>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</si>
  <si>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</si>
  <si>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</si>
  <si>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</si>
  <si>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</si>
  <si>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</si>
  <si>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</si>
  <si>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</si>
  <si>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</si>
  <si>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</si>
  <si>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</si>
  <si>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</si>
  <si>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</si>
  <si>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Corte oficial de las 10:00 PM activo (28/10/2026). Período de depuración. Registros posteriores se liberan mañana a las 10:00 AM.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</si>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</sst>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1729</v>
      </c>
      <c r="F6" s="89"/>
      <c r="H6" s="101">
        <f>B6+E6</f>
        <v>2388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4" customHeight="1" x14ac:dyDescent="0.3">
      <c r="B23" s="73" t="s">
        <v>148</v>
      </c>
      <c r="C23" s="74"/>
      <c r="D23" s="75">
        <f>SUM(D11:D22)</f>
        <v>659</v>
      </c>
      <c r="E23" s="75">
        <f>SUM(E11:E22)</f>
        <v>1729</v>
      </c>
      <c r="F23" s="75">
        <f>SUM(F11:F22)</f>
        <v>2388</v>
      </c>
      <c r="G23" s="75">
        <f>F23</f>
        <v>2388</v>
      </c>
      <c r="H23" s="76" t="s">
        <v>149</v>
      </c>
    </row>
    <row r="25" spans="2:8" x14ac:dyDescent="0.3">
      <c r="B25" s="98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152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153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154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155</v>
      </c>
      <c r="D3" s="78">
        <f>+CH77</f>
        <v>1729</v>
      </c>
      <c r="F3" s="79" t="s">
        <v>1</v>
      </c>
      <c r="I3" s="80">
        <f>'Programa CASETAS REPORTE DIARIO'!CN79+CH77</f>
        <v>2388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156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157</v>
      </c>
      <c r="CQ12" s="29" t="s">
        <v>21</v>
      </c>
      <c r="CS12" s="29" t="s">
        <v>158</v>
      </c>
      <c r="CT12" s="29" t="s">
        <v>158</v>
      </c>
      <c r="CU12" s="29" t="s">
        <v>158</v>
      </c>
      <c r="CV12" s="29" t="s">
        <v>158</v>
      </c>
      <c r="CW12" s="29" t="s">
        <v>158</v>
      </c>
      <c r="CX12" s="29" t="s">
        <v>159</v>
      </c>
      <c r="CY12" s="29" t="s">
        <v>159</v>
      </c>
      <c r="CZ12" s="29" t="s">
        <v>159</v>
      </c>
      <c r="DA12" s="29" t="s">
        <v>159</v>
      </c>
      <c r="DB12" s="29" t="s">
        <v>159</v>
      </c>
    </row>
    <row r="13" spans="1:107" s="12" customFormat="1" ht="51.75" customHeight="1" x14ac:dyDescent="0.25">
      <c r="A13" s="10" t="s">
        <v>22</v>
      </c>
      <c r="B13" s="10" t="s">
        <v>160</v>
      </c>
      <c r="C13" s="10" t="s">
        <v>24</v>
      </c>
      <c r="D13" s="57" t="s">
        <v>25</v>
      </c>
      <c r="E13" s="57" t="s">
        <v>161</v>
      </c>
      <c r="F13" s="57" t="s">
        <v>162</v>
      </c>
      <c r="G13" s="57" t="s">
        <v>163</v>
      </c>
      <c r="H13" s="57" t="s">
        <v>164</v>
      </c>
      <c r="I13" s="57" t="s">
        <v>165</v>
      </c>
      <c r="J13" s="57" t="s">
        <v>166</v>
      </c>
      <c r="K13" s="57" t="s">
        <v>167</v>
      </c>
      <c r="L13" s="57" t="s">
        <v>168</v>
      </c>
      <c r="M13" s="57" t="s">
        <v>169</v>
      </c>
      <c r="N13" s="57" t="s">
        <v>170</v>
      </c>
      <c r="O13" s="57" t="s">
        <v>171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1729</v>
      </c>
      <c r="CJ13" s="39"/>
      <c r="CK13" s="40"/>
      <c r="CL13" s="40"/>
      <c r="CM13" s="41"/>
      <c r="CN13" s="29"/>
      <c r="CO13" s="29"/>
      <c r="CP13" s="29"/>
      <c r="CQ13" s="29"/>
      <c r="CS13" s="67" t="s">
        <v>161</v>
      </c>
      <c r="CT13" s="67" t="s">
        <v>162</v>
      </c>
      <c r="CU13" s="67" t="s">
        <v>163</v>
      </c>
      <c r="CV13" s="67" t="s">
        <v>164</v>
      </c>
      <c r="CW13" s="67" t="s">
        <v>165</v>
      </c>
      <c r="CX13" s="67" t="s">
        <v>166</v>
      </c>
      <c r="CY13" s="67" t="s">
        <v>167</v>
      </c>
      <c r="CZ13" s="67" t="s">
        <v>168</v>
      </c>
      <c r="DA13" s="67" t="s">
        <v>169</v>
      </c>
      <c r="DB13" s="67" t="s">
        <v>170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44</v>
      </c>
      <c r="CJ41" s="27">
        <f t="shared" si="3"/>
        <v>44</v>
      </c>
      <c r="CK41" s="22">
        <v>0</v>
      </c>
      <c r="CL41" s="22">
        <f t="shared" si="4"/>
        <v>44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172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1729</v>
      </c>
      <c r="CJ77" s="25">
        <f>+SUM(CJ14:CJ76)</f>
        <v>1729</v>
      </c>
      <c r="CK77" s="25">
        <f>+SUM(CK14:CK76)</f>
        <v>0</v>
      </c>
      <c r="CL77" s="25">
        <f>+SUM(CL14:CL76)</f>
        <v>1729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6778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2026-10-29T04:00:05Z</dcterms:modified>
</cp:coreProperties>
</file>