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0D7ED83-9586-4FC9-96C5-716CCEB57A43}" xr6:coauthVersionLast="47" xr6:coauthVersionMax="47" xr10:uidLastSave="{00000000-0000-0000-0000-000000000000}"/>
  <bookViews>
    <workbookView xWindow="780" yWindow="780" windowWidth="15375" windowHeight="7725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X13" i="3" s="1"/>
  <c r="BW77" i="3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W13" i="3"/>
  <c r="AG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I13" i="2" s="1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F22" i="1" l="1"/>
  <c r="F21" i="1"/>
  <c r="F20" i="1"/>
  <c r="F19" i="1"/>
  <c r="F18" i="1"/>
  <c r="F17" i="1"/>
  <c r="F16" i="1"/>
  <c r="F15" i="1"/>
  <c r="F14" i="1"/>
  <c r="F13" i="1"/>
  <c r="F12" i="1"/>
  <c r="CQ73" i="3"/>
  <c r="E23" i="1"/>
  <c r="AT13" i="3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4" i="1" s="1"/>
  <c r="AH13" i="3"/>
  <c r="CQ71" i="3"/>
  <c r="CQ64" i="3"/>
  <c r="CQ62" i="3"/>
  <c r="CQ47" i="3"/>
  <c r="F23" i="1"/>
  <c r="CQ24" i="3"/>
  <c r="CQ20" i="3"/>
  <c r="CW24" i="2"/>
  <c r="CW39" i="2"/>
  <c r="CW22" i="2"/>
  <c r="CW21" i="2"/>
  <c r="CW20" i="2"/>
  <c r="CP14" i="3"/>
  <c r="CO77" i="3"/>
  <c r="CJ14" i="3"/>
  <c r="CH77" i="3"/>
  <c r="F11" i="1"/>
  <c r="D24" i="1"/>
  <c r="CV14" i="2"/>
  <c r="CU79" i="2"/>
  <c r="CP14" i="2"/>
  <c r="CN79" i="2"/>
  <c r="CQ59" i="3"/>
  <c r="CQ58" i="3"/>
  <c r="CQ57" i="3"/>
  <c r="CQ56" i="3"/>
  <c r="CQ55" i="3"/>
  <c r="CQ54" i="3"/>
  <c r="CQ53" i="3"/>
  <c r="CQ52" i="3"/>
  <c r="CQ51" i="3"/>
  <c r="CQ50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0" i="3"/>
  <c r="CQ29" i="3"/>
  <c r="CQ28" i="3"/>
  <c r="CQ27" i="3"/>
  <c r="CQ26" i="3"/>
  <c r="CQ25" i="3"/>
  <c r="CQ76" i="3"/>
  <c r="CQ67" i="3"/>
  <c r="CQ66" i="3"/>
  <c r="CQ65" i="3"/>
  <c r="CQ61" i="3"/>
  <c r="CQ60" i="3"/>
  <c r="CQ48" i="3"/>
  <c r="CQ33" i="3"/>
  <c r="CQ32" i="3"/>
  <c r="CQ31" i="3"/>
  <c r="CQ23" i="3"/>
  <c r="CQ22" i="3"/>
  <c r="CQ21" i="3"/>
  <c r="CQ75" i="3"/>
  <c r="CQ72" i="3"/>
  <c r="CQ68" i="3"/>
  <c r="CQ63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3" i="2"/>
  <c r="CW19" i="2"/>
  <c r="CW18" i="2"/>
  <c r="CW17" i="2"/>
  <c r="CW16" i="2"/>
  <c r="CW15" i="2"/>
  <c r="CQ74" i="3"/>
  <c r="CQ70" i="3"/>
  <c r="CQ69" i="3"/>
  <c r="CQ49" i="3"/>
  <c r="CP77" i="3" l="1"/>
  <c r="CQ14" i="3"/>
  <c r="CQ77" i="3" s="1"/>
  <c r="CJ77" i="3"/>
  <c r="CL14" i="3"/>
  <c r="CL77" i="3" s="1"/>
  <c r="I3" i="2"/>
  <c r="D3" i="3"/>
  <c r="E6" i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CR14" i="2"/>
  <c r="CR79" i="2" s="1"/>
  <c r="CP79" i="2"/>
  <c r="B6" i="1"/>
  <c r="D3" i="2"/>
  <c r="CN13" i="2"/>
  <c r="I3" i="3"/>
  <c r="H6" i="1" l="1"/>
</calcChain>
</file>

<file path=xl/sharedStrings.xml><?xml version="1.0" encoding="utf-8"?>
<sst xmlns="http://schemas.openxmlformats.org/spreadsheetml/2006/main" count="589" uniqueCount="174">
  <si>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</si>
  <si>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</si>
  <si>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</si>
  <si>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</si>
  <si>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</si>
  <si>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</si>
  <si>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</si>
  <si>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</si>
  <si>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</si>
  <si>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</si>
  <si>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</si>
  <si>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</si>
  <si>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</si>
  <si>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</si>
  <si>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</si>
  <si>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</si>
  <si>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</si>
  <si>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</si>
  <si>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</si>
  <si>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</si>
  <si>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</si>
  <si>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</si>
  <si>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</si>
  <si>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</si>
  <si>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</si>
  <si>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</si>
  <si>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</si>
  <si>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</si>
  <si>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</si>
  <si>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</si>
  <si>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</si>
  <si>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</si>
  <si>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</si>
  <si>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</si>
  <si>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</si>
  <si>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</si>
  <si>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</si>
  <si>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</si>
  <si>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</si>
  <si>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</si>
  <si>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</si>
  <si>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</si>
  <si>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</si>
  <si>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</si>
  <si>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</si>
  <si>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</si>
  <si>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</si>
  <si>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</si>
  <si>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</si>
  <si>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</si>
  <si>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</si>
  <si>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</si>
  <si>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</si>
  <si>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</si>
  <si>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</si>
  <si>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</si>
  <si>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</si>
  <si>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</si>
  <si>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</si>
  <si>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</si>
  <si>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</si>
  <si>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</si>
  <si>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</si>
  <si>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</si>
  <si>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</si>
  <si>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</si>
  <si>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</si>
  <si>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</si>
  <si>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</si>
  <si>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</si>
  <si>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</si>
  <si>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</si>
  <si>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</si>
  <si>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</si>
  <si>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</si>
  <si>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</si>
  <si>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</si>
  <si>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</si>
  <si>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</si>
  <si>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</si>
  <si>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</si>
  <si>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</si>
  <si>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</si>
  <si>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</si>
  <si>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</si>
  <si>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</si>
  <si>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</si>
  <si>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</si>
  <si>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</si>
  <si>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</si>
  <si>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</si>
  <si>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</si>
  <si>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</si>
  <si>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</si>
  <si>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</si>
  <si>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</si>
  <si>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</si>
  <si>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</si>
  <si>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</si>
  <si>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</si>
  <si>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</si>
  <si>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</si>
  <si>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</si>
  <si>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</si>
  <si>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</si>
  <si>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</si>
  <si>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</si>
  <si>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</si>
  <si>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</si>
  <si>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</si>
  <si>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</si>
  <si>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</si>
  <si>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Corte oficial de las 10:00 PM activo (29/10/2026). Período de depuración. Registros posteriores se liberan mañana a las 10:00 AM.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</si>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</sst>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9.140625" defaultRowHeight="15" x14ac:dyDescent="0.2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7.95" customHeight="1" x14ac:dyDescent="0.2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.100000000000001" customHeight="1" x14ac:dyDescent="0.2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2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.1" customHeight="1" x14ac:dyDescent="0.25">
      <c r="B6" s="88">
        <f>'Programa CASETAS REPORTE DIARIO'!CN79</f>
        <v>908</v>
      </c>
      <c r="C6" s="89"/>
      <c r="E6" s="88">
        <f>'Programa CAJAS REPORTE DIARIO'!CH77</f>
        <v>2474</v>
      </c>
      <c r="F6" s="89"/>
      <c r="H6" s="101">
        <f>B6+E6</f>
        <v>3382</v>
      </c>
      <c r="I6" s="97"/>
      <c r="J6" s="97"/>
    </row>
    <row r="7" spans="2:10" ht="15.95" customHeight="1" x14ac:dyDescent="0.2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75" x14ac:dyDescent="0.2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2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.100000000000001" customHeight="1" x14ac:dyDescent="0.2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.100000000000001" customHeight="1" x14ac:dyDescent="0.2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.100000000000001" customHeight="1" x14ac:dyDescent="0.2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.100000000000001" customHeight="1" x14ac:dyDescent="0.2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.100000000000001" customHeight="1" x14ac:dyDescent="0.2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.100000000000001" customHeight="1" x14ac:dyDescent="0.2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.100000000000001" customHeight="1" x14ac:dyDescent="0.2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.100000000000001" customHeight="1" x14ac:dyDescent="0.2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.100000000000001" customHeight="1" x14ac:dyDescent="0.2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.100000000000001" customHeight="1" x14ac:dyDescent="0.2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.100000000000001" customHeight="1" x14ac:dyDescent="0.2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.100000000000001" customHeight="1" x14ac:dyDescent="0.2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.100000000000001" customHeight="1" x14ac:dyDescent="0.2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745</v>
      </c>
      <c r="F23" s="70">
        <f t="shared" si="0"/>
        <v>994</v>
      </c>
      <c r="G23" s="70">
        <f t="shared" si="1"/>
        <v>3382</v>
      </c>
      <c r="H23" s="69" t="s">
        <v>145</v>
      </c>
    </row>
    <row r="24" spans="2:8" ht="24" customHeight="1" x14ac:dyDescent="0.25">
      <c r="B24" s="73" t="s">
        <v>149</v>
      </c>
      <c r="C24" s="74"/>
      <c r="D24" s="75">
        <f>SUM(D11:D23)</f>
        <v>908</v>
      </c>
      <c r="E24" s="75">
        <f>SUM(E11:E23)</f>
        <v>2474</v>
      </c>
      <c r="F24" s="75">
        <f>SUM(F11:F23)</f>
        <v>3382</v>
      </c>
      <c r="G24" s="75">
        <f>F24</f>
        <v>3382</v>
      </c>
      <c r="H24" s="76" t="s">
        <v>150</v>
      </c>
    </row>
    <row r="26" spans="2:8" x14ac:dyDescent="0.25">
      <c r="B26" s="93" t="s">
        <v>151</v>
      </c>
      <c r="C26" s="91"/>
      <c r="D26" s="91"/>
      <c r="E26" s="91"/>
      <c r="F26" s="91"/>
      <c r="G26" s="91"/>
      <c r="H26" s="91"/>
    </row>
    <row r="27" spans="2:8" ht="18" customHeight="1" x14ac:dyDescent="0.25">
      <c r="B27" s="90" t="s">
        <v>152</v>
      </c>
      <c r="C27" s="91"/>
      <c r="D27" s="91"/>
      <c r="E27" s="91"/>
      <c r="F27" s="91"/>
      <c r="G27" s="91"/>
      <c r="H27" s="91"/>
    </row>
    <row r="28" spans="2:8" ht="18" customHeight="1" x14ac:dyDescent="0.25">
      <c r="B28" s="90" t="s">
        <v>153</v>
      </c>
      <c r="C28" s="91"/>
      <c r="D28" s="91"/>
      <c r="E28" s="91"/>
      <c r="F28" s="91"/>
      <c r="G28" s="91"/>
      <c r="H28" s="91"/>
    </row>
    <row r="29" spans="2:8" ht="18" customHeight="1" x14ac:dyDescent="0.25">
      <c r="B29" s="90" t="s">
        <v>154</v>
      </c>
      <c r="C29" s="91"/>
      <c r="D29" s="91"/>
      <c r="E29" s="91"/>
      <c r="F29" s="91"/>
      <c r="G29" s="91"/>
      <c r="H29" s="91"/>
    </row>
    <row r="30" spans="2:8" ht="18" customHeight="1" x14ac:dyDescent="0.25">
      <c r="B30" s="90" t="s">
        <v>155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9.5703125" bestFit="1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9" width="13.42578125" customWidth="1"/>
    <col min="10" max="10" width="15.42578125" customWidth="1"/>
    <col min="11" max="11" width="2.7109375" customWidth="1"/>
    <col min="12" max="12" width="7.5703125" hidden="1" customWidth="1"/>
    <col min="13" max="15" width="7.140625" hidden="1" customWidth="1"/>
    <col min="16" max="16" width="9" hidden="1" customWidth="1"/>
    <col min="17" max="17" width="1.85546875" hidden="1" customWidth="1"/>
    <col min="18" max="18" width="13.5703125" style="3" customWidth="1"/>
    <col min="19" max="19" width="1.5703125" style="3" customWidth="1"/>
    <col min="20" max="21" width="12.85546875" customWidth="1"/>
    <col min="22" max="22" width="3.5703125" customWidth="1"/>
    <col min="23" max="26" width="13.7109375" customWidth="1" outlineLevel="1"/>
    <col min="27" max="27" width="13.5703125" customWidth="1" outlineLevel="1"/>
    <col min="28" max="35" width="13.7109375" customWidth="1" outlineLevel="1"/>
    <col min="36" max="36" width="13.5703125" customWidth="1" outlineLevel="1"/>
    <col min="37" max="37" width="13.42578125" customWidth="1" outlineLevel="1"/>
    <col min="38" max="38" width="13.5703125" customWidth="1" outlineLevel="1"/>
    <col min="39" max="39" width="13.7109375" customWidth="1" outlineLevel="1"/>
    <col min="40" max="40" width="13.5703125" customWidth="1" outlineLevel="1"/>
    <col min="41" max="42" width="13.7109375" customWidth="1" outlineLevel="1"/>
    <col min="43" max="91" width="13.5703125" customWidth="1" outlineLevel="1"/>
    <col min="92" max="92" width="14" customWidth="1"/>
    <col min="93" max="93" width="2.42578125" customWidth="1"/>
    <col min="94" max="95" width="13.85546875" customWidth="1"/>
    <col min="96" max="96" width="14" customWidth="1"/>
    <col min="97" max="97" width="15.7109375" customWidth="1"/>
    <col min="98" max="100" width="11.42578125" customWidth="1"/>
    <col min="101" max="101" width="11.85546875" customWidth="1"/>
    <col min="102" max="103" width="11.42578125" customWidth="1"/>
  </cols>
  <sheetData>
    <row r="3" spans="1:108" ht="21" x14ac:dyDescent="0.2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3382</v>
      </c>
    </row>
    <row r="10" spans="1:108" x14ac:dyDescent="0.2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2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2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2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2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2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2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2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2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2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2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2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2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2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2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2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2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2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2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2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2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2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2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2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2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2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2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2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2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2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2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2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2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2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2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2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2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2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2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2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2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2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2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2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2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2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2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2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2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2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2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2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2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2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2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2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2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2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2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2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2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2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2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2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2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2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2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2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2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2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2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2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2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2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2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25">
      <c r="B87" s="32"/>
      <c r="C87" s="32"/>
      <c r="D87" s="32"/>
      <c r="E87" s="32"/>
      <c r="H87" s="14"/>
      <c r="I87" s="14"/>
    </row>
    <row r="88" spans="1:101" x14ac:dyDescent="0.25">
      <c r="B88" s="32"/>
      <c r="C88" s="32"/>
      <c r="D88" s="32"/>
      <c r="E88" s="32"/>
      <c r="H88" s="14"/>
      <c r="I88" s="14"/>
    </row>
    <row r="89" spans="1:101" x14ac:dyDescent="0.2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2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2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2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2.5703125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15" width="13.42578125" customWidth="1"/>
    <col min="16" max="16" width="15.42578125" customWidth="1"/>
    <col min="17" max="17" width="2.7109375" customWidth="1"/>
    <col min="18" max="18" width="7.5703125" hidden="1" customWidth="1"/>
    <col min="19" max="21" width="7.140625" hidden="1" customWidth="1"/>
    <col min="22" max="22" width="9" hidden="1" customWidth="1"/>
    <col min="23" max="23" width="1.85546875" hidden="1" customWidth="1"/>
    <col min="24" max="24" width="13.5703125" style="3" customWidth="1"/>
    <col min="25" max="25" width="1.5703125" style="3" customWidth="1"/>
    <col min="26" max="27" width="12.85546875" customWidth="1"/>
    <col min="28" max="28" width="3.5703125" style="6" customWidth="1"/>
    <col min="29" max="32" width="13.7109375" customWidth="1" outlineLevel="1"/>
    <col min="33" max="33" width="13.5703125" customWidth="1" outlineLevel="1"/>
    <col min="34" max="34" width="13.42578125" customWidth="1" outlineLevel="1"/>
    <col min="35" max="35" width="13.5703125" customWidth="1" outlineLevel="1"/>
    <col min="36" max="36" width="13.7109375" customWidth="1" outlineLevel="1"/>
    <col min="37" max="37" width="13.5703125" customWidth="1" outlineLevel="1"/>
    <col min="38" max="39" width="13.7109375" customWidth="1" outlineLevel="1"/>
    <col min="40" max="85" width="13.5703125" customWidth="1" outlineLevel="1"/>
    <col min="86" max="86" width="14" customWidth="1"/>
    <col min="87" max="87" width="4.28515625" customWidth="1"/>
    <col min="88" max="88" width="13.85546875" customWidth="1"/>
    <col min="89" max="89" width="15.7109375" customWidth="1"/>
    <col min="90" max="90" width="14" customWidth="1"/>
    <col min="91" max="91" width="15.7109375" customWidth="1"/>
    <col min="92" max="94" width="11.42578125" customWidth="1"/>
    <col min="95" max="95" width="11.85546875" customWidth="1"/>
    <col min="96" max="97" width="11.42578125" customWidth="1"/>
  </cols>
  <sheetData>
    <row r="3" spans="1:107" ht="21" x14ac:dyDescent="0.25">
      <c r="B3" s="77" t="s">
        <v>156</v>
      </c>
      <c r="D3" s="78">
        <f>+CH77</f>
        <v>2474</v>
      </c>
      <c r="F3" s="79" t="s">
        <v>1</v>
      </c>
      <c r="I3" s="80">
        <f>'Programa CASETAS REPORTE DIARIO'!CN79+CH77</f>
        <v>3382</v>
      </c>
    </row>
    <row r="10" spans="1:107" x14ac:dyDescent="0.2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2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2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745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2474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2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2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2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2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2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2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2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2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2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2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2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2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2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2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2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2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2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2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2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2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2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2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2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2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2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2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2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2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58</v>
      </c>
      <c r="CJ41" s="27">
        <f t="shared" si="3"/>
        <v>58</v>
      </c>
      <c r="CK41" s="22">
        <v>0</v>
      </c>
      <c r="CL41" s="22">
        <f t="shared" si="4"/>
        <v>58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2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2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2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2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25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2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2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2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2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2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2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2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2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2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2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2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2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2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2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2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2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2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2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2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2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2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2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2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2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2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2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2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2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2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2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745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2474</v>
      </c>
      <c r="CJ77" s="25">
        <f>+SUM(CJ14:CJ76)</f>
        <v>2474</v>
      </c>
      <c r="CK77" s="25">
        <f>+SUM(CK14:CK76)</f>
        <v>0</v>
      </c>
      <c r="CL77" s="25">
        <f>+SUM(CL14:CL76)</f>
        <v>2474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8758</v>
      </c>
    </row>
    <row r="78" spans="1:107" x14ac:dyDescent="0.2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2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2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2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2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2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2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2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2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2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2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2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2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2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2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2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2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2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2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2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2026-10-30T04:00:06Z</dcterms:modified>
</cp:coreProperties>
</file>