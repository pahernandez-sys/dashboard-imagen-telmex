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D0C4A65-ED39-48F9-AE39-2CE4578C993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CQ75" i="3" l="1"/>
  <c r="CQ72" i="3"/>
  <c r="CQ74" i="3"/>
  <c r="CQ16" i="3"/>
  <c r="CQ15" i="3"/>
  <c r="CW38" i="2"/>
  <c r="CW35" i="2"/>
  <c r="CW32" i="2"/>
  <c r="CW31" i="2"/>
  <c r="CW28" i="2"/>
  <c r="CW26" i="2"/>
  <c r="CW25" i="2"/>
  <c r="CW24" i="2"/>
  <c r="CW22" i="2"/>
  <c r="CW18" i="2"/>
  <c r="CW15" i="2"/>
  <c r="CQ69" i="3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AI13" i="3"/>
  <c r="E12" i="1"/>
  <c r="F12" i="1" s="1"/>
  <c r="AH13" i="3"/>
  <c r="E11" i="1"/>
  <c r="CJ20" i="3"/>
  <c r="CH77" i="3"/>
  <c r="CP19" i="3"/>
  <c r="CQ19" i="3" s="1"/>
  <c r="CO77" i="3"/>
  <c r="CQ14" i="3"/>
  <c r="CP77" i="3"/>
  <c r="CL14" i="3"/>
  <c r="CJ77" i="3"/>
  <c r="D23" i="1"/>
  <c r="F11" i="1"/>
  <c r="CV30" i="2"/>
  <c r="CU79" i="2"/>
  <c r="CP17" i="2"/>
  <c r="CN79" i="2"/>
  <c r="CW14" i="2"/>
  <c r="CR14" i="2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30" i="3"/>
  <c r="CQ27" i="3"/>
  <c r="CQ22" i="3"/>
  <c r="CW29" i="2"/>
  <c r="CW27" i="2"/>
  <c r="CW23" i="2"/>
  <c r="CQ76" i="3"/>
  <c r="CQ71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29" i="3"/>
  <c r="CQ28" i="3"/>
  <c r="CQ26" i="3"/>
  <c r="CQ25" i="3"/>
  <c r="CQ24" i="3"/>
  <c r="CQ23" i="3"/>
  <c r="CQ21" i="3"/>
  <c r="CQ18" i="3"/>
  <c r="CQ17" i="3"/>
  <c r="CW16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7" i="2"/>
  <c r="CW36" i="2"/>
  <c r="CW34" i="2"/>
  <c r="CW33" i="2"/>
  <c r="CW21" i="2"/>
  <c r="CW20" i="2"/>
  <c r="CW19" i="2"/>
  <c r="CQ73" i="3"/>
  <c r="CQ70" i="3"/>
  <c r="CQ68" i="3"/>
  <c r="CQ67" i="3"/>
  <c r="CW30" i="2" l="1"/>
  <c r="CV79" i="2"/>
  <c r="CQ20" i="3"/>
  <c r="CQ77" i="3" s="1"/>
  <c r="CL20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7" i="2"/>
  <c r="CW79" i="2" s="1"/>
  <c r="CR17" i="2"/>
  <c r="CR79" i="2" s="1"/>
  <c r="D3" i="2"/>
  <c r="CN13" i="2"/>
  <c r="I3" i="3"/>
  <c r="B6" i="1"/>
  <c r="E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<sst xmlns="http://schemas.openxmlformats.org/spreadsheetml/2006/main" count="586" uniqueCount="174">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</sst>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617</v>
      </c>
      <c r="C6" s="89"/>
      <c r="E6" s="88">
        <f>'Programa CAJAS REPORTE DIARIO'!CH77</f>
        <v>1560</v>
      </c>
      <c r="F6" s="89"/>
      <c r="H6" s="101">
        <f>B6+E6</f>
        <v>2177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135</v>
      </c>
      <c r="E22" s="72">
        <f>'Programa CAJAS REPORTE DIARIO'!AS77</f>
        <v>235</v>
      </c>
      <c r="F22" s="72">
        <f t="shared" si="0"/>
        <v>370</v>
      </c>
      <c r="G22" s="72">
        <f t="shared" si="1"/>
        <v>2177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617</v>
      </c>
      <c r="E23" s="75">
        <f>SUM(E11:E22)</f>
        <v>1560</v>
      </c>
      <c r="F23" s="75">
        <f>SUM(F11:F22)</f>
        <v>2177</v>
      </c>
      <c r="G23" s="75">
        <f>F23</f>
        <v>2177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617</v>
      </c>
      <c r="F3" s="79" t="s">
        <v>1</v>
      </c>
      <c r="I3" s="80">
        <f>'Programa CAJAS REPORTE DIARIO'!CH77+CN79</f>
        <v>2177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60</v>
      </c>
      <c r="CP42" s="27">
        <f t="shared" si="4"/>
        <v>60</v>
      </c>
      <c r="CQ42" s="22">
        <v>0</v>
      </c>
      <c r="CR42" s="22">
        <f t="shared" si="5"/>
        <v>60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617</v>
      </c>
      <c r="CP79" s="25">
        <f>+SUM(CP14:CP78)</f>
        <v>617</v>
      </c>
      <c r="CQ79" s="25">
        <f>+SUM(CQ14:CQ78)</f>
        <v>0</v>
      </c>
      <c r="CR79" s="25">
        <f>+SUM(CR14:CR78)</f>
        <v>617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1560</v>
      </c>
      <c r="F3" s="79" t="s">
        <v>1</v>
      </c>
      <c r="I3" s="80">
        <f>'Programa CASETAS REPORTE DIARIO'!CN79+CH77</f>
        <v>2177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1560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362</v>
      </c>
      <c r="CJ27" s="27">
        <f t="shared" si="3"/>
        <v>362</v>
      </c>
      <c r="CK27" s="22">
        <v>0</v>
      </c>
      <c r="CL27" s="22">
        <f t="shared" si="4"/>
        <v>362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258</v>
      </c>
      <c r="CJ28" s="27">
        <f t="shared" si="3"/>
        <v>258</v>
      </c>
      <c r="CK28" s="22">
        <v>0</v>
      </c>
      <c r="CL28" s="22">
        <f t="shared" si="4"/>
        <v>258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43</v>
      </c>
      <c r="CJ36" s="27">
        <f t="shared" si="3"/>
        <v>43</v>
      </c>
      <c r="CK36" s="22">
        <v>0</v>
      </c>
      <c r="CL36" s="22">
        <f t="shared" si="4"/>
        <v>43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1560</v>
      </c>
      <c r="CJ77" s="25">
        <f>+SUM(CJ14:CJ76)</f>
        <v>1560</v>
      </c>
      <c r="CK77" s="25">
        <f>+SUM(CK14:CK76)</f>
        <v>0</v>
      </c>
      <c r="CL77" s="25">
        <f>+SUM(CL14:CL76)</f>
        <v>1560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6947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2026-10-28T22:01:53Z</dcterms:modified>
</cp:coreProperties>
</file>