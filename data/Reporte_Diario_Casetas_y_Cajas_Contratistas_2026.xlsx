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Programa CASETAS REPORTE DIARIO" sheetId="1" state="visible" r:id="rId1"/>
    <sheet name="Programa CAJAS REPORTE DIARIO" sheetId="2" state="visible" r:id="rId2"/>
  </sheets>
  <definedNames>
    <definedName name="_xlnm._FilterDatabase" localSheetId="0" hidden="1">'Programa CASETAS REPORTE DIARIO'!$A$13:$CW$79</definedName>
    <definedName name="_xlnm.Print_Area" localSheetId="0">'Programa CASETAS REPORTE DIARIO'!$B$1:$U$86</definedName>
    <definedName name="_xlnm._FilterDatabase" localSheetId="1" hidden="1">'Programa CAJAS REPORTE DIARIO'!$A$13:$CQ$77</definedName>
    <definedName name="_xlnm.Print_Area" localSheetId="1">'Programa CAJAS REPORTE DIARIO'!$B$1:$AA$84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Arial"/>
      <family val="2"/>
      <b val="1"/>
      <sz val="11"/>
    </font>
    <font>
      <name val="Arial"/>
      <family val="2"/>
      <sz val="11"/>
    </font>
    <font>
      <name val="Calibri"/>
      <family val="2"/>
      <sz val="8"/>
      <scheme val="minor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9"/>
    </font>
    <font>
      <name val="Arial"/>
      <family val="2"/>
      <color theme="8" tint="0.7999816888943144"/>
      <sz val="9"/>
    </font>
    <font>
      <name val="Calibri"/>
      <family val="2"/>
      <sz val="11"/>
      <scheme val="minor"/>
    </font>
    <font>
      <name val="Calibri"/>
      <family val="2"/>
      <color theme="1"/>
      <sz val="10"/>
      <scheme val="minor"/>
    </font>
    <font>
      <name val="Arial"/>
      <family val="2"/>
      <sz val="10"/>
    </font>
    <font>
      <name val="Calibri"/>
      <family val="2"/>
      <color theme="0"/>
      <sz val="12"/>
      <scheme val="minor"/>
    </font>
    <font>
      <name val="Calibri"/>
      <family val="2"/>
      <color theme="0"/>
      <sz val="9"/>
      <scheme val="minor"/>
    </font>
  </fonts>
  <fills count="12">
    <fill>
      <patternFill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4" tint="0.3999755851924192"/>
        <bgColor theme="4" tint="0.3999755851924192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theme="8" tint="-0.249977111117893"/>
        <bgColor theme="4" tint="0.3999755851924192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</fills>
  <borders count="26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"/>
      </top>
      <bottom style="thin">
        <color theme="4" tint="0.7999816888943144"/>
      </bottom>
      <diagonal/>
    </border>
    <border>
      <left/>
      <right/>
      <top/>
      <bottom style="thin">
        <color theme="4" tint="0.7999816888943144"/>
      </bottom>
      <diagonal/>
    </border>
    <border>
      <left/>
      <right/>
      <top style="thin">
        <color theme="4" tint="-0.249977111117893"/>
      </top>
      <bottom style="thin">
        <color theme="4" tint="0.799981688894314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"/>
      </top>
      <bottom style="thin">
        <color theme="4" tint="-0.249977111117893"/>
      </bottom>
      <diagonal/>
    </border>
    <border>
      <left/>
      <right/>
      <top style="thin">
        <color theme="4" tint="0.7999816888943144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7999816888943144"/>
      </bottom>
      <diagonal/>
    </border>
    <border>
      <left/>
      <right/>
      <top style="thin">
        <color theme="4" tint="0.7999816888943144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"/>
      </bottom>
      <diagonal/>
    </border>
    <border>
      <left/>
      <right/>
      <top style="thin">
        <color theme="4" tint="0.7999816888943144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"/>
      </bottom>
      <diagonal/>
    </border>
    <border>
      <left/>
      <right/>
      <top style="thin">
        <color theme="4" tint="-0.24997711111789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1" fillId="0" borderId="0"/>
    <xf numFmtId="9" fontId="1" fillId="0" borderId="0"/>
    <xf numFmtId="0" fontId="1" fillId="0" borderId="0"/>
    <xf numFmtId="43" fontId="1" fillId="0" borderId="0"/>
  </cellStyleXfs>
  <cellXfs count="80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2" applyAlignment="1" pivotButton="0" quotePrefix="0" xfId="0">
      <alignment horizontal="center" vertical="center"/>
    </xf>
    <xf numFmtId="3" fontId="0" fillId="0" borderId="3" applyAlignment="1" pivotButton="0" quotePrefix="0" xfId="0">
      <alignment horizontal="center" vertical="center"/>
    </xf>
    <xf numFmtId="164" fontId="5" fillId="0" borderId="0" applyAlignment="1" pivotButton="0" quotePrefix="0" xfId="1">
      <alignment horizontal="center"/>
    </xf>
    <xf numFmtId="0" fontId="2" fillId="4" borderId="1" pivotButton="0" quotePrefix="0" xfId="0"/>
    <xf numFmtId="164" fontId="6" fillId="3" borderId="5" applyAlignment="1" pivotButton="0" quotePrefix="0" xfId="0">
      <alignment horizontal="center" vertical="center" wrapText="1"/>
    </xf>
    <xf numFmtId="164" fontId="6" fillId="0" borderId="0" applyAlignment="1" pivotButton="0" quotePrefix="0" xfId="0">
      <alignment horizontal="center" vertical="center"/>
    </xf>
    <xf numFmtId="0" fontId="4" fillId="4" borderId="4" applyAlignment="1" pivotButton="0" quotePrefix="0" xfId="0">
      <alignment horizontal="center" vertical="center" wrapText="1"/>
    </xf>
    <xf numFmtId="3" fontId="6" fillId="3" borderId="5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3" fontId="0" fillId="0" borderId="2" pivotButton="0" quotePrefix="0" xfId="0"/>
    <xf numFmtId="3" fontId="0" fillId="0" borderId="0" pivotButton="0" quotePrefix="0" xfId="0"/>
    <xf numFmtId="164" fontId="5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0" fontId="3" fillId="0" borderId="6" pivotButton="0" quotePrefix="0" xfId="0"/>
    <xf numFmtId="3" fontId="3" fillId="0" borderId="6" pivotButton="0" quotePrefix="0" xfId="0"/>
    <xf numFmtId="3" fontId="3" fillId="0" borderId="6" applyAlignment="1" pivotButton="0" quotePrefix="0" xfId="0">
      <alignment horizontal="center"/>
    </xf>
    <xf numFmtId="4" fontId="0" fillId="0" borderId="0" pivotButton="0" quotePrefix="0" xfId="1"/>
    <xf numFmtId="3" fontId="8" fillId="0" borderId="0" pivotButton="0" quotePrefix="0" xfId="0"/>
    <xf numFmtId="3" fontId="9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3" fontId="3" fillId="0" borderId="6" applyAlignment="1" pivotButton="0" quotePrefix="0" xfId="0">
      <alignment horizontal="center" vertical="center"/>
    </xf>
    <xf numFmtId="16" fontId="10" fillId="6" borderId="7" applyAlignment="1" pivotButton="0" quotePrefix="0" xfId="0">
      <alignment horizontal="center" vertical="center" wrapText="1"/>
    </xf>
    <xf numFmtId="3" fontId="8" fillId="0" borderId="12" pivotButton="0" quotePrefix="0" xfId="0"/>
    <xf numFmtId="165" fontId="10" fillId="6" borderId="7" applyAlignment="1" pivotButton="0" quotePrefix="0" xfId="0">
      <alignment horizontal="center" vertical="center" wrapText="1"/>
    </xf>
    <xf numFmtId="165" fontId="10" fillId="5" borderId="7" applyAlignment="1" pivotButton="0" quotePrefix="0" xfId="0">
      <alignment horizontal="center" vertical="center" wrapText="1"/>
    </xf>
    <xf numFmtId="166" fontId="0" fillId="0" borderId="0" pivotButton="0" quotePrefix="0" xfId="1"/>
    <xf numFmtId="0" fontId="3" fillId="0" borderId="0" pivotButton="0" quotePrefix="0" xfId="0"/>
    <xf numFmtId="3" fontId="3" fillId="0" borderId="0" applyAlignment="1" pivotButton="0" quotePrefix="0" xfId="0">
      <alignment horizontal="center"/>
    </xf>
    <xf numFmtId="0" fontId="0" fillId="0" borderId="2" pivotButton="0" quotePrefix="0" xfId="0"/>
    <xf numFmtId="9" fontId="3" fillId="0" borderId="0" applyAlignment="1" pivotButton="0" quotePrefix="0" xfId="1">
      <alignment horizontal="center"/>
    </xf>
    <xf numFmtId="3" fontId="13" fillId="0" borderId="0" pivotButton="0" quotePrefix="0" xfId="0"/>
    <xf numFmtId="164" fontId="14" fillId="3" borderId="5" applyAlignment="1" pivotButton="0" quotePrefix="0" xfId="0">
      <alignment horizontal="center" vertical="center" wrapText="1"/>
    </xf>
    <xf numFmtId="3" fontId="3" fillId="0" borderId="13" applyAlignment="1" pivotButton="0" quotePrefix="0" xfId="0">
      <alignment horizontal="center" vertical="center"/>
    </xf>
    <xf numFmtId="3" fontId="9" fillId="0" borderId="7" applyAlignment="1" pivotButton="0" quotePrefix="0" xfId="0">
      <alignment horizontal="center" vertical="center"/>
    </xf>
    <xf numFmtId="16" fontId="8" fillId="5" borderId="9" applyAlignment="1" pivotButton="0" quotePrefix="0" xfId="0">
      <alignment vertical="center"/>
    </xf>
    <xf numFmtId="16" fontId="8" fillId="5" borderId="10" applyAlignment="1" pivotButton="0" quotePrefix="0" xfId="0">
      <alignment vertical="center"/>
    </xf>
    <xf numFmtId="16" fontId="8" fillId="5" borderId="11" applyAlignment="1" pivotButton="0" quotePrefix="0" xfId="0">
      <alignment vertical="center"/>
    </xf>
    <xf numFmtId="9" fontId="8" fillId="0" borderId="0" pivotButton="0" quotePrefix="0" xfId="1"/>
    <xf numFmtId="167" fontId="0" fillId="0" borderId="0" applyAlignment="1" pivotButton="0" quotePrefix="0" xfId="0">
      <alignment horizontal="center"/>
    </xf>
    <xf numFmtId="168" fontId="0" fillId="0" borderId="0" applyAlignment="1" pivotButton="0" quotePrefix="0" xfId="0">
      <alignment horizontal="center"/>
    </xf>
    <xf numFmtId="0" fontId="4" fillId="4" borderId="4" applyAlignment="1" pivotButton="0" quotePrefix="0" xfId="0">
      <alignment horizontal="center" vertical="center"/>
    </xf>
    <xf numFmtId="0" fontId="12" fillId="7" borderId="15" pivotButton="0" quotePrefix="0" xfId="0"/>
    <xf numFmtId="0" fontId="12" fillId="8" borderId="18" pivotButton="0" quotePrefix="0" xfId="0"/>
    <xf numFmtId="0" fontId="12" fillId="7" borderId="16" pivotButton="0" quotePrefix="0" xfId="0"/>
    <xf numFmtId="0" fontId="12" fillId="7" borderId="17" pivotButton="0" quotePrefix="0" xfId="0"/>
    <xf numFmtId="0" fontId="12" fillId="7" borderId="2" pivotButton="0" quotePrefix="0" xfId="0"/>
    <xf numFmtId="0" fontId="12" fillId="8" borderId="2" pivotButton="0" quotePrefix="0" xfId="0"/>
    <xf numFmtId="0" fontId="0" fillId="10" borderId="0" pivotButton="0" quotePrefix="0" xfId="0"/>
    <xf numFmtId="0" fontId="4" fillId="9" borderId="0" pivotButton="0" quotePrefix="0" xfId="0"/>
    <xf numFmtId="0" fontId="4" fillId="10" borderId="0" pivotButton="0" quotePrefix="0" xfId="0"/>
    <xf numFmtId="0" fontId="0" fillId="10" borderId="0" applyAlignment="1" pivotButton="0" quotePrefix="0" xfId="0">
      <alignment horizontal="center"/>
    </xf>
    <xf numFmtId="0" fontId="0" fillId="8" borderId="18" pivotButton="0" quotePrefix="0" xfId="0"/>
    <xf numFmtId="0" fontId="4" fillId="4" borderId="19" applyAlignment="1" pivotButton="0" quotePrefix="0" xfId="0">
      <alignment horizontal="center" vertical="center" wrapText="1"/>
    </xf>
    <xf numFmtId="0" fontId="12" fillId="7" borderId="20" pivotButton="0" quotePrefix="0" xfId="0"/>
    <xf numFmtId="0" fontId="12" fillId="7" borderId="3" pivotButton="0" quotePrefix="0" xfId="0"/>
    <xf numFmtId="0" fontId="12" fillId="7" borderId="0" pivotButton="0" quotePrefix="0" xfId="0"/>
    <xf numFmtId="0" fontId="2" fillId="4" borderId="21" pivotButton="0" quotePrefix="0" xfId="0"/>
    <xf numFmtId="0" fontId="4" fillId="11" borderId="4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3"/>
    <xf numFmtId="0" fontId="16" fillId="11" borderId="4" applyAlignment="1" pivotButton="0" quotePrefix="0" xfId="0">
      <alignment horizontal="center" vertical="center" wrapText="1"/>
    </xf>
    <xf numFmtId="0" fontId="16" fillId="4" borderId="19" applyAlignment="1" pivotButton="0" quotePrefix="0" xfId="0">
      <alignment horizontal="center" vertical="center" wrapText="1"/>
    </xf>
    <xf numFmtId="0" fontId="16" fillId="4" borderId="22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15" fillId="2" borderId="14" applyAlignment="1" pivotButton="0" quotePrefix="0" xfId="0">
      <alignment horizontal="center" vertical="center" wrapText="1"/>
    </xf>
    <xf numFmtId="165" fontId="11" fillId="6" borderId="9" applyAlignment="1" pivotButton="0" quotePrefix="0" xfId="0">
      <alignment horizontal="center" vertical="center" wrapText="1"/>
    </xf>
    <xf numFmtId="165" fontId="11" fillId="6" borderId="10" applyAlignment="1" pivotButton="0" quotePrefix="0" xfId="0">
      <alignment horizontal="center" vertical="center" wrapText="1"/>
    </xf>
    <xf numFmtId="165" fontId="11" fillId="6" borderId="11" applyAlignment="1" pivotButton="0" quotePrefix="0" xfId="0">
      <alignment horizontal="center" vertical="center" wrapText="1"/>
    </xf>
    <xf numFmtId="0" fontId="0" fillId="0" borderId="1" pivotButton="0" quotePrefix="0" xfId="0"/>
    <xf numFmtId="165" fontId="11" fillId="6" borderId="7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0" fontId="0" fillId="0" borderId="14" pivotButton="0" quotePrefix="0" xfId="0"/>
    <xf numFmtId="168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</cellXfs>
  <cellStyles count="4">
    <cellStyle name="Normal" xfId="0" builtinId="0"/>
    <cellStyle name="Porcentaje" xfId="1" builtinId="5"/>
    <cellStyle name="Normal 2" xfId="2"/>
    <cellStyle name="Millares" xfId="3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0:DD93"/>
  <sheetViews>
    <sheetView tabSelected="1" topLeftCell="A11" zoomScale="70" zoomScaleNormal="70" workbookViewId="0">
      <pane xSplit="3" ySplit="3" topLeftCell="CJ17" activePane="bottomRight" state="frozen"/>
      <selection activeCell="A11" sqref="A11"/>
      <selection pane="topRight" activeCell="D11" sqref="D11"/>
      <selection pane="bottomLeft" activeCell="A14" sqref="A14"/>
      <selection pane="bottomRight" activeCell="CY29" sqref="CY29"/>
    </sheetView>
  </sheetViews>
  <sheetFormatPr baseColWidth="10" defaultRowHeight="15"/>
  <cols>
    <col width="6" customWidth="1" min="1" max="1"/>
    <col width="32" bestFit="1" customWidth="1" min="2" max="3"/>
    <col width="29.5703125" bestFit="1" customWidth="1" min="4" max="4"/>
    <col width="13.5703125" customWidth="1" min="5" max="5"/>
    <col width="13.42578125" customWidth="1" min="6" max="6"/>
    <col width="18.7109375" customWidth="1" min="7" max="7"/>
    <col width="16.42578125" customWidth="1" min="8" max="8"/>
    <col width="13.42578125" customWidth="1" min="9" max="9"/>
    <col width="15.42578125" customWidth="1" min="10" max="10"/>
    <col width="2.7109375" customWidth="1" min="11" max="11"/>
    <col hidden="1" width="7.5703125" customWidth="1" min="12" max="12"/>
    <col hidden="1" width="7.140625" customWidth="1" min="13" max="15"/>
    <col hidden="1" width="9" customWidth="1" min="16" max="16"/>
    <col hidden="1" width="1.85546875" customWidth="1" min="17" max="17"/>
    <col width="13.5703125" customWidth="1" style="3" min="18" max="18"/>
    <col width="1.5703125" customWidth="1" style="3" min="19" max="19"/>
    <col width="12.85546875" customWidth="1" min="20" max="21"/>
    <col width="3.5703125" customWidth="1" min="22" max="22"/>
    <col outlineLevel="1" width="13.7109375" customWidth="1" min="23" max="26"/>
    <col outlineLevel="1" width="13.5703125" customWidth="1" min="27" max="27"/>
    <col outlineLevel="1" width="13.7109375" customWidth="1" min="28" max="35"/>
    <col outlineLevel="1" width="13.5703125" customWidth="1" min="36" max="36"/>
    <col outlineLevel="1" width="13.42578125" customWidth="1" min="37" max="37"/>
    <col outlineLevel="1" width="13.5703125" customWidth="1" min="38" max="38"/>
    <col outlineLevel="1" width="13.7109375" customWidth="1" min="39" max="39"/>
    <col outlineLevel="1" width="13.5703125" customWidth="1" min="40" max="40"/>
    <col outlineLevel="1" width="13.7109375" customWidth="1" min="41" max="42"/>
    <col outlineLevel="1" width="13.5703125" customWidth="1" min="43" max="91"/>
    <col width="14" customWidth="1" min="92" max="92"/>
    <col width="2.42578125" customWidth="1" min="93" max="93"/>
    <col width="13.85546875" customWidth="1" min="94" max="95"/>
    <col width="14" customWidth="1" min="96" max="96"/>
    <col width="15.7109375" customWidth="1" min="97" max="97"/>
    <col width="11.42578125" customWidth="1" min="98" max="100"/>
    <col width="11.85546875" customWidth="1" min="101" max="101"/>
    <col width="11.42578125" customWidth="1" min="102" max="103"/>
  </cols>
  <sheetData>
    <row r="10">
      <c r="A10" s="31" t="n"/>
      <c r="E10" s="68" t="inlineStr">
        <is>
          <t>MATERIAL COMPRADO</t>
        </is>
      </c>
      <c r="F10" s="73" t="n"/>
      <c r="G10" s="73" t="n"/>
      <c r="H10" s="73" t="n"/>
      <c r="I10" s="1" t="n"/>
      <c r="J10" s="14" t="n"/>
      <c r="R10" s="2" t="n"/>
      <c r="S10" s="2" t="n"/>
      <c r="T10" s="2" t="n">
        <v>15</v>
      </c>
      <c r="U10" s="2" t="n"/>
    </row>
    <row r="11" ht="45" customHeight="1">
      <c r="E11" s="4" t="n"/>
      <c r="F11" s="4" t="n"/>
      <c r="G11" s="4" t="n"/>
      <c r="H11" s="4" t="n"/>
      <c r="I11" s="5" t="n"/>
      <c r="J11" s="5" t="n"/>
      <c r="R11" s="6" t="n"/>
      <c r="S11" s="6" t="n"/>
      <c r="T11" s="6" t="n">
        <v>18</v>
      </c>
      <c r="U11" s="6" t="n"/>
      <c r="W11" s="74" t="inlineStr">
        <is>
          <t>FECHA DE INSTALACION</t>
        </is>
      </c>
      <c r="X11" s="75" t="n"/>
      <c r="Y11" s="75" t="n"/>
      <c r="Z11" s="75" t="n"/>
      <c r="AA11" s="75" t="n"/>
      <c r="AB11" s="75" t="n"/>
      <c r="AC11" s="75" t="n"/>
      <c r="AD11" s="75" t="n"/>
      <c r="AE11" s="75" t="n"/>
      <c r="AF11" s="75" t="n"/>
      <c r="AG11" s="75" t="n"/>
      <c r="AH11" s="75" t="n"/>
      <c r="AI11" s="75" t="n"/>
      <c r="AJ11" s="75" t="n"/>
      <c r="AK11" s="75" t="n"/>
      <c r="AL11" s="75" t="n"/>
      <c r="AM11" s="75" t="n"/>
      <c r="AN11" s="75" t="n"/>
      <c r="AO11" s="75" t="n"/>
      <c r="AP11" s="75" t="n"/>
      <c r="AQ11" s="75" t="n"/>
      <c r="AR11" s="75" t="n"/>
      <c r="AS11" s="75" t="n"/>
      <c r="AT11" s="75" t="n"/>
      <c r="AU11" s="75" t="n"/>
      <c r="AV11" s="75" t="n"/>
      <c r="AW11" s="75" t="n"/>
      <c r="AX11" s="75" t="n"/>
      <c r="AY11" s="75" t="n"/>
      <c r="AZ11" s="75" t="n"/>
      <c r="BA11" s="75" t="n"/>
      <c r="BB11" s="75" t="n"/>
      <c r="BC11" s="75" t="n"/>
      <c r="BD11" s="75" t="n"/>
      <c r="BE11" s="75" t="n"/>
      <c r="BF11" s="75" t="n"/>
      <c r="BG11" s="75" t="n"/>
      <c r="BH11" s="75" t="n"/>
      <c r="BI11" s="75" t="n"/>
      <c r="BJ11" s="75" t="n"/>
      <c r="BK11" s="75" t="n"/>
      <c r="BL11" s="75" t="n"/>
      <c r="BM11" s="75" t="n"/>
      <c r="BN11" s="75" t="n"/>
      <c r="BO11" s="75" t="n"/>
      <c r="BP11" s="75" t="n"/>
      <c r="BQ11" s="75" t="n"/>
      <c r="BR11" s="75" t="n"/>
      <c r="BS11" s="75" t="n"/>
      <c r="BT11" s="75" t="n"/>
      <c r="BU11" s="75" t="n"/>
      <c r="BV11" s="75" t="n"/>
      <c r="BW11" s="75" t="n"/>
      <c r="BX11" s="75" t="n"/>
      <c r="BY11" s="75" t="n"/>
      <c r="BZ11" s="75" t="n"/>
      <c r="CA11" s="75" t="n"/>
      <c r="CB11" s="75" t="n"/>
      <c r="CC11" s="75" t="n"/>
      <c r="CD11" s="75" t="n"/>
      <c r="CE11" s="75" t="n"/>
      <c r="CF11" s="75" t="n"/>
      <c r="CG11" s="75" t="n"/>
      <c r="CH11" s="75" t="n"/>
      <c r="CI11" s="75" t="n"/>
      <c r="CJ11" s="75" t="n"/>
      <c r="CK11" s="75" t="n"/>
      <c r="CL11" s="75" t="n"/>
      <c r="CM11" s="75" t="n"/>
      <c r="CN11" s="76" t="n"/>
      <c r="CP11" s="29" t="n"/>
      <c r="CQ11" s="29" t="n"/>
      <c r="CR11" s="29" t="n"/>
      <c r="CS11" s="29" t="n"/>
      <c r="CT11" s="29" t="n"/>
      <c r="CU11" s="29" t="n"/>
      <c r="CV11" s="29" t="n"/>
      <c r="CW11" s="29" t="n"/>
    </row>
    <row r="12" ht="45" customHeight="1">
      <c r="A12" s="7" t="n"/>
      <c r="B12" s="7" t="n"/>
      <c r="C12" s="7" t="n"/>
      <c r="D12" s="61" t="n"/>
      <c r="E12" s="69" t="inlineStr">
        <is>
          <t xml:space="preserve">CASETAS </t>
        </is>
      </c>
      <c r="F12" s="77" t="n"/>
      <c r="G12" s="77" t="n"/>
      <c r="H12" s="77" t="n"/>
      <c r="I12" s="77" t="n"/>
      <c r="J12" s="77" t="n"/>
      <c r="L12" s="36" t="inlineStr">
        <is>
          <t>IASA</t>
        </is>
      </c>
      <c r="M12" s="36" t="inlineStr">
        <is>
          <t>EULEN</t>
        </is>
      </c>
      <c r="N12" s="36" t="inlineStr">
        <is>
          <t>CISTIC</t>
        </is>
      </c>
      <c r="O12" s="36" t="inlineStr">
        <is>
          <t>KARCLAU</t>
        </is>
      </c>
      <c r="P12" s="36" t="inlineStr">
        <is>
          <t>SIN CONTRATISTA</t>
        </is>
      </c>
      <c r="R12" s="8" t="inlineStr">
        <is>
          <t>Total Parejas</t>
        </is>
      </c>
      <c r="S12" s="9" t="n"/>
      <c r="T12" s="8" t="inlineStr">
        <is>
          <t>Producción diaria</t>
        </is>
      </c>
      <c r="U12" s="8" t="inlineStr">
        <is>
          <t>Producción Semanal</t>
        </is>
      </c>
      <c r="W12" s="26" t="n">
        <v>46307</v>
      </c>
      <c r="X12" s="26" t="n">
        <v>46308</v>
      </c>
      <c r="Y12" s="26" t="n">
        <v>46309</v>
      </c>
      <c r="Z12" s="26" t="n">
        <v>46310</v>
      </c>
      <c r="AA12" s="26" t="n">
        <v>46311</v>
      </c>
      <c r="AB12" s="26" t="n">
        <v>46312</v>
      </c>
      <c r="AC12" s="26" t="n">
        <v>46313</v>
      </c>
      <c r="AD12" s="26" t="n">
        <v>46314</v>
      </c>
      <c r="AE12" s="26" t="n">
        <v>46315</v>
      </c>
      <c r="AF12" s="26" t="n">
        <v>46316</v>
      </c>
      <c r="AG12" s="26" t="n">
        <v>46317</v>
      </c>
      <c r="AH12" s="26" t="n">
        <v>46318</v>
      </c>
      <c r="AI12" s="26" t="n">
        <v>46319</v>
      </c>
      <c r="AJ12" s="26" t="n">
        <v>46320</v>
      </c>
      <c r="AK12" s="26" t="n">
        <v>46321</v>
      </c>
      <c r="AL12" s="26" t="n">
        <v>46322</v>
      </c>
      <c r="AM12" s="26" t="n">
        <v>46323</v>
      </c>
      <c r="AN12" s="26" t="n">
        <v>46324</v>
      </c>
      <c r="AO12" s="26" t="n">
        <v>46325</v>
      </c>
      <c r="AP12" s="26" t="n">
        <v>46326</v>
      </c>
      <c r="AQ12" s="26" t="n">
        <v>46327</v>
      </c>
      <c r="AR12" s="26" t="n">
        <v>46328</v>
      </c>
      <c r="AS12" s="26" t="n">
        <v>46329</v>
      </c>
      <c r="AT12" s="26" t="n">
        <v>46330</v>
      </c>
      <c r="AU12" s="26" t="n">
        <v>46331</v>
      </c>
      <c r="AV12" s="26" t="n">
        <v>46332</v>
      </c>
      <c r="AW12" s="26" t="n">
        <v>46333</v>
      </c>
      <c r="AX12" s="26" t="n">
        <v>46334</v>
      </c>
      <c r="AY12" s="26" t="n">
        <v>46335</v>
      </c>
      <c r="AZ12" s="26" t="n">
        <v>46336</v>
      </c>
      <c r="BA12" s="26" t="n">
        <v>46337</v>
      </c>
      <c r="BB12" s="26" t="n">
        <v>46338</v>
      </c>
      <c r="BC12" s="26" t="n">
        <v>46339</v>
      </c>
      <c r="BD12" s="26" t="n">
        <v>46340</v>
      </c>
      <c r="BE12" s="26" t="n">
        <v>46341</v>
      </c>
      <c r="BF12" s="26" t="n">
        <v>46342</v>
      </c>
      <c r="BG12" s="26" t="n">
        <v>46343</v>
      </c>
      <c r="BH12" s="26" t="n">
        <v>46344</v>
      </c>
      <c r="BI12" s="26" t="n">
        <v>46345</v>
      </c>
      <c r="BJ12" s="26" t="n">
        <v>46346</v>
      </c>
      <c r="BK12" s="26" t="n">
        <v>46347</v>
      </c>
      <c r="BL12" s="26" t="n">
        <v>46348</v>
      </c>
      <c r="BM12" s="26" t="n">
        <v>46349</v>
      </c>
      <c r="BN12" s="26" t="n">
        <v>46350</v>
      </c>
      <c r="BO12" s="26" t="n">
        <v>46351</v>
      </c>
      <c r="BP12" s="26" t="n">
        <v>46352</v>
      </c>
      <c r="BQ12" s="26" t="n">
        <v>46353</v>
      </c>
      <c r="BR12" s="26" t="n">
        <v>46354</v>
      </c>
      <c r="BS12" s="26" t="n">
        <v>46355</v>
      </c>
      <c r="BT12" s="26" t="n">
        <v>46356</v>
      </c>
      <c r="BU12" s="26" t="n">
        <v>46357</v>
      </c>
      <c r="BV12" s="26" t="n">
        <v>46358</v>
      </c>
      <c r="BW12" s="26" t="n">
        <v>46359</v>
      </c>
      <c r="BX12" s="26" t="n">
        <v>46360</v>
      </c>
      <c r="BY12" s="26" t="n">
        <v>46361</v>
      </c>
      <c r="BZ12" s="26" t="n">
        <v>46362</v>
      </c>
      <c r="CA12" s="26" t="n">
        <v>46363</v>
      </c>
      <c r="CB12" s="26" t="n">
        <v>46364</v>
      </c>
      <c r="CC12" s="26" t="n">
        <v>46365</v>
      </c>
      <c r="CD12" s="26" t="n">
        <v>46366</v>
      </c>
      <c r="CE12" s="26" t="n">
        <v>46367</v>
      </c>
      <c r="CF12" s="26" t="n">
        <v>46368</v>
      </c>
      <c r="CG12" s="26" t="n">
        <v>46369</v>
      </c>
      <c r="CH12" s="26" t="n">
        <v>46370</v>
      </c>
      <c r="CI12" s="26" t="n">
        <v>46371</v>
      </c>
      <c r="CJ12" s="26" t="n">
        <v>46372</v>
      </c>
      <c r="CK12" s="26" t="n">
        <v>46373</v>
      </c>
      <c r="CL12" s="26" t="n">
        <v>46374</v>
      </c>
      <c r="CM12" s="26" t="n">
        <v>46375</v>
      </c>
      <c r="CN12" s="28" t="inlineStr">
        <is>
          <t>TOTAL</t>
        </is>
      </c>
      <c r="CP12" s="29" t="inlineStr">
        <is>
          <t>TOTAL COLOCADAS</t>
        </is>
      </c>
      <c r="CQ12" s="29" t="inlineStr">
        <is>
          <t>NO ENCONTRADAS ACUMULADAS</t>
        </is>
      </c>
      <c r="CR12" s="29" t="inlineStr">
        <is>
          <t>ATENDIDAS</t>
        </is>
      </c>
      <c r="CS12" s="29" t="inlineStr">
        <is>
          <t>OBSERVACIONES</t>
        </is>
      </c>
      <c r="CT12" s="29" t="inlineStr">
        <is>
          <t>FECHA INICIO</t>
        </is>
      </c>
      <c r="CU12" s="29" t="inlineStr">
        <is>
          <t>MATERIAL RECIBIDO (UNIDADES)</t>
        </is>
      </c>
      <c r="CV12" s="29" t="inlineStr">
        <is>
          <t>MATERIAL CASETAS</t>
        </is>
      </c>
      <c r="CW12" s="29" t="inlineStr">
        <is>
          <t>MATERIAL DISPONIBLE</t>
        </is>
      </c>
    </row>
    <row r="13" ht="51.75" customFormat="1" customHeight="1" s="12">
      <c r="A13" s="10" t="inlineStr">
        <is>
          <t>OR</t>
        </is>
      </c>
      <c r="B13" s="45" t="inlineStr">
        <is>
          <t>Area trabajo</t>
        </is>
      </c>
      <c r="C13" s="45" t="inlineStr">
        <is>
          <t>AREA</t>
        </is>
      </c>
      <c r="D13" s="10" t="inlineStr">
        <is>
          <t>Contratista Confirmado Oct 2026</t>
        </is>
      </c>
      <c r="E13" s="62" t="inlineStr">
        <is>
          <t>NORMAL</t>
        </is>
      </c>
      <c r="F13" s="62" t="inlineStr">
        <is>
          <t>MINI</t>
        </is>
      </c>
      <c r="G13" s="62" t="inlineStr">
        <is>
          <t>SEMICIRCULAR</t>
        </is>
      </c>
      <c r="H13" s="62" t="inlineStr">
        <is>
          <t>DOBLE REFORMA</t>
        </is>
      </c>
      <c r="I13" s="62" t="inlineStr">
        <is>
          <t>CUICUILCO</t>
        </is>
      </c>
      <c r="J13" s="62" t="inlineStr">
        <is>
          <t>Total general</t>
        </is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R13" s="11" t="n">
        <v>181</v>
      </c>
      <c r="S13" s="2" t="n"/>
      <c r="T13" s="11" t="n">
        <v>3258</v>
      </c>
      <c r="U13" s="11" t="n">
        <v>19548</v>
      </c>
      <c r="W13" s="23">
        <f>+W79</f>
        <v/>
      </c>
      <c r="X13" s="23">
        <f>+X79</f>
        <v/>
      </c>
      <c r="Y13" s="23">
        <f>+Y79</f>
        <v/>
      </c>
      <c r="Z13" s="23">
        <f>+Z79</f>
        <v/>
      </c>
      <c r="AA13" s="23">
        <f>+AA79</f>
        <v/>
      </c>
      <c r="AB13" s="23">
        <f>+AB79</f>
        <v/>
      </c>
      <c r="AC13" s="23">
        <f>+AC79</f>
        <v/>
      </c>
      <c r="AD13" s="23">
        <f>+AD79</f>
        <v/>
      </c>
      <c r="AE13" s="23">
        <f>+AE79</f>
        <v/>
      </c>
      <c r="AF13" s="23">
        <f>+AF79</f>
        <v/>
      </c>
      <c r="AG13" s="23">
        <f>+AG79</f>
        <v/>
      </c>
      <c r="AH13" s="23">
        <f>+AH79</f>
        <v/>
      </c>
      <c r="AI13" s="23">
        <f>+AI79</f>
        <v/>
      </c>
      <c r="AJ13" s="23">
        <f>+AJ79</f>
        <v/>
      </c>
      <c r="AK13" s="23">
        <f>+AK79</f>
        <v/>
      </c>
      <c r="AL13" s="23">
        <f>+AL79</f>
        <v/>
      </c>
      <c r="AM13" s="23">
        <f>+AM79</f>
        <v/>
      </c>
      <c r="AN13" s="23">
        <f>+AN79</f>
        <v/>
      </c>
      <c r="AO13" s="23">
        <f>+AO79</f>
        <v/>
      </c>
      <c r="AP13" s="23">
        <f>+AP79</f>
        <v/>
      </c>
      <c r="AQ13" s="23">
        <f>+AQ79</f>
        <v/>
      </c>
      <c r="AR13" s="23">
        <f>+AR79</f>
        <v/>
      </c>
      <c r="AS13" s="23">
        <f>+AS79</f>
        <v/>
      </c>
      <c r="AT13" s="23">
        <f>+AT79</f>
        <v/>
      </c>
      <c r="AU13" s="23">
        <f>+AU79</f>
        <v/>
      </c>
      <c r="AV13" s="23">
        <f>+AV79</f>
        <v/>
      </c>
      <c r="AW13" s="23">
        <f>+AW79</f>
        <v/>
      </c>
      <c r="AX13" s="23">
        <f>+AX79</f>
        <v/>
      </c>
      <c r="AY13" s="23">
        <f>+AY79</f>
        <v/>
      </c>
      <c r="AZ13" s="23">
        <f>+AZ79</f>
        <v/>
      </c>
      <c r="BA13" s="23">
        <f>+BA79</f>
        <v/>
      </c>
      <c r="BB13" s="23">
        <f>+BB79</f>
        <v/>
      </c>
      <c r="BC13" s="23">
        <f>+BC79</f>
        <v/>
      </c>
      <c r="BD13" s="23">
        <f>+BD79</f>
        <v/>
      </c>
      <c r="BE13" s="23">
        <f>+BE79</f>
        <v/>
      </c>
      <c r="BF13" s="23">
        <f>+BF79</f>
        <v/>
      </c>
      <c r="BG13" s="23">
        <f>+BG79</f>
        <v/>
      </c>
      <c r="BH13" s="23">
        <f>+BH79</f>
        <v/>
      </c>
      <c r="BI13" s="23">
        <f>+BI79</f>
        <v/>
      </c>
      <c r="BJ13" s="23">
        <f>+BJ79</f>
        <v/>
      </c>
      <c r="BK13" s="23">
        <f>+BK79</f>
        <v/>
      </c>
      <c r="BL13" s="23">
        <f>+BL79</f>
        <v/>
      </c>
      <c r="BM13" s="23">
        <f>+BM79</f>
        <v/>
      </c>
      <c r="BN13" s="23">
        <f>+BN79</f>
        <v/>
      </c>
      <c r="BO13" s="23">
        <f>+BO79</f>
        <v/>
      </c>
      <c r="BP13" s="23">
        <f>+BP79</f>
        <v/>
      </c>
      <c r="BQ13" s="23">
        <f>+BQ79</f>
        <v/>
      </c>
      <c r="BR13" s="23">
        <f>+BR79</f>
        <v/>
      </c>
      <c r="BS13" s="23">
        <f>+BS79</f>
        <v/>
      </c>
      <c r="BT13" s="23">
        <f>+BT79</f>
        <v/>
      </c>
      <c r="BU13" s="23">
        <f>+BU79</f>
        <v/>
      </c>
      <c r="BV13" s="23">
        <f>+BV79</f>
        <v/>
      </c>
      <c r="BW13" s="23">
        <f>+BW79</f>
        <v/>
      </c>
      <c r="BX13" s="23">
        <f>+BX79</f>
        <v/>
      </c>
      <c r="BY13" s="23">
        <f>+BY79</f>
        <v/>
      </c>
      <c r="BZ13" s="23">
        <f>+BZ79</f>
        <v/>
      </c>
      <c r="CA13" s="23">
        <f>+CA79</f>
        <v/>
      </c>
      <c r="CB13" s="23">
        <f>+CB79</f>
        <v/>
      </c>
      <c r="CC13" s="23">
        <f>+CC79</f>
        <v/>
      </c>
      <c r="CD13" s="23">
        <f>+CD79</f>
        <v/>
      </c>
      <c r="CE13" s="23">
        <f>+CE79</f>
        <v/>
      </c>
      <c r="CF13" s="23">
        <f>+CF79</f>
        <v/>
      </c>
      <c r="CG13" s="23">
        <f>+CG79</f>
        <v/>
      </c>
      <c r="CH13" s="23">
        <f>+CH79</f>
        <v/>
      </c>
      <c r="CI13" s="23">
        <f>+CI79</f>
        <v/>
      </c>
      <c r="CJ13" s="23">
        <f>+CJ79</f>
        <v/>
      </c>
      <c r="CK13" s="23">
        <f>+CK79</f>
        <v/>
      </c>
      <c r="CL13" s="23">
        <f>+CL79</f>
        <v/>
      </c>
      <c r="CM13" s="23">
        <f>+CM79</f>
        <v/>
      </c>
      <c r="CN13" s="37">
        <f>+CN79</f>
        <v/>
      </c>
      <c r="CP13" s="39" t="n"/>
      <c r="CQ13" s="40" t="n"/>
      <c r="CR13" s="40" t="n"/>
      <c r="CS13" s="41" t="n"/>
      <c r="CT13" s="29" t="n"/>
      <c r="CU13" s="29" t="n"/>
      <c r="CV13" s="29" t="n"/>
      <c r="CW13" s="29" t="n"/>
      <c r="CY13" s="65" t="inlineStr">
        <is>
          <t>NORMAL</t>
        </is>
      </c>
      <c r="CZ13" s="65" t="inlineStr">
        <is>
          <t>MINI</t>
        </is>
      </c>
      <c r="DA13" s="65" t="inlineStr">
        <is>
          <t>SEMICIRCULAR</t>
        </is>
      </c>
      <c r="DB13" s="65" t="inlineStr">
        <is>
          <t>DOBLE REFORMA</t>
        </is>
      </c>
      <c r="DC13" s="65" t="inlineStr">
        <is>
          <t>CUICUILCO</t>
        </is>
      </c>
      <c r="DD13" s="65" t="inlineStr">
        <is>
          <t>TOTAL RECIBDO</t>
        </is>
      </c>
    </row>
    <row r="14" ht="15" customHeight="1">
      <c r="A14" s="33" t="inlineStr">
        <is>
          <t>AAA</t>
        </is>
      </c>
      <c r="B14" s="46" t="inlineStr">
        <is>
          <t>CDMX Y AREA CONURBADA</t>
        </is>
      </c>
      <c r="C14" s="47" t="inlineStr">
        <is>
          <t>BALBUENA</t>
        </is>
      </c>
      <c r="D14" s="33" t="inlineStr">
        <is>
          <t>EULEN</t>
        </is>
      </c>
      <c r="E14" s="13" t="n">
        <v>322</v>
      </c>
      <c r="F14" s="13" t="n">
        <v>40</v>
      </c>
      <c r="G14" s="13" t="n"/>
      <c r="H14" s="13" t="n"/>
      <c r="I14" s="13" t="n"/>
      <c r="J14" s="13" t="n">
        <v>362</v>
      </c>
      <c r="L14" s="3" t="n"/>
      <c r="M14" s="3" t="n"/>
      <c r="N14" s="3" t="n"/>
      <c r="O14" s="3" t="n"/>
      <c r="P14" s="3" t="n"/>
      <c r="R14" s="3" t="n">
        <v>1</v>
      </c>
      <c r="S14" s="15" t="n"/>
      <c r="T14" s="16" t="n">
        <v>18</v>
      </c>
      <c r="U14" s="16" t="n">
        <v>108</v>
      </c>
      <c r="W14" s="24" t="n"/>
      <c r="X14" s="24" t="n"/>
      <c r="Y14" s="24" t="n"/>
      <c r="Z14" s="24" t="n"/>
      <c r="AA14" s="24" t="n"/>
      <c r="AB14" s="24" t="n"/>
      <c r="AC14" s="24" t="n"/>
      <c r="AD14" s="24" t="n"/>
      <c r="AE14" s="24" t="n"/>
      <c r="AF14" s="24" t="n"/>
      <c r="AG14" s="24" t="n"/>
      <c r="AH14" s="24" t="n"/>
      <c r="AI14" s="24" t="n"/>
      <c r="AJ14" s="24" t="n"/>
      <c r="AK14" s="24" t="n"/>
      <c r="AL14" s="24" t="n"/>
      <c r="AM14" s="24" t="n"/>
      <c r="AN14" s="24" t="n"/>
      <c r="AO14" s="24" t="n"/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n"/>
      <c r="AY14" s="24" t="n"/>
      <c r="AZ14" s="24" t="n"/>
      <c r="BA14" s="24" t="n"/>
      <c r="BB14" s="24" t="n"/>
      <c r="BC14" s="24" t="n"/>
      <c r="BD14" s="24" t="n"/>
      <c r="BE14" s="24" t="n"/>
      <c r="BF14" s="24" t="n"/>
      <c r="BG14" s="24" t="n"/>
      <c r="BH14" s="24" t="n"/>
      <c r="BI14" s="24" t="n"/>
      <c r="BJ14" s="24" t="n"/>
      <c r="BK14" s="24" t="n"/>
      <c r="BL14" s="24" t="n"/>
      <c r="BM14" s="24" t="n"/>
      <c r="BN14" s="24" t="n"/>
      <c r="BO14" s="24" t="n"/>
      <c r="BP14" s="24" t="n"/>
      <c r="BQ14" s="24" t="n"/>
      <c r="BR14" s="24" t="n"/>
      <c r="BS14" s="24" t="n"/>
      <c r="BT14" s="24" t="n"/>
      <c r="BU14" s="24" t="n"/>
      <c r="BV14" s="24" t="n"/>
      <c r="BW14" s="24" t="n"/>
      <c r="BX14" s="24" t="n"/>
      <c r="BY14" s="24" t="n"/>
      <c r="BZ14" s="24" t="n"/>
      <c r="CA14" s="24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37">
        <f>+SUM(W14:CM14)</f>
        <v/>
      </c>
      <c r="CP14" s="27">
        <f>CN14</f>
        <v/>
      </c>
      <c r="CQ14" s="22" t="n">
        <v>0</v>
      </c>
      <c r="CR14" s="22">
        <f>CP14+CQ14</f>
        <v/>
      </c>
      <c r="CS14" s="42" t="n"/>
      <c r="CT14" s="78" t="n"/>
      <c r="CU14" s="14">
        <f>DD14</f>
        <v/>
      </c>
      <c r="CV14" s="14">
        <f>CU14/2</f>
        <v/>
      </c>
      <c r="CW14" s="14">
        <f>CV14-CP14</f>
        <v/>
      </c>
      <c r="CX14" s="79" t="n"/>
      <c r="CY14" s="17" t="n"/>
      <c r="DD14" s="14">
        <f>SUM(CY14:DC14)</f>
        <v/>
      </c>
    </row>
    <row r="15">
      <c r="A15" s="33" t="inlineStr">
        <is>
          <t>AAA</t>
        </is>
      </c>
      <c r="B15" s="48" t="n"/>
      <c r="C15" s="47" t="inlineStr">
        <is>
          <t>CUAUTITLAN</t>
        </is>
      </c>
      <c r="D15" s="33" t="inlineStr">
        <is>
          <t>EULEN</t>
        </is>
      </c>
      <c r="E15" s="13" t="n">
        <v>756</v>
      </c>
      <c r="F15" s="13" t="n">
        <v>143</v>
      </c>
      <c r="G15" s="13" t="n"/>
      <c r="H15" s="13" t="n"/>
      <c r="I15" s="13" t="n"/>
      <c r="J15" t="n">
        <v>899</v>
      </c>
      <c r="L15" s="3" t="n"/>
      <c r="M15" s="3" t="n"/>
      <c r="N15" s="3" t="n"/>
      <c r="O15" s="3" t="n"/>
      <c r="P15" s="3" t="n"/>
      <c r="R15" s="3" t="n">
        <v>3</v>
      </c>
      <c r="S15" s="15" t="n"/>
      <c r="T15" s="16" t="n">
        <v>54</v>
      </c>
      <c r="U15" s="16" t="n">
        <v>324</v>
      </c>
      <c r="W15" s="24" t="n"/>
      <c r="X15" s="24" t="n"/>
      <c r="Y15" s="24" t="n"/>
      <c r="Z15" s="24" t="n"/>
      <c r="AA15" s="24" t="n"/>
      <c r="AB15" s="24" t="n"/>
      <c r="AC15" s="24" t="n"/>
      <c r="AD15" s="24" t="n"/>
      <c r="AE15" s="24" t="n"/>
      <c r="AF15" s="24" t="n"/>
      <c r="AG15" s="24" t="n"/>
      <c r="AH15" s="24" t="n"/>
      <c r="AI15" s="24" t="n"/>
      <c r="AJ15" s="24" t="n"/>
      <c r="AK15" s="24" t="n"/>
      <c r="AL15" s="24" t="n"/>
      <c r="AM15" s="24" t="n"/>
      <c r="AN15" s="24" t="n"/>
      <c r="AO15" s="24" t="n"/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n"/>
      <c r="AY15" s="24" t="n"/>
      <c r="AZ15" s="24" t="n"/>
      <c r="BA15" s="24" t="n"/>
      <c r="BB15" s="24" t="n"/>
      <c r="BC15" s="24" t="n"/>
      <c r="BD15" s="24" t="n"/>
      <c r="BE15" s="24" t="n"/>
      <c r="BF15" s="24" t="n"/>
      <c r="BG15" s="24" t="n"/>
      <c r="BH15" s="24" t="n"/>
      <c r="BI15" s="24" t="n"/>
      <c r="BJ15" s="24" t="n"/>
      <c r="BK15" s="24" t="n"/>
      <c r="BL15" s="24" t="n"/>
      <c r="BM15" s="24" t="n"/>
      <c r="BN15" s="24" t="n"/>
      <c r="BO15" s="24" t="n"/>
      <c r="BP15" s="24" t="n"/>
      <c r="BQ15" s="24" t="n"/>
      <c r="BR15" s="24" t="n"/>
      <c r="BS15" s="24" t="n"/>
      <c r="BT15" s="24" t="n"/>
      <c r="BU15" s="24" t="n"/>
      <c r="BV15" s="24" t="n"/>
      <c r="BW15" s="24" t="n"/>
      <c r="BX15" s="24" t="n"/>
      <c r="BY15" s="24" t="n"/>
      <c r="BZ15" s="24" t="n"/>
      <c r="CA15" s="24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37">
        <f>+SUM(W15:CM15)</f>
        <v/>
      </c>
      <c r="CP15" s="27">
        <f>CN15</f>
        <v/>
      </c>
      <c r="CQ15" s="22" t="n">
        <v>0</v>
      </c>
      <c r="CR15" s="22">
        <f>CP15+CQ15</f>
        <v/>
      </c>
      <c r="CS15" s="42" t="n"/>
      <c r="CT15" s="78" t="n"/>
      <c r="CU15" s="14">
        <f>DD15</f>
        <v/>
      </c>
      <c r="CV15" s="14">
        <f>CU15/2</f>
        <v/>
      </c>
      <c r="CW15" s="14">
        <f>CV15-CP15</f>
        <v/>
      </c>
      <c r="CX15" s="79" t="n"/>
      <c r="CY15" s="17" t="n"/>
      <c r="DD15" s="14">
        <f>SUM(CY15:DC15)</f>
        <v/>
      </c>
    </row>
    <row r="16">
      <c r="A16" s="33" t="inlineStr">
        <is>
          <t>AAA</t>
        </is>
      </c>
      <c r="B16" s="48" t="n"/>
      <c r="C16" s="47" t="inlineStr">
        <is>
          <t>ECATEPEC</t>
        </is>
      </c>
      <c r="D16" s="33" t="inlineStr">
        <is>
          <t>EULEN</t>
        </is>
      </c>
      <c r="E16" s="13" t="n">
        <v>572</v>
      </c>
      <c r="F16" s="13" t="n">
        <v>204</v>
      </c>
      <c r="G16" s="13" t="n">
        <v>9</v>
      </c>
      <c r="H16" s="13" t="n"/>
      <c r="I16" s="13" t="n"/>
      <c r="J16" t="n">
        <v>785</v>
      </c>
      <c r="L16" s="3" t="n"/>
      <c r="M16" s="3" t="n"/>
      <c r="N16" s="3" t="n"/>
      <c r="O16" s="3" t="n"/>
      <c r="P16" s="3" t="n"/>
      <c r="R16" s="3" t="n">
        <v>2</v>
      </c>
      <c r="S16" s="15" t="n"/>
      <c r="T16" s="16" t="n">
        <v>36</v>
      </c>
      <c r="U16" s="16" t="n">
        <v>216</v>
      </c>
      <c r="W16" s="24" t="n"/>
      <c r="X16" s="24" t="n"/>
      <c r="Y16" s="24" t="n"/>
      <c r="Z16" s="24" t="n"/>
      <c r="AA16" s="24" t="n"/>
      <c r="AB16" s="24" t="n"/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4" t="n"/>
      <c r="AL16" s="24" t="n"/>
      <c r="AM16" s="24" t="n"/>
      <c r="AN16" s="24" t="n"/>
      <c r="AO16" s="24" t="n"/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n"/>
      <c r="AY16" s="24" t="n"/>
      <c r="AZ16" s="24" t="n"/>
      <c r="BA16" s="24" t="n"/>
      <c r="BB16" s="24" t="n"/>
      <c r="BC16" s="24" t="n"/>
      <c r="BD16" s="24" t="n"/>
      <c r="BE16" s="24" t="n"/>
      <c r="BF16" s="24" t="n"/>
      <c r="BG16" s="24" t="n"/>
      <c r="BH16" s="24" t="n"/>
      <c r="BI16" s="24" t="n"/>
      <c r="BJ16" s="24" t="n"/>
      <c r="BK16" s="24" t="n"/>
      <c r="BL16" s="24" t="n"/>
      <c r="BM16" s="24" t="n"/>
      <c r="BN16" s="24" t="n"/>
      <c r="BO16" s="24" t="n"/>
      <c r="BP16" s="24" t="n"/>
      <c r="BQ16" s="24" t="n"/>
      <c r="BR16" s="24" t="n"/>
      <c r="BS16" s="24" t="n"/>
      <c r="BT16" s="24" t="n"/>
      <c r="BU16" s="24" t="n"/>
      <c r="BV16" s="24" t="n"/>
      <c r="BW16" s="24" t="n"/>
      <c r="BX16" s="24" t="n"/>
      <c r="BY16" s="24" t="n"/>
      <c r="BZ16" s="24" t="n"/>
      <c r="CA16" s="24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37">
        <f>+SUM(W16:CM16)</f>
        <v/>
      </c>
      <c r="CP16" s="27">
        <f>CN16</f>
        <v/>
      </c>
      <c r="CQ16" s="22" t="n">
        <v>0</v>
      </c>
      <c r="CR16" s="22">
        <f>CP16+CQ16</f>
        <v/>
      </c>
      <c r="CS16" s="42" t="n"/>
      <c r="CT16" s="78" t="n"/>
      <c r="CU16" s="14">
        <f>DD16</f>
        <v/>
      </c>
      <c r="CV16" s="14">
        <f>CU16/2</f>
        <v/>
      </c>
      <c r="CW16" s="14">
        <f>CV16-CP16</f>
        <v/>
      </c>
      <c r="CX16" s="79" t="n"/>
      <c r="CY16" s="17" t="n"/>
      <c r="DD16" s="14">
        <f>SUM(CY16:DC16)</f>
        <v/>
      </c>
    </row>
    <row r="17" ht="15" customHeight="1">
      <c r="A17" s="33" t="inlineStr">
        <is>
          <t>AAA</t>
        </is>
      </c>
      <c r="B17" s="48" t="n"/>
      <c r="C17" s="47" t="inlineStr">
        <is>
          <t>ERMITA-TLAHUAC</t>
        </is>
      </c>
      <c r="D17" s="33" t="inlineStr">
        <is>
          <t>EULEN</t>
        </is>
      </c>
      <c r="E17" s="13" t="n">
        <v>192</v>
      </c>
      <c r="F17" s="13" t="n">
        <v>57</v>
      </c>
      <c r="G17" s="13" t="n"/>
      <c r="H17" s="13" t="n"/>
      <c r="I17" s="13" t="n"/>
      <c r="J17" s="13" t="n">
        <v>249</v>
      </c>
      <c r="L17" s="3" t="n"/>
      <c r="M17" s="3" t="n"/>
      <c r="N17" s="3" t="n"/>
      <c r="O17" s="3" t="n"/>
      <c r="P17" s="3" t="n"/>
      <c r="R17" s="3" t="n">
        <v>1</v>
      </c>
      <c r="S17" s="15" t="n"/>
      <c r="T17" s="16" t="n">
        <v>18</v>
      </c>
      <c r="U17" s="16" t="n">
        <v>108</v>
      </c>
      <c r="W17" s="24" t="n"/>
      <c r="X17" s="24" t="n"/>
      <c r="Y17" s="24" t="n"/>
      <c r="Z17" s="24" t="n"/>
      <c r="AA17" s="24" t="n"/>
      <c r="AB17" s="24" t="n"/>
      <c r="AC17" s="24" t="n"/>
      <c r="AD17" s="24" t="n"/>
      <c r="AE17" s="24" t="n"/>
      <c r="AF17" s="24" t="n"/>
      <c r="AG17" s="24" t="n"/>
      <c r="AH17" s="24" t="n"/>
      <c r="AI17" s="24" t="n"/>
      <c r="AJ17" s="24" t="n"/>
      <c r="AK17" s="24" t="n"/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n"/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24" t="n"/>
      <c r="BK17" s="24" t="n"/>
      <c r="BL17" s="24" t="n"/>
      <c r="BM17" s="24" t="n"/>
      <c r="BN17" s="24" t="n"/>
      <c r="BO17" s="24" t="n"/>
      <c r="BP17" s="24" t="n"/>
      <c r="BQ17" s="24" t="n"/>
      <c r="BR17" s="24" t="n"/>
      <c r="BS17" s="24" t="n"/>
      <c r="BT17" s="24" t="n"/>
      <c r="BU17" s="24" t="n"/>
      <c r="BV17" s="24" t="n"/>
      <c r="BW17" s="24" t="n"/>
      <c r="BX17" s="24" t="n"/>
      <c r="BY17" s="24" t="n"/>
      <c r="BZ17" s="24" t="n"/>
      <c r="CA17" s="24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37">
        <f>+SUM(W17:CM17)</f>
        <v/>
      </c>
      <c r="CP17" s="27">
        <f>CN17</f>
        <v/>
      </c>
      <c r="CQ17" s="22" t="n">
        <v>0</v>
      </c>
      <c r="CR17" s="22">
        <f>CP17+CQ17</f>
        <v/>
      </c>
      <c r="CS17" s="42" t="n"/>
      <c r="CT17" s="78" t="n"/>
      <c r="CU17" s="14">
        <f>DD17</f>
        <v/>
      </c>
      <c r="CV17" s="14">
        <f>CU17/2</f>
        <v/>
      </c>
      <c r="CW17" s="14">
        <f>CV17-CP17</f>
        <v/>
      </c>
      <c r="CX17" s="79" t="n"/>
      <c r="CY17" s="17" t="n"/>
      <c r="DD17" s="14">
        <f>SUM(CY17:DC17)</f>
        <v/>
      </c>
    </row>
    <row r="18">
      <c r="A18" s="33" t="inlineStr">
        <is>
          <t>AAA</t>
        </is>
      </c>
      <c r="B18" s="48" t="n"/>
      <c r="C18" s="47" t="inlineStr">
        <is>
          <t>LINDAVISTA</t>
        </is>
      </c>
      <c r="D18" s="33" t="inlineStr">
        <is>
          <t>EULEN</t>
        </is>
      </c>
      <c r="E18" s="13" t="n">
        <v>636</v>
      </c>
      <c r="F18" s="13" t="n">
        <v>251</v>
      </c>
      <c r="G18" s="13" t="n"/>
      <c r="H18" s="13" t="n">
        <v>51</v>
      </c>
      <c r="I18" s="13" t="n"/>
      <c r="J18" s="13" t="n">
        <v>938</v>
      </c>
      <c r="L18" s="3" t="n"/>
      <c r="M18" s="3" t="n"/>
      <c r="N18" s="3" t="n"/>
      <c r="O18" s="3" t="n"/>
      <c r="P18" s="3" t="n"/>
      <c r="R18" s="3" t="n">
        <v>3</v>
      </c>
      <c r="S18" s="15" t="n"/>
      <c r="T18" s="16" t="n">
        <v>54</v>
      </c>
      <c r="U18" s="16" t="n">
        <v>324</v>
      </c>
      <c r="W18" s="24" t="n"/>
      <c r="X18" s="24" t="n"/>
      <c r="Y18" s="24" t="n"/>
      <c r="Z18" s="24" t="n"/>
      <c r="AA18" s="24" t="n"/>
      <c r="AB18" s="24" t="n"/>
      <c r="AC18" s="24" t="n"/>
      <c r="AD18" s="24" t="n"/>
      <c r="AE18" s="24" t="n"/>
      <c r="AF18" s="24" t="n"/>
      <c r="AG18" s="24" t="n"/>
      <c r="AH18" s="24" t="n"/>
      <c r="AI18" s="24" t="n"/>
      <c r="AJ18" s="24" t="n"/>
      <c r="AK18" s="24" t="n"/>
      <c r="AL18" s="24" t="n"/>
      <c r="AM18" s="24" t="n"/>
      <c r="AN18" s="24" t="n"/>
      <c r="AO18" s="24" t="n"/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n"/>
      <c r="BB18" s="24" t="n"/>
      <c r="BC18" s="24" t="n"/>
      <c r="BD18" s="24" t="n"/>
      <c r="BE18" s="24" t="n"/>
      <c r="BF18" s="24" t="n"/>
      <c r="BG18" s="24" t="n"/>
      <c r="BH18" s="24" t="n"/>
      <c r="BI18" s="24" t="n"/>
      <c r="BJ18" s="24" t="n"/>
      <c r="BK18" s="24" t="n"/>
      <c r="BL18" s="24" t="n"/>
      <c r="BM18" s="24" t="n"/>
      <c r="BN18" s="24" t="n"/>
      <c r="BO18" s="24" t="n"/>
      <c r="BP18" s="24" t="n"/>
      <c r="BQ18" s="24" t="n"/>
      <c r="BR18" s="24" t="n"/>
      <c r="BS18" s="24" t="n"/>
      <c r="BT18" s="24" t="n"/>
      <c r="BU18" s="24" t="n"/>
      <c r="BV18" s="24" t="n"/>
      <c r="BW18" s="24" t="n"/>
      <c r="BX18" s="24" t="n"/>
      <c r="BY18" s="24" t="n"/>
      <c r="BZ18" s="24" t="n"/>
      <c r="CA18" s="24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37">
        <f>+SUM(W18:CM18)</f>
        <v/>
      </c>
      <c r="CP18" s="27">
        <f>CN18</f>
        <v/>
      </c>
      <c r="CQ18" s="22" t="n">
        <v>0</v>
      </c>
      <c r="CR18" s="22">
        <f>CP18+CQ18</f>
        <v/>
      </c>
      <c r="CS18" s="42" t="n"/>
      <c r="CT18" s="78" t="n"/>
      <c r="CU18" s="14">
        <f>DD18</f>
        <v/>
      </c>
      <c r="CV18" s="14">
        <f>CU18/2</f>
        <v/>
      </c>
      <c r="CW18" s="14">
        <f>CV18-CP18</f>
        <v/>
      </c>
      <c r="CX18" s="79" t="n"/>
      <c r="CY18" s="17" t="n"/>
      <c r="DD18" s="14">
        <f>SUM(CY18:DC18)</f>
        <v/>
      </c>
    </row>
    <row r="19" ht="15" customHeight="1">
      <c r="A19" s="33" t="inlineStr">
        <is>
          <t>AAA</t>
        </is>
      </c>
      <c r="B19" s="48" t="n"/>
      <c r="C19" s="47" t="inlineStr">
        <is>
          <t>LOMAS</t>
        </is>
      </c>
      <c r="D19" s="33" t="inlineStr">
        <is>
          <t>EULEN</t>
        </is>
      </c>
      <c r="E19" s="13" t="n">
        <v>1392</v>
      </c>
      <c r="F19" s="13" t="n">
        <v>202</v>
      </c>
      <c r="G19" s="13" t="n"/>
      <c r="H19" s="13" t="n">
        <v>83</v>
      </c>
      <c r="I19" s="13" t="n"/>
      <c r="J19" s="13" t="n">
        <v>1677</v>
      </c>
      <c r="L19" s="3" t="n"/>
      <c r="M19" s="3" t="n"/>
      <c r="N19" s="3" t="n"/>
      <c r="O19" s="3" t="n"/>
      <c r="P19" s="3" t="n"/>
      <c r="R19" s="3" t="n">
        <v>4</v>
      </c>
      <c r="S19" s="15" t="n"/>
      <c r="T19" s="16" t="n">
        <v>72</v>
      </c>
      <c r="U19" s="16" t="n">
        <v>432</v>
      </c>
      <c r="W19" s="24" t="n"/>
      <c r="X19" s="24" t="n"/>
      <c r="Y19" s="24" t="n"/>
      <c r="Z19" s="24" t="n"/>
      <c r="AA19" s="24" t="n"/>
      <c r="AB19" s="24" t="n"/>
      <c r="AC19" s="24" t="n"/>
      <c r="AD19" s="24" t="n"/>
      <c r="AE19" s="24" t="n"/>
      <c r="AF19" s="24" t="n"/>
      <c r="AG19" s="24" t="n"/>
      <c r="AH19" s="24" t="n"/>
      <c r="AI19" s="24" t="n"/>
      <c r="AJ19" s="24" t="n"/>
      <c r="AK19" s="24" t="n"/>
      <c r="AL19" s="24" t="n"/>
      <c r="AM19" s="24" t="n"/>
      <c r="AN19" s="24" t="n"/>
      <c r="AO19" s="24" t="n"/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n"/>
      <c r="BB19" s="24" t="n"/>
      <c r="BC19" s="24" t="n"/>
      <c r="BD19" s="24" t="n"/>
      <c r="BE19" s="24" t="n"/>
      <c r="BF19" s="24" t="n"/>
      <c r="BG19" s="24" t="n"/>
      <c r="BH19" s="24" t="n"/>
      <c r="BI19" s="24" t="n"/>
      <c r="BJ19" s="24" t="n"/>
      <c r="BK19" s="24" t="n"/>
      <c r="BL19" s="24" t="n"/>
      <c r="BM19" s="24" t="n"/>
      <c r="BN19" s="24" t="n"/>
      <c r="BO19" s="24" t="n"/>
      <c r="BP19" s="24" t="n"/>
      <c r="BQ19" s="24" t="n"/>
      <c r="BR19" s="24" t="n"/>
      <c r="BS19" s="24" t="n"/>
      <c r="BT19" s="24" t="n"/>
      <c r="BU19" s="24" t="n"/>
      <c r="BV19" s="24" t="n"/>
      <c r="BW19" s="24" t="n"/>
      <c r="BX19" s="24" t="n"/>
      <c r="BY19" s="24" t="n"/>
      <c r="BZ19" s="24" t="n"/>
      <c r="CA19" s="24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37">
        <f>+SUM(W19:CM19)</f>
        <v/>
      </c>
      <c r="CP19" s="27">
        <f>CN19</f>
        <v/>
      </c>
      <c r="CQ19" s="22" t="n">
        <v>0</v>
      </c>
      <c r="CR19" s="22">
        <f>CP19+CQ19</f>
        <v/>
      </c>
      <c r="CS19" s="42" t="n"/>
      <c r="CT19" s="78" t="n"/>
      <c r="CU19" s="14">
        <f>DD19</f>
        <v/>
      </c>
      <c r="CV19" s="14">
        <f>CU19/2</f>
        <v/>
      </c>
      <c r="CW19" s="14">
        <f>CV19-CP19</f>
        <v/>
      </c>
      <c r="CX19" s="79" t="n"/>
      <c r="CY19" s="17" t="n"/>
      <c r="DD19" s="14">
        <f>SUM(CY19:DC19)</f>
        <v/>
      </c>
    </row>
    <row r="20">
      <c r="A20" s="33" t="inlineStr">
        <is>
          <t>AAA</t>
        </is>
      </c>
      <c r="B20" s="48" t="n"/>
      <c r="C20" s="47" t="inlineStr">
        <is>
          <t>MIXCOAC</t>
        </is>
      </c>
      <c r="D20" s="33" t="inlineStr">
        <is>
          <t>EULEN</t>
        </is>
      </c>
      <c r="E20" s="13" t="n">
        <v>308</v>
      </c>
      <c r="F20" s="13" t="n">
        <v>22</v>
      </c>
      <c r="G20" s="13" t="n"/>
      <c r="H20" s="13" t="n">
        <v>2</v>
      </c>
      <c r="I20" s="13" t="n"/>
      <c r="J20" s="13" t="n">
        <v>332</v>
      </c>
      <c r="L20" s="3" t="n"/>
      <c r="M20" s="3" t="n"/>
      <c r="N20" s="3" t="n"/>
      <c r="O20" s="3" t="n"/>
      <c r="P20" s="3" t="n"/>
      <c r="R20" s="3" t="n">
        <v>1</v>
      </c>
      <c r="S20" s="15" t="n"/>
      <c r="T20" s="16" t="n">
        <v>18</v>
      </c>
      <c r="U20" s="16" t="n">
        <v>108</v>
      </c>
      <c r="W20" s="24" t="n"/>
      <c r="X20" s="24" t="n"/>
      <c r="Y20" s="24" t="n"/>
      <c r="Z20" s="24" t="n"/>
      <c r="AA20" s="24" t="n"/>
      <c r="AB20" s="24" t="n"/>
      <c r="AC20" s="24" t="n"/>
      <c r="AD20" s="24" t="n"/>
      <c r="AE20" s="24" t="n"/>
      <c r="AF20" s="24" t="n"/>
      <c r="AG20" s="24" t="n"/>
      <c r="AH20" s="24" t="n"/>
      <c r="AI20" s="24" t="n"/>
      <c r="AJ20" s="24" t="n"/>
      <c r="AK20" s="24" t="n"/>
      <c r="AL20" s="24" t="n"/>
      <c r="AM20" s="24" t="n"/>
      <c r="AN20" s="24" t="n"/>
      <c r="AO20" s="24" t="n"/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n"/>
      <c r="BB20" s="24" t="n"/>
      <c r="BC20" s="24" t="n"/>
      <c r="BD20" s="24" t="n"/>
      <c r="BE20" s="24" t="n"/>
      <c r="BF20" s="24" t="n"/>
      <c r="BG20" s="24" t="n"/>
      <c r="BH20" s="24" t="n"/>
      <c r="BI20" s="24" t="n"/>
      <c r="BJ20" s="24" t="n"/>
      <c r="BK20" s="24" t="n"/>
      <c r="BL20" s="24" t="n"/>
      <c r="BM20" s="24" t="n"/>
      <c r="BN20" s="24" t="n"/>
      <c r="BO20" s="24" t="n"/>
      <c r="BP20" s="24" t="n"/>
      <c r="BQ20" s="24" t="n"/>
      <c r="BR20" s="24" t="n"/>
      <c r="BS20" s="24" t="n"/>
      <c r="BT20" s="24" t="n"/>
      <c r="BU20" s="24" t="n"/>
      <c r="BV20" s="24" t="n"/>
      <c r="BW20" s="24" t="n"/>
      <c r="BX20" s="24" t="n"/>
      <c r="BY20" s="24" t="n"/>
      <c r="BZ20" s="24" t="n"/>
      <c r="CA20" s="24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37">
        <f>+SUM(W20:CM20)</f>
        <v/>
      </c>
      <c r="CP20" s="27">
        <f>CN20</f>
        <v/>
      </c>
      <c r="CQ20" s="22" t="n">
        <v>0</v>
      </c>
      <c r="CR20" s="22">
        <f>CP20+CQ20</f>
        <v/>
      </c>
      <c r="CS20" s="42" t="n"/>
      <c r="CT20" s="78" t="n"/>
      <c r="CU20" s="14">
        <f>DD20</f>
        <v/>
      </c>
      <c r="CV20" s="14">
        <f>CU20/2</f>
        <v/>
      </c>
      <c r="CW20" s="14">
        <f>CV20-CP20</f>
        <v/>
      </c>
      <c r="CX20" s="79" t="n"/>
      <c r="CY20" s="17" t="n"/>
      <c r="DD20" s="14">
        <f>SUM(CY20:DC20)</f>
        <v/>
      </c>
    </row>
    <row r="21">
      <c r="A21" s="33" t="inlineStr">
        <is>
          <t>AAA</t>
        </is>
      </c>
      <c r="B21" s="48" t="n"/>
      <c r="C21" s="47" t="inlineStr">
        <is>
          <t>SATELITE</t>
        </is>
      </c>
      <c r="D21" s="33" t="inlineStr">
        <is>
          <t>EULEN</t>
        </is>
      </c>
      <c r="E21" s="13" t="n">
        <v>2132</v>
      </c>
      <c r="F21" s="13" t="n">
        <v>223</v>
      </c>
      <c r="G21" s="13" t="n">
        <v>30</v>
      </c>
      <c r="H21" s="13" t="n"/>
      <c r="I21" s="13" t="n"/>
      <c r="J21" s="13" t="n">
        <v>2385</v>
      </c>
      <c r="L21" s="3" t="n"/>
      <c r="M21" s="3" t="n"/>
      <c r="N21" s="3" t="n"/>
      <c r="O21" s="3" t="n"/>
      <c r="P21" s="3" t="n"/>
      <c r="R21" s="3" t="n">
        <v>6</v>
      </c>
      <c r="S21" s="15" t="n"/>
      <c r="T21" s="16" t="n">
        <v>108</v>
      </c>
      <c r="U21" s="16" t="n">
        <v>648</v>
      </c>
      <c r="W21" s="24" t="n"/>
      <c r="X21" s="24" t="n"/>
      <c r="Y21" s="24" t="n"/>
      <c r="Z21" s="24" t="n"/>
      <c r="AA21" s="24" t="n"/>
      <c r="AB21" s="24" t="n"/>
      <c r="AC21" s="24" t="n"/>
      <c r="AD21" s="24" t="n"/>
      <c r="AE21" s="24" t="n"/>
      <c r="AF21" s="24" t="n"/>
      <c r="AG21" s="24" t="n"/>
      <c r="AH21" s="24" t="n"/>
      <c r="AI21" s="24" t="n"/>
      <c r="AJ21" s="24" t="n"/>
      <c r="AK21" s="24" t="n"/>
      <c r="AL21" s="24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n"/>
      <c r="BI21" s="24" t="n"/>
      <c r="BJ21" s="24" t="n"/>
      <c r="BK21" s="24" t="n"/>
      <c r="BL21" s="24" t="n"/>
      <c r="BM21" s="24" t="n"/>
      <c r="BN21" s="24" t="n"/>
      <c r="BO21" s="24" t="n"/>
      <c r="BP21" s="24" t="n"/>
      <c r="BQ21" s="24" t="n"/>
      <c r="BR21" s="24" t="n"/>
      <c r="BS21" s="24" t="n"/>
      <c r="BT21" s="24" t="n"/>
      <c r="BU21" s="24" t="n"/>
      <c r="BV21" s="24" t="n"/>
      <c r="BW21" s="24" t="n"/>
      <c r="BX21" s="24" t="n"/>
      <c r="BY21" s="24" t="n"/>
      <c r="BZ21" s="24" t="n"/>
      <c r="CA21" s="24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37">
        <f>+SUM(W21:CM21)</f>
        <v/>
      </c>
      <c r="CP21" s="27">
        <f>CN21</f>
        <v/>
      </c>
      <c r="CQ21" s="22" t="n">
        <v>0</v>
      </c>
      <c r="CR21" s="22">
        <f>CP21+CQ21</f>
        <v/>
      </c>
      <c r="CS21" s="42" t="n"/>
      <c r="CT21" s="78" t="n"/>
      <c r="CU21" s="14">
        <f>DD21</f>
        <v/>
      </c>
      <c r="CV21" s="14">
        <f>CU21/2</f>
        <v/>
      </c>
      <c r="CW21" s="14">
        <f>CV21-CP21</f>
        <v/>
      </c>
      <c r="CX21" s="79" t="n"/>
      <c r="CY21" s="17" t="n"/>
      <c r="DD21" s="14">
        <f>SUM(CY21:DC21)</f>
        <v/>
      </c>
    </row>
    <row r="22">
      <c r="A22" s="33" t="inlineStr">
        <is>
          <t>AAA</t>
        </is>
      </c>
      <c r="B22" s="48" t="n"/>
      <c r="C22" s="47" t="inlineStr">
        <is>
          <t>SOTELO</t>
        </is>
      </c>
      <c r="D22" s="33" t="inlineStr">
        <is>
          <t>EULEN</t>
        </is>
      </c>
      <c r="E22" s="13" t="n">
        <v>437</v>
      </c>
      <c r="F22" s="13" t="n">
        <v>56</v>
      </c>
      <c r="G22" s="13" t="n"/>
      <c r="H22" s="13" t="n"/>
      <c r="I22" s="13" t="n"/>
      <c r="J22" s="13" t="n">
        <v>493</v>
      </c>
      <c r="L22" s="3" t="n"/>
      <c r="M22" s="3" t="n"/>
      <c r="N22" s="3" t="n"/>
      <c r="O22" s="3" t="n"/>
      <c r="P22" s="3" t="n"/>
      <c r="R22" s="3" t="n">
        <v>2</v>
      </c>
      <c r="S22" s="15" t="n"/>
      <c r="T22" s="16" t="n">
        <v>36</v>
      </c>
      <c r="U22" s="16" t="n">
        <v>216</v>
      </c>
      <c r="W22" s="24" t="n"/>
      <c r="X22" s="24" t="n"/>
      <c r="Y22" s="24" t="n"/>
      <c r="Z22" s="24" t="n"/>
      <c r="AA22" s="24" t="n"/>
      <c r="AB22" s="24" t="n"/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4" t="n"/>
      <c r="AL22" s="24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n"/>
      <c r="BI22" s="24" t="n"/>
      <c r="BJ22" s="24" t="n"/>
      <c r="BK22" s="24" t="n"/>
      <c r="BL22" s="24" t="n"/>
      <c r="BM22" s="24" t="n"/>
      <c r="BN22" s="24" t="n"/>
      <c r="BO22" s="24" t="n"/>
      <c r="BP22" s="24" t="n"/>
      <c r="BQ22" s="24" t="n"/>
      <c r="BR22" s="24" t="n"/>
      <c r="BS22" s="24" t="n"/>
      <c r="BT22" s="24" t="n"/>
      <c r="BU22" s="24" t="n"/>
      <c r="BV22" s="24" t="n"/>
      <c r="BW22" s="24" t="n"/>
      <c r="BX22" s="24" t="n"/>
      <c r="BY22" s="24" t="n"/>
      <c r="BZ22" s="24" t="n"/>
      <c r="CA22" s="24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37">
        <f>+SUM(W22:CM22)</f>
        <v/>
      </c>
      <c r="CP22" s="27">
        <f>CN22</f>
        <v/>
      </c>
      <c r="CQ22" s="22" t="n">
        <v>0</v>
      </c>
      <c r="CR22" s="22">
        <f>CP22+CQ22</f>
        <v/>
      </c>
      <c r="CS22" s="42" t="n"/>
      <c r="CT22" s="78" t="n"/>
      <c r="CU22" s="14">
        <f>DD22</f>
        <v/>
      </c>
      <c r="CV22" s="14">
        <f>CU22/2</f>
        <v/>
      </c>
      <c r="CW22" s="14">
        <f>CV22-CP22</f>
        <v/>
      </c>
      <c r="CX22" s="79" t="n"/>
      <c r="CY22" s="17" t="n"/>
      <c r="DD22" s="14">
        <f>SUM(CY22:DC22)</f>
        <v/>
      </c>
    </row>
    <row r="23">
      <c r="A23" s="33" t="inlineStr">
        <is>
          <t>AAA</t>
        </is>
      </c>
      <c r="B23" s="48" t="n"/>
      <c r="C23" s="47" t="inlineStr">
        <is>
          <t>TECAMAC</t>
        </is>
      </c>
      <c r="D23" s="33" t="inlineStr">
        <is>
          <t>EULEN</t>
        </is>
      </c>
      <c r="E23" s="13" t="n">
        <v>79</v>
      </c>
      <c r="F23" s="13" t="n">
        <v>8</v>
      </c>
      <c r="G23" s="13" t="n"/>
      <c r="H23" s="13" t="n"/>
      <c r="I23" s="13" t="n"/>
      <c r="J23" s="13" t="n">
        <v>87</v>
      </c>
      <c r="L23" s="3" t="n"/>
      <c r="M23" s="3" t="n"/>
      <c r="N23" s="3" t="n"/>
      <c r="O23" s="3" t="n"/>
      <c r="P23" s="3" t="n"/>
      <c r="R23" s="3" t="n">
        <v>1</v>
      </c>
      <c r="S23" s="15" t="n"/>
      <c r="T23" s="16" t="n">
        <v>18</v>
      </c>
      <c r="U23" s="16" t="n">
        <v>108</v>
      </c>
      <c r="W23" s="24" t="n"/>
      <c r="X23" s="24" t="n"/>
      <c r="Y23" s="24" t="n"/>
      <c r="Z23" s="24" t="n"/>
      <c r="AA23" s="24" t="n"/>
      <c r="AB23" s="24" t="n"/>
      <c r="AC23" s="24" t="n"/>
      <c r="AD23" s="24" t="n"/>
      <c r="AE23" s="24" t="n"/>
      <c r="AF23" s="24" t="n"/>
      <c r="AG23" s="24" t="n"/>
      <c r="AH23" s="24" t="n"/>
      <c r="AI23" s="24" t="n"/>
      <c r="AJ23" s="24" t="n"/>
      <c r="AK23" s="24" t="n"/>
      <c r="AL23" s="24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n"/>
      <c r="BI23" s="24" t="n"/>
      <c r="BJ23" s="24" t="n"/>
      <c r="BK23" s="24" t="n"/>
      <c r="BL23" s="24" t="n"/>
      <c r="BM23" s="24" t="n"/>
      <c r="BN23" s="24" t="n"/>
      <c r="BO23" s="24" t="n"/>
      <c r="BP23" s="24" t="n"/>
      <c r="BQ23" s="24" t="n"/>
      <c r="BR23" s="24" t="n"/>
      <c r="BS23" s="24" t="n"/>
      <c r="BT23" s="24" t="n"/>
      <c r="BU23" s="24" t="n"/>
      <c r="BV23" s="24" t="n"/>
      <c r="BW23" s="24" t="n"/>
      <c r="BX23" s="24" t="n"/>
      <c r="BY23" s="24" t="n"/>
      <c r="BZ23" s="24" t="n"/>
      <c r="CA23" s="24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37">
        <f>+SUM(W23:CM23)</f>
        <v/>
      </c>
      <c r="CP23" s="27">
        <f>CN23</f>
        <v/>
      </c>
      <c r="CQ23" s="22" t="n">
        <v>0</v>
      </c>
      <c r="CR23" s="22">
        <f>CP23+CQ23</f>
        <v/>
      </c>
      <c r="CS23" s="42" t="n"/>
      <c r="CT23" s="78" t="n"/>
      <c r="CU23" s="14">
        <f>DD23</f>
        <v/>
      </c>
      <c r="CV23" s="14">
        <f>CU23/2</f>
        <v/>
      </c>
      <c r="CW23" s="14">
        <f>CV23-CP23</f>
        <v/>
      </c>
      <c r="CX23" s="79" t="n"/>
      <c r="CY23" s="17" t="n"/>
      <c r="DD23" s="14">
        <f>SUM(CY23:DC23)</f>
        <v/>
      </c>
    </row>
    <row r="24">
      <c r="A24" s="33" t="inlineStr">
        <is>
          <t>AAA</t>
        </is>
      </c>
      <c r="B24" s="48" t="n"/>
      <c r="C24" s="47" t="inlineStr">
        <is>
          <t>TEXCOCO-ZARAGOZA</t>
        </is>
      </c>
      <c r="D24" s="33" t="inlineStr">
        <is>
          <t>EULEN</t>
        </is>
      </c>
      <c r="E24" s="13" t="n">
        <v>374</v>
      </c>
      <c r="F24" s="13" t="n">
        <v>110</v>
      </c>
      <c r="G24" s="13" t="n"/>
      <c r="H24" s="13" t="n"/>
      <c r="I24" s="13" t="n"/>
      <c r="J24" s="13" t="n">
        <v>484</v>
      </c>
      <c r="L24" s="3" t="n"/>
      <c r="M24" s="3" t="n"/>
      <c r="N24" s="3" t="n"/>
      <c r="O24" s="3" t="n"/>
      <c r="P24" s="3" t="n"/>
      <c r="R24" s="3" t="n">
        <v>2</v>
      </c>
      <c r="S24" s="15" t="n"/>
      <c r="T24" s="16" t="n">
        <v>36</v>
      </c>
      <c r="U24" s="16" t="n">
        <v>216</v>
      </c>
      <c r="W24" s="24" t="n"/>
      <c r="X24" s="24" t="n"/>
      <c r="Y24" s="24" t="n"/>
      <c r="Z24" s="24" t="n"/>
      <c r="AA24" s="24" t="n"/>
      <c r="AB24" s="24" t="n"/>
      <c r="AC24" s="24" t="n"/>
      <c r="AD24" s="24" t="n"/>
      <c r="AE24" s="24" t="n"/>
      <c r="AF24" s="24" t="n"/>
      <c r="AG24" s="24" t="n"/>
      <c r="AH24" s="24" t="n"/>
      <c r="AI24" s="24" t="n"/>
      <c r="AJ24" s="24" t="n"/>
      <c r="AK24" s="24" t="n"/>
      <c r="AL24" s="24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n"/>
      <c r="BI24" s="24" t="n"/>
      <c r="BJ24" s="24" t="n"/>
      <c r="BK24" s="24" t="n"/>
      <c r="BL24" s="24" t="n"/>
      <c r="BM24" s="24" t="n"/>
      <c r="BN24" s="24" t="n"/>
      <c r="BO24" s="24" t="n"/>
      <c r="BP24" s="24" t="n"/>
      <c r="BQ24" s="24" t="n"/>
      <c r="BR24" s="24" t="n"/>
      <c r="BS24" s="24" t="n"/>
      <c r="BT24" s="24" t="n"/>
      <c r="BU24" s="24" t="n"/>
      <c r="BV24" s="24" t="n"/>
      <c r="BW24" s="24" t="n"/>
      <c r="BX24" s="24" t="n"/>
      <c r="BY24" s="24" t="n"/>
      <c r="BZ24" s="24" t="n"/>
      <c r="CA24" s="24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37">
        <f>+SUM(W24:CM24)</f>
        <v/>
      </c>
      <c r="CP24" s="27">
        <f>CN24</f>
        <v/>
      </c>
      <c r="CQ24" s="22" t="n">
        <v>0</v>
      </c>
      <c r="CR24" s="22">
        <f>CP24+CQ24</f>
        <v/>
      </c>
      <c r="CS24" s="42" t="n"/>
      <c r="CT24" s="78" t="n"/>
      <c r="CU24" s="14">
        <f>DD24</f>
        <v/>
      </c>
      <c r="CV24" s="14">
        <f>CU24/2</f>
        <v/>
      </c>
      <c r="CW24" s="14">
        <f>CV24-CP24</f>
        <v/>
      </c>
      <c r="CX24" s="79" t="n"/>
      <c r="CY24" s="17" t="n"/>
      <c r="DD24" s="14">
        <f>SUM(CY24:DC24)</f>
        <v/>
      </c>
    </row>
    <row r="25">
      <c r="A25" s="33" t="inlineStr">
        <is>
          <t>AAA</t>
        </is>
      </c>
      <c r="B25" s="48" t="n"/>
      <c r="C25" s="47" t="inlineStr">
        <is>
          <t>UNIVERSIDAD</t>
        </is>
      </c>
      <c r="D25" s="33" t="inlineStr">
        <is>
          <t>EULEN</t>
        </is>
      </c>
      <c r="E25" s="13" t="n">
        <v>418</v>
      </c>
      <c r="F25" s="13" t="n">
        <v>71</v>
      </c>
      <c r="G25" s="13" t="n"/>
      <c r="H25" s="13" t="n"/>
      <c r="I25" s="13" t="n">
        <v>3</v>
      </c>
      <c r="J25" s="13" t="n">
        <v>492</v>
      </c>
      <c r="L25" s="3" t="n"/>
      <c r="M25" s="3" t="n"/>
      <c r="N25" s="3" t="n"/>
      <c r="O25" s="3" t="n"/>
      <c r="P25" s="3" t="n"/>
      <c r="R25" s="3" t="n">
        <v>2</v>
      </c>
      <c r="S25" s="15" t="n"/>
      <c r="T25" s="16" t="n">
        <v>36</v>
      </c>
      <c r="U25" s="16" t="n">
        <v>216</v>
      </c>
      <c r="W25" s="24" t="n"/>
      <c r="X25" s="24" t="n"/>
      <c r="Y25" s="24" t="n"/>
      <c r="Z25" s="24" t="n"/>
      <c r="AA25" s="24" t="n"/>
      <c r="AB25" s="24" t="n"/>
      <c r="AC25" s="24" t="n"/>
      <c r="AD25" s="24" t="n"/>
      <c r="AE25" s="24" t="n"/>
      <c r="AF25" s="24" t="n"/>
      <c r="AG25" s="24" t="n"/>
      <c r="AH25" s="24" t="n"/>
      <c r="AI25" s="24" t="n"/>
      <c r="AJ25" s="24" t="n"/>
      <c r="AK25" s="24" t="n"/>
      <c r="AL25" s="24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n"/>
      <c r="BI25" s="24" t="n"/>
      <c r="BJ25" s="24" t="n"/>
      <c r="BK25" s="24" t="n"/>
      <c r="BL25" s="24" t="n"/>
      <c r="BM25" s="24" t="n"/>
      <c r="BN25" s="24" t="n"/>
      <c r="BO25" s="24" t="n"/>
      <c r="BP25" s="24" t="n"/>
      <c r="BQ25" s="24" t="n"/>
      <c r="BR25" s="24" t="n"/>
      <c r="BS25" s="24" t="n"/>
      <c r="BT25" s="24" t="n"/>
      <c r="BU25" s="24" t="n"/>
      <c r="BV25" s="24" t="n"/>
      <c r="BW25" s="24" t="n"/>
      <c r="BX25" s="24" t="n"/>
      <c r="BY25" s="24" t="n"/>
      <c r="BZ25" s="24" t="n"/>
      <c r="CA25" s="24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37">
        <f>+SUM(W25:CM25)</f>
        <v/>
      </c>
      <c r="CP25" s="27">
        <f>CN25</f>
        <v/>
      </c>
      <c r="CQ25" s="22" t="n">
        <v>0</v>
      </c>
      <c r="CR25" s="22">
        <f>CP25+CQ25</f>
        <v/>
      </c>
      <c r="CS25" s="42" t="n"/>
      <c r="CT25" s="78" t="n"/>
      <c r="CU25" s="14">
        <f>DD25</f>
        <v/>
      </c>
      <c r="CV25" s="14">
        <f>CU25/2</f>
        <v/>
      </c>
      <c r="CW25" s="14">
        <f>CV25-CP25</f>
        <v/>
      </c>
      <c r="CX25" s="79" t="n"/>
      <c r="CY25" s="17" t="n"/>
      <c r="DD25" s="14">
        <f>SUM(CY25:DC25)</f>
        <v/>
      </c>
    </row>
    <row r="26" ht="15" customHeight="1">
      <c r="A26" s="33" t="inlineStr">
        <is>
          <t>AAA</t>
        </is>
      </c>
      <c r="B26" s="49" t="n"/>
      <c r="C26" s="47" t="inlineStr">
        <is>
          <t>VALLE-SAN JUAN</t>
        </is>
      </c>
      <c r="D26" s="33" t="inlineStr">
        <is>
          <t>EULEN</t>
        </is>
      </c>
      <c r="E26" s="13" t="n">
        <v>363</v>
      </c>
      <c r="F26" s="13" t="n">
        <v>32</v>
      </c>
      <c r="G26" s="13" t="n"/>
      <c r="H26" s="13" t="n">
        <v>1</v>
      </c>
      <c r="I26" s="13" t="n"/>
      <c r="J26" s="13" t="n">
        <v>396</v>
      </c>
      <c r="L26" s="3" t="n"/>
      <c r="M26" s="3" t="n"/>
      <c r="N26" s="3" t="n"/>
      <c r="O26" s="3" t="n"/>
      <c r="P26" s="3" t="n"/>
      <c r="R26" s="3" t="n">
        <v>1</v>
      </c>
      <c r="S26" s="15" t="n"/>
      <c r="T26" s="16" t="n">
        <v>18</v>
      </c>
      <c r="U26" s="16" t="n">
        <v>108</v>
      </c>
      <c r="W26" s="24" t="n"/>
      <c r="X26" s="24" t="n"/>
      <c r="Y26" s="24" t="n"/>
      <c r="Z26" s="24" t="n"/>
      <c r="AA26" s="24" t="n"/>
      <c r="AB26" s="24" t="n"/>
      <c r="AC26" s="24" t="n"/>
      <c r="AD26" s="24" t="n"/>
      <c r="AE26" s="24" t="n"/>
      <c r="AF26" s="24" t="n"/>
      <c r="AG26" s="24" t="n"/>
      <c r="AH26" s="24" t="n"/>
      <c r="AI26" s="24" t="n"/>
      <c r="AJ26" s="24" t="n"/>
      <c r="AK26" s="24" t="n"/>
      <c r="AL26" s="24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n"/>
      <c r="BI26" s="24" t="n"/>
      <c r="BJ26" s="24" t="n"/>
      <c r="BK26" s="24" t="n"/>
      <c r="BL26" s="24" t="n"/>
      <c r="BM26" s="24" t="n"/>
      <c r="BN26" s="24" t="n"/>
      <c r="BO26" s="24" t="n"/>
      <c r="BP26" s="24" t="n"/>
      <c r="BQ26" s="24" t="n"/>
      <c r="BR26" s="24" t="n"/>
      <c r="BS26" s="24" t="n"/>
      <c r="BT26" s="24" t="n"/>
      <c r="BU26" s="24" t="n"/>
      <c r="BV26" s="24" t="n"/>
      <c r="BW26" s="24" t="n"/>
      <c r="BX26" s="24" t="n"/>
      <c r="BY26" s="24" t="n"/>
      <c r="BZ26" s="24" t="n"/>
      <c r="CA26" s="24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37">
        <f>+SUM(W26:CM26)</f>
        <v/>
      </c>
      <c r="CP26" s="27">
        <f>CN26</f>
        <v/>
      </c>
      <c r="CQ26" s="22" t="n">
        <v>0</v>
      </c>
      <c r="CR26" s="22">
        <f>CP26+CQ26</f>
        <v/>
      </c>
      <c r="CS26" s="42" t="n"/>
      <c r="CT26" s="78" t="n"/>
      <c r="CU26" s="14">
        <f>DD26</f>
        <v/>
      </c>
      <c r="CV26" s="14">
        <f>CU26/2</f>
        <v/>
      </c>
      <c r="CW26" s="14">
        <f>CV26-CP26</f>
        <v/>
      </c>
      <c r="CX26" s="79" t="n"/>
      <c r="CY26" s="17" t="n"/>
      <c r="DD26" s="14">
        <f>SUM(CY26:DC26)</f>
        <v/>
      </c>
    </row>
    <row r="27">
      <c r="A27" s="33" t="inlineStr">
        <is>
          <t>AAA</t>
        </is>
      </c>
      <c r="B27" s="50" t="inlineStr">
        <is>
          <t>MORELOS</t>
        </is>
      </c>
      <c r="C27" s="47" t="inlineStr">
        <is>
          <t>MORELOS</t>
        </is>
      </c>
      <c r="D27" s="33" t="inlineStr">
        <is>
          <t>IASA</t>
        </is>
      </c>
      <c r="E27" s="13" t="n">
        <v>2353</v>
      </c>
      <c r="F27" s="13" t="n">
        <v>312</v>
      </c>
      <c r="G27" s="13" t="n"/>
      <c r="H27" s="13" t="n"/>
      <c r="I27" s="13" t="n"/>
      <c r="J27" s="13" t="n">
        <v>2665</v>
      </c>
      <c r="L27" s="3" t="n"/>
      <c r="M27" s="3" t="n"/>
      <c r="N27" s="3" t="n"/>
      <c r="O27" s="3" t="n"/>
      <c r="P27" s="3" t="n"/>
      <c r="R27" s="3" t="n">
        <v>7</v>
      </c>
      <c r="S27" s="15" t="n"/>
      <c r="T27" s="16" t="n">
        <v>126</v>
      </c>
      <c r="U27" s="16" t="n">
        <v>756</v>
      </c>
      <c r="W27" s="24" t="n"/>
      <c r="X27" s="24" t="n"/>
      <c r="Y27" s="24" t="n"/>
      <c r="Z27" s="24" t="n"/>
      <c r="AA27" s="24" t="n"/>
      <c r="AB27" s="24" t="n">
        <v>24</v>
      </c>
      <c r="AC27" s="24" t="n"/>
      <c r="AD27" s="24" t="n">
        <v>7</v>
      </c>
      <c r="AE27" s="24" t="n">
        <v>16</v>
      </c>
      <c r="AF27" s="24" t="n">
        <v>11</v>
      </c>
      <c r="AG27" s="24" t="n">
        <v>5</v>
      </c>
      <c r="AH27" s="24" t="n"/>
      <c r="AI27" s="24" t="n"/>
      <c r="AJ27" s="24" t="n"/>
      <c r="AK27" s="24" t="n"/>
      <c r="AL27" s="24" t="n"/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n"/>
      <c r="BI27" s="24" t="n"/>
      <c r="BJ27" s="24" t="n"/>
      <c r="BK27" s="24" t="n"/>
      <c r="BL27" s="24" t="n"/>
      <c r="BM27" s="24" t="n"/>
      <c r="BN27" s="24" t="n"/>
      <c r="BO27" s="24" t="n"/>
      <c r="BP27" s="24" t="n"/>
      <c r="BQ27" s="24" t="n"/>
      <c r="BR27" s="24" t="n"/>
      <c r="BS27" s="24" t="n"/>
      <c r="BT27" s="24" t="n"/>
      <c r="BU27" s="24" t="n"/>
      <c r="BV27" s="24" t="n"/>
      <c r="BW27" s="24" t="n"/>
      <c r="BX27" s="24" t="n"/>
      <c r="BY27" s="24" t="n"/>
      <c r="BZ27" s="24" t="n"/>
      <c r="CA27" s="24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37">
        <f>+SUM(W27:CM27)</f>
        <v/>
      </c>
      <c r="CP27" s="27">
        <f>CN27</f>
        <v/>
      </c>
      <c r="CQ27" s="22" t="n">
        <v>0</v>
      </c>
      <c r="CR27" s="22">
        <f>CP27+CQ27</f>
        <v/>
      </c>
      <c r="CS27" s="42" t="n"/>
      <c r="CT27" s="78" t="n"/>
      <c r="CU27" s="14">
        <f>DD27</f>
        <v/>
      </c>
      <c r="CV27" s="14">
        <f>CU27/2</f>
        <v/>
      </c>
      <c r="CW27" s="14">
        <f>CV27-CP27</f>
        <v/>
      </c>
      <c r="CX27" s="79" t="n"/>
      <c r="CY27" s="17" t="n">
        <v>649</v>
      </c>
      <c r="CZ27" t="n">
        <v>92</v>
      </c>
      <c r="DD27" s="14">
        <f>SUM(CY27:DC27)</f>
        <v/>
      </c>
    </row>
    <row r="28">
      <c r="A28" s="33" t="inlineStr">
        <is>
          <t>AAA</t>
        </is>
      </c>
      <c r="B28" s="50" t="inlineStr">
        <is>
          <t>TOLUCA</t>
        </is>
      </c>
      <c r="C28" s="47" t="inlineStr">
        <is>
          <t>TOLUCA</t>
        </is>
      </c>
      <c r="D28" s="33" t="inlineStr">
        <is>
          <t>IASA</t>
        </is>
      </c>
      <c r="E28" s="13" t="n">
        <v>1107</v>
      </c>
      <c r="F28" s="13" t="n">
        <v>270</v>
      </c>
      <c r="G28" s="13" t="n">
        <v>1</v>
      </c>
      <c r="H28" s="13" t="n"/>
      <c r="I28" s="13" t="n"/>
      <c r="J28" s="13" t="n">
        <v>1378</v>
      </c>
      <c r="L28" s="3" t="n"/>
      <c r="M28" s="3" t="n"/>
      <c r="N28" s="3" t="n"/>
      <c r="O28" s="3" t="n"/>
      <c r="P28" s="3" t="n"/>
      <c r="R28" s="3" t="n">
        <v>4</v>
      </c>
      <c r="S28" s="15" t="n"/>
      <c r="T28" s="16" t="n">
        <v>72</v>
      </c>
      <c r="U28" s="16" t="n">
        <v>432</v>
      </c>
      <c r="W28" s="24" t="n"/>
      <c r="X28" s="24" t="n"/>
      <c r="Y28" s="24" t="n"/>
      <c r="Z28" s="24" t="n"/>
      <c r="AA28" s="24" t="n"/>
      <c r="AB28" s="24" t="n"/>
      <c r="AC28" s="24" t="n"/>
      <c r="AD28" s="24" t="n"/>
      <c r="AE28" s="24" t="n"/>
      <c r="AF28" s="24" t="n"/>
      <c r="AG28" s="24" t="n">
        <v>43</v>
      </c>
      <c r="AH28" s="24" t="n"/>
      <c r="AI28" s="24" t="n"/>
      <c r="AJ28" s="24" t="n"/>
      <c r="AK28" s="24" t="n"/>
      <c r="AL28" s="24" t="n"/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n"/>
      <c r="BI28" s="24" t="n"/>
      <c r="BJ28" s="24" t="n"/>
      <c r="BK28" s="24" t="n"/>
      <c r="BL28" s="24" t="n"/>
      <c r="BM28" s="24" t="n"/>
      <c r="BN28" s="24" t="n"/>
      <c r="BO28" s="24" t="n"/>
      <c r="BP28" s="24" t="n"/>
      <c r="BQ28" s="24" t="n"/>
      <c r="BR28" s="24" t="n"/>
      <c r="BS28" s="24" t="n"/>
      <c r="BT28" s="24" t="n"/>
      <c r="BU28" s="24" t="n"/>
      <c r="BV28" s="24" t="n"/>
      <c r="BW28" s="24" t="n"/>
      <c r="BX28" s="24" t="n"/>
      <c r="BY28" s="24" t="n"/>
      <c r="BZ28" s="24" t="n"/>
      <c r="CA28" s="24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37">
        <f>+SUM(W28:CM28)</f>
        <v/>
      </c>
      <c r="CP28" s="27">
        <f>CN28</f>
        <v/>
      </c>
      <c r="CQ28" s="22" t="n">
        <v>0</v>
      </c>
      <c r="CR28" s="22">
        <f>CP28+CQ28</f>
        <v/>
      </c>
      <c r="CS28" s="42" t="n"/>
      <c r="CT28" s="78" t="n"/>
      <c r="CU28" s="14">
        <f>DD28</f>
        <v/>
      </c>
      <c r="CV28" s="14">
        <f>CU28/2</f>
        <v/>
      </c>
      <c r="CW28" s="14">
        <f>CV28-CP28</f>
        <v/>
      </c>
      <c r="CX28" s="79" t="n"/>
      <c r="CY28" s="17" t="n">
        <v>2214</v>
      </c>
      <c r="CZ28" t="n">
        <v>540</v>
      </c>
      <c r="DD28" s="14">
        <f>SUM(CY28:DC28)</f>
        <v/>
      </c>
    </row>
    <row r="29" ht="15" customHeight="1">
      <c r="A29" s="33" t="n">
        <v>1</v>
      </c>
      <c r="B29" s="58" t="inlineStr">
        <is>
          <t>GUADALAJARA</t>
        </is>
      </c>
      <c r="C29" s="47" t="inlineStr">
        <is>
          <t>GUADALAJARA CENTRO</t>
        </is>
      </c>
      <c r="D29" s="33" t="inlineStr">
        <is>
          <t>IASA</t>
        </is>
      </c>
      <c r="E29" s="13" t="n">
        <v>686</v>
      </c>
      <c r="F29" s="13" t="n">
        <v>36</v>
      </c>
      <c r="G29" s="13" t="n">
        <v>13</v>
      </c>
      <c r="H29" s="13" t="n"/>
      <c r="I29" s="13" t="n"/>
      <c r="J29" s="13" t="n">
        <v>735</v>
      </c>
      <c r="L29" s="3" t="n"/>
      <c r="M29" s="3" t="n"/>
      <c r="N29" s="3" t="n"/>
      <c r="O29" s="3" t="n"/>
      <c r="P29" s="3" t="n"/>
      <c r="R29" s="3" t="n">
        <v>2</v>
      </c>
      <c r="T29" s="16" t="n">
        <v>36</v>
      </c>
      <c r="U29" s="16" t="n">
        <v>216</v>
      </c>
      <c r="W29" s="24" t="n"/>
      <c r="X29" s="24" t="n"/>
      <c r="Y29" s="24" t="n"/>
      <c r="Z29" s="24" t="n"/>
      <c r="AA29" s="24" t="n"/>
      <c r="AB29" s="24" t="n"/>
      <c r="AC29" s="24" t="n"/>
      <c r="AD29" s="24" t="n"/>
      <c r="AE29" s="24" t="n"/>
      <c r="AF29" s="24" t="n"/>
      <c r="AG29" s="24" t="n">
        <v>18</v>
      </c>
      <c r="AH29" s="24" t="n"/>
      <c r="AI29" s="24" t="n"/>
      <c r="AJ29" s="24" t="n"/>
      <c r="AK29" s="24" t="n"/>
      <c r="AL29" s="24" t="n"/>
      <c r="AM29" s="24" t="n"/>
      <c r="AN29" s="24" t="n"/>
      <c r="AO29" s="24" t="n"/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n"/>
      <c r="AY29" s="24" t="n"/>
      <c r="AZ29" s="24" t="n"/>
      <c r="BA29" s="24" t="n"/>
      <c r="BB29" s="24" t="n"/>
      <c r="BC29" s="24" t="n"/>
      <c r="BD29" s="24" t="n"/>
      <c r="BE29" s="24" t="n"/>
      <c r="BF29" s="24" t="n"/>
      <c r="BG29" s="24" t="n"/>
      <c r="BH29" s="24" t="n"/>
      <c r="BI29" s="24" t="n"/>
      <c r="BJ29" s="24" t="n"/>
      <c r="BK29" s="24" t="n"/>
      <c r="BL29" s="24" t="n"/>
      <c r="BM29" s="24" t="n"/>
      <c r="BN29" s="24" t="n"/>
      <c r="BO29" s="24" t="n"/>
      <c r="BP29" s="24" t="n"/>
      <c r="BQ29" s="24" t="n"/>
      <c r="BR29" s="24" t="n"/>
      <c r="BS29" s="24" t="n"/>
      <c r="BT29" s="24" t="n"/>
      <c r="BU29" s="24" t="n"/>
      <c r="BV29" s="24" t="n"/>
      <c r="BW29" s="24" t="n"/>
      <c r="BX29" s="24" t="n"/>
      <c r="BY29" s="24" t="n"/>
      <c r="BZ29" s="24" t="n"/>
      <c r="CA29" s="24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37">
        <f>+SUM(W29:CM29)</f>
        <v/>
      </c>
      <c r="CP29" s="27">
        <f>CN29</f>
        <v/>
      </c>
      <c r="CQ29" s="22" t="n">
        <v>0</v>
      </c>
      <c r="CR29" s="22">
        <f>CP29+CQ29</f>
        <v/>
      </c>
      <c r="CS29" s="42" t="n"/>
      <c r="CT29" s="78" t="n"/>
      <c r="CU29" s="14">
        <f>DD29</f>
        <v/>
      </c>
      <c r="CV29" s="14">
        <f>CU29/2</f>
        <v/>
      </c>
      <c r="CW29" s="14">
        <f>CV29-CP29</f>
        <v/>
      </c>
      <c r="CX29" s="79" t="n"/>
      <c r="CY29" s="17" t="n">
        <v>740</v>
      </c>
      <c r="CZ29" t="n">
        <v>72</v>
      </c>
      <c r="DD29" s="14">
        <f>SUM(CY29:DC29)</f>
        <v/>
      </c>
    </row>
    <row r="30" ht="15" customHeight="1">
      <c r="A30" s="33" t="n">
        <v>1</v>
      </c>
      <c r="B30" s="60" t="n"/>
      <c r="C30" s="47" t="inlineStr">
        <is>
          <t>GUADALAJARA ORIENTE</t>
        </is>
      </c>
      <c r="D30" s="33" t="inlineStr">
        <is>
          <t>IASA</t>
        </is>
      </c>
      <c r="E30" s="13" t="n">
        <v>74</v>
      </c>
      <c r="F30" s="13" t="n">
        <v>2</v>
      </c>
      <c r="G30" s="13" t="n">
        <v>23</v>
      </c>
      <c r="H30" s="13" t="n"/>
      <c r="I30" s="13" t="n"/>
      <c r="J30" s="13" t="n">
        <v>99</v>
      </c>
      <c r="L30" s="3" t="n"/>
      <c r="M30" s="3" t="n"/>
      <c r="N30" s="3" t="n"/>
      <c r="O30" s="3" t="n"/>
      <c r="P30" s="3" t="n"/>
      <c r="R30" s="3" t="n">
        <v>1</v>
      </c>
      <c r="S30" s="2" t="n"/>
      <c r="T30" s="16" t="n">
        <v>18</v>
      </c>
      <c r="U30" s="16" t="n">
        <v>108</v>
      </c>
      <c r="W30" s="24" t="n"/>
      <c r="X30" s="24" t="n"/>
      <c r="Y30" s="24" t="n"/>
      <c r="Z30" s="24" t="n"/>
      <c r="AA30" s="24" t="n"/>
      <c r="AB30" s="24" t="n"/>
      <c r="AC30" s="24" t="n"/>
      <c r="AD30" s="24" t="n"/>
      <c r="AE30" s="24" t="n"/>
      <c r="AF30" s="24" t="n"/>
      <c r="AG30" s="24" t="n"/>
      <c r="AH30" s="24" t="n"/>
      <c r="AI30" s="24" t="n"/>
      <c r="AJ30" s="24" t="n"/>
      <c r="AK30" s="24" t="n"/>
      <c r="AL30" s="24" t="n"/>
      <c r="AM30" s="24" t="n"/>
      <c r="AN30" s="24" t="n"/>
      <c r="AO30" s="24" t="n"/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n"/>
      <c r="AY30" s="24" t="n"/>
      <c r="AZ30" s="24" t="n"/>
      <c r="BA30" s="24" t="n"/>
      <c r="BB30" s="24" t="n"/>
      <c r="BC30" s="24" t="n"/>
      <c r="BD30" s="24" t="n"/>
      <c r="BE30" s="24" t="n"/>
      <c r="BF30" s="24" t="n"/>
      <c r="BG30" s="24" t="n"/>
      <c r="BH30" s="24" t="n"/>
      <c r="BI30" s="24" t="n"/>
      <c r="BJ30" s="24" t="n"/>
      <c r="BK30" s="24" t="n"/>
      <c r="BL30" s="24" t="n"/>
      <c r="BM30" s="24" t="n"/>
      <c r="BN30" s="24" t="n"/>
      <c r="BO30" s="24" t="n"/>
      <c r="BP30" s="24" t="n"/>
      <c r="BQ30" s="24" t="n"/>
      <c r="BR30" s="24" t="n"/>
      <c r="BS30" s="24" t="n"/>
      <c r="BT30" s="24" t="n"/>
      <c r="BU30" s="24" t="n"/>
      <c r="BV30" s="24" t="n"/>
      <c r="BW30" s="24" t="n"/>
      <c r="BX30" s="24" t="n"/>
      <c r="BY30" s="24" t="n"/>
      <c r="BZ30" s="24" t="n"/>
      <c r="CA30" s="24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37">
        <f>+SUM(W30:CM30)</f>
        <v/>
      </c>
      <c r="CP30" s="27">
        <f>CN30</f>
        <v/>
      </c>
      <c r="CQ30" s="22" t="n">
        <v>0</v>
      </c>
      <c r="CR30" s="22">
        <f>CP30+CQ30</f>
        <v/>
      </c>
      <c r="CS30" s="42" t="n"/>
      <c r="CT30" s="78" t="n"/>
      <c r="CU30" s="14">
        <f>DD30</f>
        <v/>
      </c>
      <c r="CV30" s="14">
        <f>CU30/2</f>
        <v/>
      </c>
      <c r="CW30" s="14">
        <f>CV30-CP30</f>
        <v/>
      </c>
      <c r="CX30" s="79" t="n"/>
      <c r="CY30" s="17" t="n"/>
      <c r="CZ30" t="n">
        <v>4</v>
      </c>
      <c r="DD30" s="14">
        <f>SUM(CY30:DC30)</f>
        <v/>
      </c>
    </row>
    <row r="31" ht="15" customHeight="1">
      <c r="A31" s="33" t="n">
        <v>1</v>
      </c>
      <c r="B31" s="59" t="n"/>
      <c r="C31" s="47" t="inlineStr">
        <is>
          <t>GUADALAJARA PONIENTE</t>
        </is>
      </c>
      <c r="D31" s="33" t="inlineStr">
        <is>
          <t>EULEN</t>
        </is>
      </c>
      <c r="E31" s="13" t="n">
        <v>321</v>
      </c>
      <c r="F31" s="13" t="n">
        <v>35</v>
      </c>
      <c r="G31" s="13" t="n">
        <v>2</v>
      </c>
      <c r="H31" s="13" t="n"/>
      <c r="I31" s="13" t="n"/>
      <c r="J31" s="13" t="n">
        <v>358</v>
      </c>
      <c r="L31" s="3" t="n"/>
      <c r="M31" s="3" t="n"/>
      <c r="N31" s="3" t="n"/>
      <c r="O31" s="3" t="n"/>
      <c r="P31" s="3" t="n"/>
      <c r="R31" s="3" t="n">
        <v>1</v>
      </c>
      <c r="S31" s="15" t="n"/>
      <c r="T31" s="16" t="n">
        <v>18</v>
      </c>
      <c r="U31" s="16" t="n">
        <v>108</v>
      </c>
      <c r="W31" s="24" t="n"/>
      <c r="X31" s="24" t="n"/>
      <c r="Y31" s="24" t="n"/>
      <c r="Z31" s="24" t="n"/>
      <c r="AA31" s="24" t="n"/>
      <c r="AB31" s="24" t="n"/>
      <c r="AC31" s="24" t="n"/>
      <c r="AD31" s="24" t="n"/>
      <c r="AE31" s="24" t="n"/>
      <c r="AF31" s="24" t="n"/>
      <c r="AG31" s="24" t="n"/>
      <c r="AH31" s="24" t="n"/>
      <c r="AI31" s="24" t="n"/>
      <c r="AJ31" s="24" t="n"/>
      <c r="AK31" s="24" t="n"/>
      <c r="AL31" s="24" t="n"/>
      <c r="AM31" s="24" t="n"/>
      <c r="AN31" s="24" t="n"/>
      <c r="AO31" s="24" t="n"/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n"/>
      <c r="AY31" s="24" t="n"/>
      <c r="AZ31" s="24" t="n"/>
      <c r="BA31" s="24" t="n"/>
      <c r="BB31" s="24" t="n"/>
      <c r="BC31" s="24" t="n"/>
      <c r="BD31" s="24" t="n"/>
      <c r="BE31" s="24" t="n"/>
      <c r="BF31" s="24" t="n"/>
      <c r="BG31" s="24" t="n"/>
      <c r="BH31" s="24" t="n"/>
      <c r="BI31" s="24" t="n"/>
      <c r="BJ31" s="24" t="n"/>
      <c r="BK31" s="24" t="n"/>
      <c r="BL31" s="24" t="n"/>
      <c r="BM31" s="24" t="n"/>
      <c r="BN31" s="24" t="n"/>
      <c r="BO31" s="24" t="n"/>
      <c r="BP31" s="24" t="n"/>
      <c r="BQ31" s="24" t="n"/>
      <c r="BR31" s="24" t="n"/>
      <c r="BS31" s="24" t="n"/>
      <c r="BT31" s="24" t="n"/>
      <c r="BU31" s="24" t="n"/>
      <c r="BV31" s="24" t="n"/>
      <c r="BW31" s="24" t="n"/>
      <c r="BX31" s="24" t="n"/>
      <c r="BY31" s="24" t="n"/>
      <c r="BZ31" s="24" t="n"/>
      <c r="CA31" s="24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37">
        <f>+SUM(W31:CM31)</f>
        <v/>
      </c>
      <c r="CP31" s="27">
        <f>CN31</f>
        <v/>
      </c>
      <c r="CQ31" s="22" t="n">
        <v>0</v>
      </c>
      <c r="CR31" s="22">
        <f>CP31+CQ31</f>
        <v/>
      </c>
      <c r="CS31" s="42" t="n"/>
      <c r="CT31" s="78" t="n"/>
      <c r="CU31" s="14">
        <f>DD31</f>
        <v/>
      </c>
      <c r="CV31" s="14">
        <f>CU31/2</f>
        <v/>
      </c>
      <c r="CW31" s="14">
        <f>CV31-CP31</f>
        <v/>
      </c>
      <c r="CX31" s="79" t="n"/>
      <c r="CY31" s="17" t="n"/>
      <c r="DD31" s="14">
        <f>SUM(CY31:DC31)</f>
        <v/>
      </c>
    </row>
    <row r="32">
      <c r="A32" s="33" t="n">
        <v>2</v>
      </c>
      <c r="B32" s="58" t="inlineStr">
        <is>
          <t>MONTERREY</t>
        </is>
      </c>
      <c r="C32" s="47" t="inlineStr">
        <is>
          <t>MONTERREY 1</t>
        </is>
      </c>
      <c r="D32" s="33" t="inlineStr">
        <is>
          <t>IASA</t>
        </is>
      </c>
      <c r="E32" s="13" t="n">
        <v>2</v>
      </c>
      <c r="F32" s="13" t="n"/>
      <c r="G32" s="13" t="n"/>
      <c r="H32" s="13" t="n"/>
      <c r="I32" s="13" t="n"/>
      <c r="J32" s="13" t="n">
        <v>2</v>
      </c>
      <c r="L32" s="3" t="n"/>
      <c r="M32" s="3" t="n"/>
      <c r="N32" s="3" t="n"/>
      <c r="O32" s="3" t="n"/>
      <c r="P32" s="3" t="n"/>
      <c r="R32" s="3" t="n">
        <v>1</v>
      </c>
      <c r="T32" s="16" t="n">
        <v>18</v>
      </c>
      <c r="U32" s="16" t="n">
        <v>108</v>
      </c>
      <c r="W32" s="24" t="n"/>
      <c r="X32" s="24" t="n"/>
      <c r="Y32" s="24" t="n"/>
      <c r="Z32" s="24" t="n"/>
      <c r="AA32" s="24" t="n"/>
      <c r="AB32" s="24" t="n"/>
      <c r="AC32" s="24" t="n"/>
      <c r="AD32" s="24" t="n"/>
      <c r="AE32" s="24" t="n"/>
      <c r="AF32" s="24" t="n"/>
      <c r="AG32" s="24" t="n"/>
      <c r="AH32" s="24" t="n"/>
      <c r="AI32" s="24" t="n"/>
      <c r="AJ32" s="24" t="n"/>
      <c r="AK32" s="24" t="n"/>
      <c r="AL32" s="24" t="n"/>
      <c r="AM32" s="24" t="n"/>
      <c r="AN32" s="24" t="n"/>
      <c r="AO32" s="24" t="n"/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n"/>
      <c r="AY32" s="24" t="n"/>
      <c r="AZ32" s="24" t="n"/>
      <c r="BA32" s="24" t="n"/>
      <c r="BB32" s="24" t="n"/>
      <c r="BC32" s="24" t="n"/>
      <c r="BD32" s="24" t="n"/>
      <c r="BE32" s="24" t="n"/>
      <c r="BF32" s="24" t="n"/>
      <c r="BG32" s="24" t="n"/>
      <c r="BH32" s="24" t="n"/>
      <c r="BI32" s="24" t="n"/>
      <c r="BJ32" s="24" t="n"/>
      <c r="BK32" s="24" t="n"/>
      <c r="BL32" s="24" t="n"/>
      <c r="BM32" s="24" t="n"/>
      <c r="BN32" s="24" t="n"/>
      <c r="BO32" s="24" t="n"/>
      <c r="BP32" s="24" t="n"/>
      <c r="BQ32" s="24" t="n"/>
      <c r="BR32" s="24" t="n"/>
      <c r="BS32" s="24" t="n"/>
      <c r="BT32" s="24" t="n"/>
      <c r="BU32" s="24" t="n"/>
      <c r="BV32" s="24" t="n"/>
      <c r="BW32" s="24" t="n"/>
      <c r="BX32" s="24" t="n"/>
      <c r="BY32" s="24" t="n"/>
      <c r="BZ32" s="24" t="n"/>
      <c r="CA32" s="24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37">
        <f>+SUM(W32:CM32)</f>
        <v/>
      </c>
      <c r="CP32" s="27">
        <f>CN32</f>
        <v/>
      </c>
      <c r="CQ32" s="22" t="n">
        <v>0</v>
      </c>
      <c r="CR32" s="22">
        <f>CP32+CQ32</f>
        <v/>
      </c>
      <c r="CS32" s="42" t="n"/>
      <c r="CT32" s="78" t="n"/>
      <c r="CU32" s="14">
        <f>DD32</f>
        <v/>
      </c>
      <c r="CV32" s="14">
        <f>CU32/2</f>
        <v/>
      </c>
      <c r="CW32" s="14">
        <f>CV32-CP32</f>
        <v/>
      </c>
      <c r="CX32" s="79" t="n"/>
      <c r="CY32" s="17" t="n">
        <v>36</v>
      </c>
      <c r="DD32" s="14">
        <f>SUM(CY32:DC32)</f>
        <v/>
      </c>
    </row>
    <row r="33">
      <c r="A33" s="33" t="n">
        <v>2</v>
      </c>
      <c r="B33" s="60" t="n"/>
      <c r="C33" s="47" t="inlineStr">
        <is>
          <t>MONTERREY 2</t>
        </is>
      </c>
      <c r="D33" s="33" t="inlineStr">
        <is>
          <t>IASA</t>
        </is>
      </c>
      <c r="E33" s="13" t="n">
        <v>862</v>
      </c>
      <c r="F33" s="13" t="n">
        <v>19</v>
      </c>
      <c r="G33" s="13" t="n"/>
      <c r="H33" s="13" t="n"/>
      <c r="I33" s="13" t="n"/>
      <c r="J33" s="13" t="n">
        <v>881</v>
      </c>
      <c r="L33" s="3" t="n"/>
      <c r="M33" s="3" t="n"/>
      <c r="N33" s="3" t="n"/>
      <c r="O33" s="3" t="n"/>
      <c r="P33" s="3" t="n"/>
      <c r="R33" s="3" t="n">
        <v>3</v>
      </c>
      <c r="S33" s="15" t="n"/>
      <c r="T33" s="16" t="n">
        <v>54</v>
      </c>
      <c r="U33" s="16" t="n">
        <v>324</v>
      </c>
      <c r="W33" s="24" t="n"/>
      <c r="X33" s="24" t="n"/>
      <c r="Y33" s="24" t="n"/>
      <c r="Z33" s="24" t="n"/>
      <c r="AA33" s="24" t="n"/>
      <c r="AB33" s="24" t="n"/>
      <c r="AC33" s="24" t="n"/>
      <c r="AD33" s="24" t="n"/>
      <c r="AE33" s="24" t="n"/>
      <c r="AF33" s="24" t="n"/>
      <c r="AG33" s="24" t="n"/>
      <c r="AH33" s="24" t="n"/>
      <c r="AI33" s="24" t="n"/>
      <c r="AJ33" s="24" t="n"/>
      <c r="AK33" s="24" t="n"/>
      <c r="AL33" s="24" t="n"/>
      <c r="AM33" s="24" t="n"/>
      <c r="AN33" s="24" t="n"/>
      <c r="AO33" s="24" t="n"/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n"/>
      <c r="AY33" s="24" t="n"/>
      <c r="AZ33" s="24" t="n"/>
      <c r="BA33" s="24" t="n"/>
      <c r="BB33" s="24" t="n"/>
      <c r="BC33" s="24" t="n"/>
      <c r="BD33" s="24" t="n"/>
      <c r="BE33" s="24" t="n"/>
      <c r="BF33" s="24" t="n"/>
      <c r="BG33" s="24" t="n"/>
      <c r="BH33" s="24" t="n"/>
      <c r="BI33" s="24" t="n"/>
      <c r="BJ33" s="24" t="n"/>
      <c r="BK33" s="24" t="n"/>
      <c r="BL33" s="24" t="n"/>
      <c r="BM33" s="24" t="n"/>
      <c r="BN33" s="24" t="n"/>
      <c r="BO33" s="24" t="n"/>
      <c r="BP33" s="24" t="n"/>
      <c r="BQ33" s="24" t="n"/>
      <c r="BR33" s="24" t="n"/>
      <c r="BS33" s="24" t="n"/>
      <c r="BT33" s="24" t="n"/>
      <c r="BU33" s="24" t="n"/>
      <c r="BV33" s="24" t="n"/>
      <c r="BW33" s="24" t="n"/>
      <c r="BX33" s="24" t="n"/>
      <c r="BY33" s="24" t="n"/>
      <c r="BZ33" s="24" t="n"/>
      <c r="CA33" s="24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37">
        <f>+SUM(W33:CM33)</f>
        <v/>
      </c>
      <c r="CP33" s="27">
        <f>CN33</f>
        <v/>
      </c>
      <c r="CQ33" s="22" t="n">
        <v>0</v>
      </c>
      <c r="CR33" s="22">
        <f>CP33+CQ33</f>
        <v/>
      </c>
      <c r="CS33" s="42" t="n"/>
      <c r="CT33" s="78" t="n"/>
      <c r="CU33" s="14">
        <f>DD33</f>
        <v/>
      </c>
      <c r="CV33" s="14">
        <f>CU33/2</f>
        <v/>
      </c>
      <c r="CW33" s="14">
        <f>CV33-CP33</f>
        <v/>
      </c>
      <c r="CX33" s="79" t="n"/>
      <c r="CY33" s="17" t="n"/>
      <c r="DD33" s="14">
        <f>SUM(CY33:DC33)</f>
        <v/>
      </c>
    </row>
    <row r="34">
      <c r="A34" s="33" t="n">
        <v>2</v>
      </c>
      <c r="B34" s="59" t="n"/>
      <c r="C34" s="47" t="inlineStr">
        <is>
          <t>MONTERREY 3</t>
        </is>
      </c>
      <c r="D34" s="33" t="inlineStr">
        <is>
          <t>IASA</t>
        </is>
      </c>
      <c r="E34" s="13" t="n">
        <v>661</v>
      </c>
      <c r="F34" s="13" t="n">
        <v>216</v>
      </c>
      <c r="G34" s="13" t="n">
        <v>2</v>
      </c>
      <c r="H34" s="13" t="n"/>
      <c r="I34" s="13" t="n"/>
      <c r="J34" s="13" t="n">
        <v>879</v>
      </c>
      <c r="L34" s="3" t="n"/>
      <c r="M34" s="3" t="n"/>
      <c r="N34" s="3" t="n"/>
      <c r="O34" s="3" t="n"/>
      <c r="P34" s="3" t="n"/>
      <c r="R34" s="3" t="n">
        <v>3</v>
      </c>
      <c r="T34" s="16" t="n">
        <v>54</v>
      </c>
      <c r="U34" s="16" t="n">
        <v>324</v>
      </c>
      <c r="W34" s="24" t="n"/>
      <c r="X34" s="24" t="n"/>
      <c r="Y34" s="24" t="n"/>
      <c r="Z34" s="24" t="n"/>
      <c r="AA34" s="24" t="n"/>
      <c r="AB34" s="24" t="n"/>
      <c r="AC34" s="24" t="n"/>
      <c r="AD34" s="24" t="n"/>
      <c r="AE34" s="24" t="n"/>
      <c r="AF34" s="24" t="n"/>
      <c r="AG34" s="24" t="n"/>
      <c r="AH34" s="24" t="n"/>
      <c r="AI34" s="24" t="n"/>
      <c r="AJ34" s="24" t="n"/>
      <c r="AK34" s="24" t="n"/>
      <c r="AL34" s="24" t="n"/>
      <c r="AM34" s="24" t="n"/>
      <c r="AN34" s="24" t="n"/>
      <c r="AO34" s="24" t="n"/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n"/>
      <c r="AY34" s="24" t="n"/>
      <c r="AZ34" s="24" t="n"/>
      <c r="BA34" s="24" t="n"/>
      <c r="BB34" s="24" t="n"/>
      <c r="BC34" s="24" t="n"/>
      <c r="BD34" s="24" t="n"/>
      <c r="BE34" s="24" t="n"/>
      <c r="BF34" s="24" t="n"/>
      <c r="BG34" s="24" t="n"/>
      <c r="BH34" s="24" t="n"/>
      <c r="BI34" s="24" t="n"/>
      <c r="BJ34" s="24" t="n"/>
      <c r="BK34" s="24" t="n"/>
      <c r="BL34" s="24" t="n"/>
      <c r="BM34" s="24" t="n"/>
      <c r="BN34" s="24" t="n"/>
      <c r="BO34" s="24" t="n"/>
      <c r="BP34" s="24" t="n"/>
      <c r="BQ34" s="24" t="n"/>
      <c r="BR34" s="24" t="n"/>
      <c r="BS34" s="24" t="n"/>
      <c r="BT34" s="24" t="n"/>
      <c r="BU34" s="24" t="n"/>
      <c r="BV34" s="24" t="n"/>
      <c r="BW34" s="24" t="n"/>
      <c r="BX34" s="24" t="n"/>
      <c r="BY34" s="24" t="n"/>
      <c r="BZ34" s="24" t="n"/>
      <c r="CA34" s="24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37">
        <f>+SUM(W34:CM34)</f>
        <v/>
      </c>
      <c r="CP34" s="27">
        <f>CN34</f>
        <v/>
      </c>
      <c r="CQ34" s="22" t="n">
        <v>0</v>
      </c>
      <c r="CR34" s="22">
        <f>CP34+CQ34</f>
        <v/>
      </c>
      <c r="CS34" s="42" t="n"/>
      <c r="CT34" s="78" t="n"/>
      <c r="CU34" s="14">
        <f>DD34</f>
        <v/>
      </c>
      <c r="CV34" s="14">
        <f>CU34/2</f>
        <v/>
      </c>
      <c r="CW34" s="14">
        <f>CV34-CP34</f>
        <v/>
      </c>
      <c r="CX34" s="79" t="n"/>
      <c r="CY34" s="17" t="n"/>
      <c r="DD34" s="14">
        <f>SUM(CY34:DC34)</f>
        <v/>
      </c>
    </row>
    <row r="35">
      <c r="A35" s="33" t="n">
        <v>4</v>
      </c>
      <c r="B35" s="50" t="inlineStr">
        <is>
          <t>QUERETARO</t>
        </is>
      </c>
      <c r="C35" s="47" t="inlineStr">
        <is>
          <t>QUERETARO</t>
        </is>
      </c>
      <c r="D35" s="33" t="inlineStr">
        <is>
          <t>IASA</t>
        </is>
      </c>
      <c r="E35" s="13" t="n">
        <v>123</v>
      </c>
      <c r="F35" s="13" t="n">
        <v>29</v>
      </c>
      <c r="G35" s="13" t="n"/>
      <c r="H35" s="13" t="n"/>
      <c r="I35" s="13" t="n"/>
      <c r="J35" s="13" t="n">
        <v>152</v>
      </c>
      <c r="L35" s="3" t="n"/>
      <c r="M35" s="3" t="n"/>
      <c r="N35" s="3" t="n"/>
      <c r="O35" s="3" t="n"/>
      <c r="P35" s="3" t="n"/>
      <c r="R35" s="3" t="n">
        <v>1</v>
      </c>
      <c r="S35" s="15" t="n"/>
      <c r="T35" s="16" t="n">
        <v>18</v>
      </c>
      <c r="U35" s="16" t="n">
        <v>108</v>
      </c>
      <c r="W35" s="24" t="n"/>
      <c r="X35" s="24" t="n"/>
      <c r="Y35" s="24" t="n"/>
      <c r="Z35" s="24" t="n"/>
      <c r="AA35" s="24" t="n"/>
      <c r="AB35" s="24" t="n"/>
      <c r="AC35" s="24" t="n"/>
      <c r="AD35" s="24" t="n"/>
      <c r="AE35" s="24" t="n"/>
      <c r="AF35" s="24" t="n"/>
      <c r="AG35" s="24" t="n"/>
      <c r="AH35" s="24" t="n"/>
      <c r="AI35" s="24" t="n"/>
      <c r="AJ35" s="24" t="n"/>
      <c r="AK35" s="24" t="n"/>
      <c r="AL35" s="24" t="n"/>
      <c r="AM35" s="24" t="n"/>
      <c r="AN35" s="24" t="n"/>
      <c r="AO35" s="24" t="n"/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n"/>
      <c r="AY35" s="24" t="n"/>
      <c r="AZ35" s="24" t="n"/>
      <c r="BA35" s="24" t="n"/>
      <c r="BB35" s="24" t="n"/>
      <c r="BC35" s="24" t="n"/>
      <c r="BD35" s="24" t="n"/>
      <c r="BE35" s="24" t="n"/>
      <c r="BF35" s="24" t="n"/>
      <c r="BG35" s="24" t="n"/>
      <c r="BH35" s="24" t="n"/>
      <c r="BI35" s="24" t="n"/>
      <c r="BJ35" s="24" t="n"/>
      <c r="BK35" s="24" t="n"/>
      <c r="BL35" s="24" t="n"/>
      <c r="BM35" s="24" t="n"/>
      <c r="BN35" s="24" t="n"/>
      <c r="BO35" s="24" t="n"/>
      <c r="BP35" s="24" t="n"/>
      <c r="BQ35" s="24" t="n"/>
      <c r="BR35" s="24" t="n"/>
      <c r="BS35" s="24" t="n"/>
      <c r="BT35" s="24" t="n"/>
      <c r="BU35" s="24" t="n"/>
      <c r="BV35" s="24" t="n"/>
      <c r="BW35" s="24" t="n"/>
      <c r="BX35" s="24" t="n"/>
      <c r="BY35" s="24" t="n"/>
      <c r="BZ35" s="24" t="n"/>
      <c r="CA35" s="24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37">
        <f>+SUM(W35:CM35)</f>
        <v/>
      </c>
      <c r="CP35" s="27">
        <f>CN35</f>
        <v/>
      </c>
      <c r="CQ35" s="22" t="n">
        <v>0</v>
      </c>
      <c r="CR35" s="22">
        <f>CP35+CQ35</f>
        <v/>
      </c>
      <c r="CS35" s="42" t="n"/>
      <c r="CT35" s="78" t="n"/>
      <c r="CU35" s="14">
        <f>DD35</f>
        <v/>
      </c>
      <c r="CV35" s="14">
        <f>CU35/2</f>
        <v/>
      </c>
      <c r="CW35" s="14">
        <f>CV35-CP35</f>
        <v/>
      </c>
      <c r="CX35" s="79" t="n"/>
      <c r="CY35" s="17" t="n"/>
      <c r="DD35" s="14">
        <f>SUM(CY35:DC35)</f>
        <v/>
      </c>
    </row>
    <row r="36">
      <c r="A36" s="33" t="n">
        <v>5</v>
      </c>
      <c r="B36" s="50" t="inlineStr">
        <is>
          <t>ESTADO DE MEXICO SUR</t>
        </is>
      </c>
      <c r="C36" s="47" t="inlineStr">
        <is>
          <t>ESTADO DE MEXICO SUR</t>
        </is>
      </c>
      <c r="D36" s="33" t="inlineStr">
        <is>
          <t>IASA</t>
        </is>
      </c>
      <c r="E36" s="13" t="n">
        <v>144</v>
      </c>
      <c r="F36" s="13" t="n">
        <v>16</v>
      </c>
      <c r="G36" s="13" t="n"/>
      <c r="H36" s="13" t="n"/>
      <c r="I36" s="13" t="n"/>
      <c r="J36" s="13" t="n">
        <v>160</v>
      </c>
      <c r="L36" s="3" t="n"/>
      <c r="M36" s="3" t="n"/>
      <c r="N36" s="3" t="n"/>
      <c r="O36" s="3" t="n"/>
      <c r="P36" s="3" t="n"/>
      <c r="R36" s="3" t="n">
        <v>1</v>
      </c>
      <c r="S36" s="15" t="n"/>
      <c r="T36" s="16" t="n">
        <v>18</v>
      </c>
      <c r="U36" s="16" t="n">
        <v>108</v>
      </c>
      <c r="W36" s="24" t="n"/>
      <c r="X36" s="24" t="n"/>
      <c r="Y36" s="24" t="n"/>
      <c r="Z36" s="24" t="n"/>
      <c r="AA36" s="24" t="n"/>
      <c r="AB36" s="24" t="n"/>
      <c r="AC36" s="24" t="n"/>
      <c r="AD36" s="24" t="n"/>
      <c r="AE36" s="24" t="n"/>
      <c r="AF36" s="24" t="n"/>
      <c r="AG36" s="24" t="n"/>
      <c r="AH36" s="24" t="n"/>
      <c r="AI36" s="24" t="n"/>
      <c r="AJ36" s="24" t="n"/>
      <c r="AK36" s="24" t="n"/>
      <c r="AL36" s="24" t="n"/>
      <c r="AM36" s="24" t="n"/>
      <c r="AN36" s="24" t="n"/>
      <c r="AO36" s="24" t="n"/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n"/>
      <c r="AY36" s="24" t="n"/>
      <c r="AZ36" s="24" t="n"/>
      <c r="BA36" s="24" t="n"/>
      <c r="BB36" s="24" t="n"/>
      <c r="BC36" s="24" t="n"/>
      <c r="BD36" s="24" t="n"/>
      <c r="BE36" s="24" t="n"/>
      <c r="BF36" s="24" t="n"/>
      <c r="BG36" s="24" t="n"/>
      <c r="BH36" s="24" t="n"/>
      <c r="BI36" s="24" t="n"/>
      <c r="BJ36" s="24" t="n"/>
      <c r="BK36" s="24" t="n"/>
      <c r="BL36" s="24" t="n"/>
      <c r="BM36" s="24" t="n"/>
      <c r="BN36" s="24" t="n"/>
      <c r="BO36" s="24" t="n"/>
      <c r="BP36" s="24" t="n"/>
      <c r="BQ36" s="24" t="n"/>
      <c r="BR36" s="24" t="n"/>
      <c r="BS36" s="24" t="n"/>
      <c r="BT36" s="24" t="n"/>
      <c r="BU36" s="24" t="n"/>
      <c r="BV36" s="24" t="n"/>
      <c r="BW36" s="24" t="n"/>
      <c r="BX36" s="24" t="n"/>
      <c r="BY36" s="24" t="n"/>
      <c r="BZ36" s="24" t="n"/>
      <c r="CA36" s="24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37">
        <f>+SUM(W36:CM36)</f>
        <v/>
      </c>
      <c r="CP36" s="27">
        <f>CN36</f>
        <v/>
      </c>
      <c r="CQ36" s="22" t="n">
        <v>0</v>
      </c>
      <c r="CR36" s="22">
        <f>CP36+CQ36</f>
        <v/>
      </c>
      <c r="CS36" s="42" t="n"/>
      <c r="CT36" s="78" t="n"/>
      <c r="CU36" s="14">
        <f>DD36</f>
        <v/>
      </c>
      <c r="CV36" s="14">
        <f>CU36/2</f>
        <v/>
      </c>
      <c r="CW36" s="14">
        <f>CV36-CP36</f>
        <v/>
      </c>
      <c r="CX36" s="79" t="n"/>
      <c r="CY36" s="17" t="n"/>
      <c r="DD36" s="14">
        <f>SUM(CY36:DC36)</f>
        <v/>
      </c>
    </row>
    <row r="37" ht="15.75" customHeight="1">
      <c r="A37" s="33" t="n">
        <v>6</v>
      </c>
      <c r="B37" s="50" t="inlineStr">
        <is>
          <t>PUEBLA</t>
        </is>
      </c>
      <c r="C37" s="47" t="inlineStr">
        <is>
          <t>PUEBLA</t>
        </is>
      </c>
      <c r="D37" s="33" t="inlineStr">
        <is>
          <t>IASA</t>
        </is>
      </c>
      <c r="E37" s="13" t="n">
        <v>2632</v>
      </c>
      <c r="F37" s="13" t="n">
        <v>14</v>
      </c>
      <c r="G37" s="13" t="n"/>
      <c r="H37" s="13" t="n"/>
      <c r="I37" s="13" t="n"/>
      <c r="J37" s="13" t="n">
        <v>2646</v>
      </c>
      <c r="L37" s="3" t="n"/>
      <c r="M37" s="3" t="n"/>
      <c r="N37" s="3" t="n"/>
      <c r="O37" s="3" t="n"/>
      <c r="P37" s="3" t="n"/>
      <c r="R37" s="3" t="n">
        <v>7</v>
      </c>
      <c r="S37" s="15" t="n"/>
      <c r="T37" s="16" t="n">
        <v>126</v>
      </c>
      <c r="U37" s="16" t="n">
        <v>756</v>
      </c>
      <c r="W37" s="24" t="n"/>
      <c r="X37" s="24" t="n"/>
      <c r="Y37" s="24" t="n"/>
      <c r="Z37" s="24" t="n"/>
      <c r="AA37" s="24" t="n"/>
      <c r="AB37" s="24" t="n"/>
      <c r="AC37" s="24" t="n"/>
      <c r="AD37" s="24" t="n"/>
      <c r="AE37" s="24" t="n"/>
      <c r="AF37" s="24" t="n"/>
      <c r="AG37" s="24" t="n"/>
      <c r="AH37" s="24" t="n"/>
      <c r="AI37" s="24" t="n"/>
      <c r="AJ37" s="24" t="n"/>
      <c r="AK37" s="24" t="n"/>
      <c r="AL37" s="24" t="n"/>
      <c r="AM37" s="24" t="n"/>
      <c r="AN37" s="24" t="n"/>
      <c r="AO37" s="24" t="n"/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n"/>
      <c r="AY37" s="24" t="n"/>
      <c r="AZ37" s="24" t="n"/>
      <c r="BA37" s="24" t="n"/>
      <c r="BB37" s="24" t="n"/>
      <c r="BC37" s="24" t="n"/>
      <c r="BD37" s="24" t="n"/>
      <c r="BE37" s="24" t="n"/>
      <c r="BF37" s="24" t="n"/>
      <c r="BG37" s="24" t="n"/>
      <c r="BH37" s="24" t="n"/>
      <c r="BI37" s="24" t="n"/>
      <c r="BJ37" s="24" t="n"/>
      <c r="BK37" s="24" t="n"/>
      <c r="BL37" s="24" t="n"/>
      <c r="BM37" s="24" t="n"/>
      <c r="BN37" s="24" t="n"/>
      <c r="BO37" s="24" t="n"/>
      <c r="BP37" s="24" t="n"/>
      <c r="BQ37" s="24" t="n"/>
      <c r="BR37" s="24" t="n"/>
      <c r="BS37" s="24" t="n"/>
      <c r="BT37" s="24" t="n"/>
      <c r="BU37" s="24" t="n"/>
      <c r="BV37" s="24" t="n"/>
      <c r="BW37" s="24" t="n"/>
      <c r="BX37" s="24" t="n"/>
      <c r="BY37" s="24" t="n"/>
      <c r="BZ37" s="24" t="n"/>
      <c r="CA37" s="24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37">
        <f>+SUM(W37:CM37)</f>
        <v/>
      </c>
      <c r="CP37" s="27">
        <f>CN37</f>
        <v/>
      </c>
      <c r="CQ37" s="22" t="n">
        <v>0</v>
      </c>
      <c r="CR37" s="22">
        <f>CP37+CQ37</f>
        <v/>
      </c>
      <c r="CS37" s="42" t="n"/>
      <c r="CT37" s="78" t="n"/>
      <c r="CU37" s="14">
        <f>DD37</f>
        <v/>
      </c>
      <c r="CV37" s="14">
        <f>CU37/2</f>
        <v/>
      </c>
      <c r="CW37" s="14">
        <f>CV37-CP37</f>
        <v/>
      </c>
      <c r="CX37" s="79" t="n"/>
      <c r="CY37" s="17" t="n"/>
      <c r="DD37" s="14">
        <f>SUM(CY37:DC37)</f>
        <v/>
      </c>
    </row>
    <row r="38">
      <c r="A38" s="33" t="n">
        <v>8</v>
      </c>
      <c r="B38" s="50" t="inlineStr">
        <is>
          <t>LEON</t>
        </is>
      </c>
      <c r="C38" s="47" t="inlineStr">
        <is>
          <t>LEON</t>
        </is>
      </c>
      <c r="D38" s="33" t="inlineStr">
        <is>
          <t>IASA</t>
        </is>
      </c>
      <c r="E38" s="13" t="n">
        <v>978</v>
      </c>
      <c r="F38" s="13" t="n">
        <v>322</v>
      </c>
      <c r="G38" s="13" t="n"/>
      <c r="H38" s="13" t="n"/>
      <c r="I38" s="13" t="n"/>
      <c r="J38" s="13" t="n">
        <v>1300</v>
      </c>
      <c r="L38" s="3" t="n"/>
      <c r="M38" s="3" t="n"/>
      <c r="N38" s="3" t="n"/>
      <c r="O38" s="3" t="n"/>
      <c r="P38" s="3" t="n"/>
      <c r="R38" s="3" t="n">
        <v>4</v>
      </c>
      <c r="S38" s="15" t="n"/>
      <c r="T38" s="16" t="n">
        <v>72</v>
      </c>
      <c r="U38" s="16" t="n">
        <v>432</v>
      </c>
      <c r="W38" s="24" t="n"/>
      <c r="X38" s="24" t="n"/>
      <c r="Y38" s="24" t="n"/>
      <c r="Z38" s="24" t="n"/>
      <c r="AA38" s="24" t="n"/>
      <c r="AB38" s="24" t="n"/>
      <c r="AC38" s="24" t="n"/>
      <c r="AD38" s="24" t="n"/>
      <c r="AE38" s="24" t="n"/>
      <c r="AF38" s="24" t="n"/>
      <c r="AG38" s="24" t="n"/>
      <c r="AH38" s="24" t="n"/>
      <c r="AI38" s="24" t="n"/>
      <c r="AJ38" s="24" t="n"/>
      <c r="AK38" s="24" t="n"/>
      <c r="AL38" s="24" t="n"/>
      <c r="AM38" s="24" t="n"/>
      <c r="AN38" s="24" t="n"/>
      <c r="AO38" s="24" t="n"/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n"/>
      <c r="AY38" s="24" t="n"/>
      <c r="AZ38" s="24" t="n"/>
      <c r="BA38" s="24" t="n"/>
      <c r="BB38" s="24" t="n"/>
      <c r="BC38" s="24" t="n"/>
      <c r="BD38" s="24" t="n"/>
      <c r="BE38" s="24" t="n"/>
      <c r="BF38" s="24" t="n"/>
      <c r="BG38" s="24" t="n"/>
      <c r="BH38" s="24" t="n"/>
      <c r="BI38" s="24" t="n"/>
      <c r="BJ38" s="24" t="n"/>
      <c r="BK38" s="24" t="n"/>
      <c r="BL38" s="24" t="n"/>
      <c r="BM38" s="24" t="n"/>
      <c r="BN38" s="24" t="n"/>
      <c r="BO38" s="24" t="n"/>
      <c r="BP38" s="24" t="n"/>
      <c r="BQ38" s="24" t="n"/>
      <c r="BR38" s="24" t="n"/>
      <c r="BS38" s="24" t="n"/>
      <c r="BT38" s="24" t="n"/>
      <c r="BU38" s="24" t="n"/>
      <c r="BV38" s="24" t="n"/>
      <c r="BW38" s="24" t="n"/>
      <c r="BX38" s="24" t="n"/>
      <c r="BY38" s="24" t="n"/>
      <c r="BZ38" s="24" t="n"/>
      <c r="CA38" s="24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37">
        <f>+SUM(W38:CM38)</f>
        <v/>
      </c>
      <c r="CP38" s="27">
        <f>CN38</f>
        <v/>
      </c>
      <c r="CQ38" s="22" t="n">
        <v>0</v>
      </c>
      <c r="CR38" s="22">
        <f>CP38+CQ38</f>
        <v/>
      </c>
      <c r="CS38" s="42" t="n"/>
      <c r="CT38" s="78" t="n"/>
      <c r="CU38" s="14">
        <f>DD38</f>
        <v/>
      </c>
      <c r="CV38" s="14">
        <f>CU38/2</f>
        <v/>
      </c>
      <c r="CW38" s="14">
        <f>CV38-CP38</f>
        <v/>
      </c>
      <c r="CX38" s="79" t="n"/>
      <c r="CY38" s="17" t="n"/>
      <c r="DD38" s="14">
        <f>SUM(CY38:DC38)</f>
        <v/>
      </c>
    </row>
    <row r="39" ht="15" customHeight="1">
      <c r="A39" s="33" t="n">
        <v>9</v>
      </c>
      <c r="B39" s="50" t="inlineStr">
        <is>
          <t>CIUDAD JUAREZ</t>
        </is>
      </c>
      <c r="C39" s="47" t="inlineStr">
        <is>
          <t>CIUDAD JUAREZ</t>
        </is>
      </c>
      <c r="D39" s="33" t="inlineStr">
        <is>
          <t>IASA</t>
        </is>
      </c>
      <c r="E39" s="13" t="n">
        <v>276</v>
      </c>
      <c r="F39" s="13" t="n">
        <v>19</v>
      </c>
      <c r="G39" s="13" t="n"/>
      <c r="H39" s="13" t="n"/>
      <c r="I39" s="13" t="n"/>
      <c r="J39" s="13" t="n">
        <v>295</v>
      </c>
      <c r="L39" s="3" t="n"/>
      <c r="M39" s="3" t="n"/>
      <c r="N39" s="3" t="n"/>
      <c r="O39" s="3" t="n"/>
      <c r="P39" s="3" t="n"/>
      <c r="R39" s="3" t="n">
        <v>1</v>
      </c>
      <c r="S39" s="15" t="n"/>
      <c r="T39" s="16" t="n">
        <v>18</v>
      </c>
      <c r="U39" s="16" t="n">
        <v>108</v>
      </c>
      <c r="W39" s="24" t="n"/>
      <c r="X39" s="24" t="n"/>
      <c r="Y39" s="24" t="n"/>
      <c r="Z39" s="24" t="n"/>
      <c r="AA39" s="24" t="n"/>
      <c r="AB39" s="24" t="n"/>
      <c r="AC39" s="24" t="n"/>
      <c r="AD39" s="24" t="n"/>
      <c r="AE39" s="24" t="n"/>
      <c r="AF39" s="24" t="n"/>
      <c r="AG39" s="24" t="n"/>
      <c r="AH39" s="24" t="n"/>
      <c r="AI39" s="24" t="n"/>
      <c r="AJ39" s="24" t="n"/>
      <c r="AK39" s="24" t="n"/>
      <c r="AL39" s="24" t="n"/>
      <c r="AM39" s="24" t="n"/>
      <c r="AN39" s="24" t="n"/>
      <c r="AO39" s="24" t="n"/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n"/>
      <c r="AY39" s="24" t="n"/>
      <c r="AZ39" s="24" t="n"/>
      <c r="BA39" s="24" t="n"/>
      <c r="BB39" s="24" t="n"/>
      <c r="BC39" s="24" t="n"/>
      <c r="BD39" s="24" t="n"/>
      <c r="BE39" s="24" t="n"/>
      <c r="BF39" s="24" t="n"/>
      <c r="BG39" s="24" t="n"/>
      <c r="BH39" s="24" t="n"/>
      <c r="BI39" s="24" t="n"/>
      <c r="BJ39" s="24" t="n"/>
      <c r="BK39" s="24" t="n"/>
      <c r="BL39" s="24" t="n"/>
      <c r="BM39" s="24" t="n"/>
      <c r="BN39" s="24" t="n"/>
      <c r="BO39" s="24" t="n"/>
      <c r="BP39" s="24" t="n"/>
      <c r="BQ39" s="24" t="n"/>
      <c r="BR39" s="24" t="n"/>
      <c r="BS39" s="24" t="n"/>
      <c r="BT39" s="24" t="n"/>
      <c r="BU39" s="24" t="n"/>
      <c r="BV39" s="24" t="n"/>
      <c r="BW39" s="24" t="n"/>
      <c r="BX39" s="24" t="n"/>
      <c r="BY39" s="24" t="n"/>
      <c r="BZ39" s="24" t="n"/>
      <c r="CA39" s="24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37">
        <f>+SUM(W39:CM39)</f>
        <v/>
      </c>
      <c r="CP39" s="27">
        <f>CN39</f>
        <v/>
      </c>
      <c r="CQ39" s="22" t="n">
        <v>0</v>
      </c>
      <c r="CR39" s="22">
        <f>CP39+CQ39</f>
        <v/>
      </c>
      <c r="CS39" s="42" t="n"/>
      <c r="CT39" s="78" t="n"/>
      <c r="CU39" s="14">
        <f>DD39</f>
        <v/>
      </c>
      <c r="CV39" s="14">
        <f>CU39/2</f>
        <v/>
      </c>
      <c r="CW39" s="14">
        <f>CV39-CP39</f>
        <v/>
      </c>
      <c r="CX39" s="79" t="n"/>
      <c r="CY39" s="17" t="n"/>
      <c r="DD39" s="14">
        <f>SUM(CY39:DC39)</f>
        <v/>
      </c>
    </row>
    <row r="40">
      <c r="A40" s="33" t="n">
        <v>10</v>
      </c>
      <c r="B40" s="50" t="inlineStr">
        <is>
          <t>TORREON</t>
        </is>
      </c>
      <c r="C40" s="47" t="inlineStr">
        <is>
          <t>TORREON</t>
        </is>
      </c>
      <c r="D40" s="33" t="inlineStr">
        <is>
          <t>IASA</t>
        </is>
      </c>
      <c r="E40" s="13" t="n">
        <v>107</v>
      </c>
      <c r="F40" s="13" t="n">
        <v>15</v>
      </c>
      <c r="G40" s="13" t="n"/>
      <c r="H40" s="13" t="n"/>
      <c r="I40" s="13" t="n"/>
      <c r="J40" s="13" t="n">
        <v>122</v>
      </c>
      <c r="L40" s="3" t="n"/>
      <c r="M40" s="3" t="n"/>
      <c r="N40" s="3" t="n"/>
      <c r="O40" s="3" t="n"/>
      <c r="P40" s="3" t="n"/>
      <c r="R40" s="3" t="n">
        <v>1</v>
      </c>
      <c r="T40" s="16" t="n">
        <v>18</v>
      </c>
      <c r="U40" s="16" t="n">
        <v>108</v>
      </c>
      <c r="W40" s="24" t="n"/>
      <c r="X40" s="24" t="n"/>
      <c r="Y40" s="24" t="n"/>
      <c r="Z40" s="24" t="n"/>
      <c r="AA40" s="24" t="n"/>
      <c r="AB40" s="24" t="n"/>
      <c r="AC40" s="24" t="n"/>
      <c r="AD40" s="24" t="n"/>
      <c r="AE40" s="24" t="n"/>
      <c r="AF40" s="24" t="n"/>
      <c r="AG40" s="24" t="n"/>
      <c r="AH40" s="24" t="n"/>
      <c r="AI40" s="24" t="n"/>
      <c r="AJ40" s="24" t="n"/>
      <c r="AK40" s="24" t="n"/>
      <c r="AL40" s="24" t="n"/>
      <c r="AM40" s="24" t="n"/>
      <c r="AN40" s="24" t="n"/>
      <c r="AO40" s="24" t="n"/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n"/>
      <c r="AY40" s="24" t="n"/>
      <c r="AZ40" s="24" t="n"/>
      <c r="BA40" s="24" t="n"/>
      <c r="BB40" s="24" t="n"/>
      <c r="BC40" s="24" t="n"/>
      <c r="BD40" s="24" t="n"/>
      <c r="BE40" s="24" t="n"/>
      <c r="BF40" s="24" t="n"/>
      <c r="BG40" s="24" t="n"/>
      <c r="BH40" s="24" t="n"/>
      <c r="BI40" s="24" t="n"/>
      <c r="BJ40" s="24" t="n"/>
      <c r="BK40" s="24" t="n"/>
      <c r="BL40" s="24" t="n"/>
      <c r="BM40" s="24" t="n"/>
      <c r="BN40" s="24" t="n"/>
      <c r="BO40" s="24" t="n"/>
      <c r="BP40" s="24" t="n"/>
      <c r="BQ40" s="24" t="n"/>
      <c r="BR40" s="24" t="n"/>
      <c r="BS40" s="24" t="n"/>
      <c r="BT40" s="24" t="n"/>
      <c r="BU40" s="24" t="n"/>
      <c r="BV40" s="24" t="n"/>
      <c r="BW40" s="24" t="n"/>
      <c r="BX40" s="24" t="n"/>
      <c r="BY40" s="24" t="n"/>
      <c r="BZ40" s="24" t="n"/>
      <c r="CA40" s="24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37">
        <f>+SUM(W40:CM40)</f>
        <v/>
      </c>
      <c r="CP40" s="27">
        <f>CN40</f>
        <v/>
      </c>
      <c r="CQ40" s="22" t="n">
        <v>0</v>
      </c>
      <c r="CR40" s="22">
        <f>CP40+CQ40</f>
        <v/>
      </c>
      <c r="CS40" s="42" t="n"/>
      <c r="CT40" s="78" t="n"/>
      <c r="CU40" s="14">
        <f>DD40</f>
        <v/>
      </c>
      <c r="CV40" s="14">
        <f>CU40/2</f>
        <v/>
      </c>
      <c r="CW40" s="14">
        <f>CV40-CP40</f>
        <v/>
      </c>
      <c r="CX40" s="79" t="n"/>
      <c r="CY40" s="17" t="n"/>
      <c r="DD40" s="14">
        <f>SUM(CY40:DC40)</f>
        <v/>
      </c>
    </row>
    <row r="41">
      <c r="A41" s="33" t="n">
        <v>12</v>
      </c>
      <c r="B41" s="50" t="inlineStr">
        <is>
          <t>HIDALGO</t>
        </is>
      </c>
      <c r="C41" s="47" t="inlineStr">
        <is>
          <t>HIDALGO</t>
        </is>
      </c>
      <c r="D41" s="33" t="inlineStr">
        <is>
          <t>EULEN</t>
        </is>
      </c>
      <c r="E41" s="13" t="n">
        <v>1267</v>
      </c>
      <c r="F41" s="13" t="n">
        <v>176</v>
      </c>
      <c r="G41" s="13" t="n"/>
      <c r="H41" s="13" t="n"/>
      <c r="I41" s="13" t="n"/>
      <c r="J41" s="13" t="n">
        <v>1443</v>
      </c>
      <c r="L41" s="3" t="n"/>
      <c r="M41" s="3" t="n"/>
      <c r="N41" s="3" t="n"/>
      <c r="O41" s="3" t="n"/>
      <c r="P41" s="3" t="n"/>
      <c r="R41" s="3" t="n">
        <v>4</v>
      </c>
      <c r="S41" s="15" t="n"/>
      <c r="T41" s="16" t="n">
        <v>72</v>
      </c>
      <c r="U41" s="16" t="n">
        <v>432</v>
      </c>
      <c r="W41" s="24" t="n"/>
      <c r="X41" s="24" t="n"/>
      <c r="Y41" s="24" t="n"/>
      <c r="Z41" s="24" t="n"/>
      <c r="AA41" s="24" t="n"/>
      <c r="AB41" s="24" t="n"/>
      <c r="AC41" s="24" t="n"/>
      <c r="AD41" s="24" t="n"/>
      <c r="AE41" s="24" t="n"/>
      <c r="AF41" s="24" t="n"/>
      <c r="AG41" s="24" t="n"/>
      <c r="AH41" s="24" t="n"/>
      <c r="AI41" s="24" t="n"/>
      <c r="AJ41" s="24" t="n"/>
      <c r="AK41" s="24" t="n"/>
      <c r="AL41" s="24" t="n"/>
      <c r="AM41" s="24" t="n"/>
      <c r="AN41" s="24" t="n"/>
      <c r="AO41" s="24" t="n"/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n"/>
      <c r="AY41" s="24" t="n"/>
      <c r="AZ41" s="24" t="n"/>
      <c r="BA41" s="24" t="n"/>
      <c r="BB41" s="24" t="n"/>
      <c r="BC41" s="24" t="n"/>
      <c r="BD41" s="24" t="n"/>
      <c r="BE41" s="24" t="n"/>
      <c r="BF41" s="24" t="n"/>
      <c r="BG41" s="24" t="n"/>
      <c r="BH41" s="24" t="n"/>
      <c r="BI41" s="24" t="n"/>
      <c r="BJ41" s="24" t="n"/>
      <c r="BK41" s="24" t="n"/>
      <c r="BL41" s="24" t="n"/>
      <c r="BM41" s="24" t="n"/>
      <c r="BN41" s="24" t="n"/>
      <c r="BO41" s="24" t="n"/>
      <c r="BP41" s="24" t="n"/>
      <c r="BQ41" s="24" t="n"/>
      <c r="BR41" s="24" t="n"/>
      <c r="BS41" s="24" t="n"/>
      <c r="BT41" s="24" t="n"/>
      <c r="BU41" s="24" t="n"/>
      <c r="BV41" s="24" t="n"/>
      <c r="BW41" s="24" t="n"/>
      <c r="BX41" s="24" t="n"/>
      <c r="BY41" s="24" t="n"/>
      <c r="BZ41" s="24" t="n"/>
      <c r="CA41" s="24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37">
        <f>+SUM(W41:CM41)</f>
        <v/>
      </c>
      <c r="CP41" s="27">
        <f>CN41</f>
        <v/>
      </c>
      <c r="CQ41" s="22" t="n">
        <v>0</v>
      </c>
      <c r="CR41" s="22">
        <f>CP41+CQ41</f>
        <v/>
      </c>
      <c r="CS41" s="42" t="n"/>
      <c r="CT41" s="78" t="n"/>
      <c r="CU41" s="14">
        <f>DD41</f>
        <v/>
      </c>
      <c r="CV41" s="14">
        <f>CU41/2</f>
        <v/>
      </c>
      <c r="CW41" s="14">
        <f>CV41-CP41</f>
        <v/>
      </c>
      <c r="CX41" s="79" t="n"/>
      <c r="CY41" s="17" t="n"/>
      <c r="DD41" s="14">
        <f>SUM(CY41:DC41)</f>
        <v/>
      </c>
    </row>
    <row r="42" ht="15" customHeight="1">
      <c r="A42" s="33" t="n">
        <v>13</v>
      </c>
      <c r="B42" s="50" t="inlineStr">
        <is>
          <t>NAYARIT</t>
        </is>
      </c>
      <c r="C42" s="47" t="inlineStr">
        <is>
          <t>NAYARIT</t>
        </is>
      </c>
      <c r="D42" s="33" t="inlineStr">
        <is>
          <t>IASA</t>
        </is>
      </c>
      <c r="E42" s="13" t="n">
        <v>1218</v>
      </c>
      <c r="F42" s="13" t="n">
        <v>17</v>
      </c>
      <c r="G42" s="13" t="n"/>
      <c r="H42" s="13" t="n"/>
      <c r="I42" s="13" t="n"/>
      <c r="J42" s="13" t="n">
        <v>1235</v>
      </c>
      <c r="L42" s="3" t="n"/>
      <c r="M42" s="3" t="n"/>
      <c r="N42" s="3" t="n"/>
      <c r="O42" s="3" t="n"/>
      <c r="P42" s="3" t="n"/>
      <c r="R42" s="3" t="n">
        <v>3</v>
      </c>
      <c r="S42" s="15" t="n"/>
      <c r="T42" s="16" t="n">
        <v>54</v>
      </c>
      <c r="U42" s="16" t="n">
        <v>324</v>
      </c>
      <c r="W42" s="24" t="n"/>
      <c r="X42" s="24" t="n"/>
      <c r="Y42" s="24" t="n"/>
      <c r="Z42" s="24" t="n"/>
      <c r="AA42" s="24" t="n"/>
      <c r="AB42" s="24" t="n"/>
      <c r="AC42" s="24" t="n"/>
      <c r="AD42" s="24" t="n"/>
      <c r="AE42" s="24" t="n"/>
      <c r="AF42" s="24" t="n"/>
      <c r="AG42" s="24" t="n"/>
      <c r="AH42" s="24" t="n"/>
      <c r="AI42" s="24" t="n"/>
      <c r="AJ42" s="24" t="n"/>
      <c r="AK42" s="24" t="n"/>
      <c r="AL42" s="24" t="n"/>
      <c r="AM42" s="24" t="n"/>
      <c r="AN42" s="24" t="n"/>
      <c r="AO42" s="24" t="n"/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n"/>
      <c r="AY42" s="24" t="n"/>
      <c r="AZ42" s="24" t="n"/>
      <c r="BA42" s="24" t="n"/>
      <c r="BB42" s="24" t="n"/>
      <c r="BC42" s="24" t="n"/>
      <c r="BD42" s="24" t="n"/>
      <c r="BE42" s="24" t="n"/>
      <c r="BF42" s="24" t="n"/>
      <c r="BG42" s="24" t="n"/>
      <c r="BH42" s="24" t="n"/>
      <c r="BI42" s="24" t="n"/>
      <c r="BJ42" s="24" t="n"/>
      <c r="BK42" s="24" t="n"/>
      <c r="BL42" s="24" t="n"/>
      <c r="BM42" s="24" t="n"/>
      <c r="BN42" s="24" t="n"/>
      <c r="BO42" s="24" t="n"/>
      <c r="BP42" s="24" t="n"/>
      <c r="BQ42" s="24" t="n"/>
      <c r="BR42" s="24" t="n"/>
      <c r="BS42" s="24" t="n"/>
      <c r="BT42" s="24" t="n"/>
      <c r="BU42" s="24" t="n"/>
      <c r="BV42" s="24" t="n"/>
      <c r="BW42" s="24" t="n"/>
      <c r="BX42" s="24" t="n"/>
      <c r="BY42" s="24" t="n"/>
      <c r="BZ42" s="24" t="n"/>
      <c r="CA42" s="24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37">
        <f>+SUM(W42:CM42)</f>
        <v/>
      </c>
      <c r="CP42" s="27">
        <f>CN42</f>
        <v/>
      </c>
      <c r="CQ42" s="22" t="n">
        <v>0</v>
      </c>
      <c r="CR42" s="22">
        <f>CP42+CQ42</f>
        <v/>
      </c>
      <c r="CS42" s="42" t="n"/>
      <c r="CT42" s="78" t="n"/>
      <c r="CU42" s="14">
        <f>DD42</f>
        <v/>
      </c>
      <c r="CV42" s="14">
        <f>CU42/2</f>
        <v/>
      </c>
      <c r="CW42" s="14">
        <f>CV42-CP42</f>
        <v/>
      </c>
      <c r="CX42" s="79" t="n"/>
      <c r="CY42" s="17" t="n"/>
      <c r="DD42" s="14">
        <f>SUM(CY42:DC42)</f>
        <v/>
      </c>
    </row>
    <row r="43">
      <c r="A43" s="33" t="n">
        <v>14</v>
      </c>
      <c r="B43" s="50" t="inlineStr">
        <is>
          <t>CIUDAD OBREGON-LOS MOCH</t>
        </is>
      </c>
      <c r="C43" s="47" t="inlineStr">
        <is>
          <t>CIUDAD OBREGON-LOS MOCH</t>
        </is>
      </c>
      <c r="D43" s="33" t="inlineStr">
        <is>
          <t>IASA</t>
        </is>
      </c>
      <c r="E43" s="13" t="n">
        <v>1734</v>
      </c>
      <c r="F43" s="13" t="n">
        <v>312</v>
      </c>
      <c r="G43" s="13" t="n"/>
      <c r="H43" s="13" t="n"/>
      <c r="I43" s="13" t="n"/>
      <c r="J43" s="13" t="n">
        <v>2046</v>
      </c>
      <c r="L43" s="3" t="n"/>
      <c r="M43" s="3" t="n"/>
      <c r="N43" s="3" t="n"/>
      <c r="O43" s="3" t="n"/>
      <c r="P43" s="3" t="n"/>
      <c r="R43" s="3" t="n">
        <v>5</v>
      </c>
      <c r="S43" s="15" t="n"/>
      <c r="T43" s="16" t="n">
        <v>90</v>
      </c>
      <c r="U43" s="16" t="n">
        <v>540</v>
      </c>
      <c r="W43" s="24" t="n"/>
      <c r="X43" s="24" t="n"/>
      <c r="Y43" s="24" t="n"/>
      <c r="Z43" s="24" t="n"/>
      <c r="AA43" s="24" t="n"/>
      <c r="AB43" s="24" t="n"/>
      <c r="AC43" s="24" t="n"/>
      <c r="AD43" s="24" t="n"/>
      <c r="AE43" s="24" t="n"/>
      <c r="AF43" s="24" t="n"/>
      <c r="AG43" s="24" t="n"/>
      <c r="AH43" s="24" t="n"/>
      <c r="AI43" s="24" t="n"/>
      <c r="AJ43" s="24" t="n"/>
      <c r="AK43" s="24" t="n"/>
      <c r="AL43" s="24" t="n"/>
      <c r="AM43" s="24" t="n"/>
      <c r="AN43" s="24" t="n"/>
      <c r="AO43" s="24" t="n"/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n"/>
      <c r="AY43" s="24" t="n"/>
      <c r="AZ43" s="24" t="n"/>
      <c r="BA43" s="24" t="n"/>
      <c r="BB43" s="24" t="n"/>
      <c r="BC43" s="24" t="n"/>
      <c r="BD43" s="24" t="n"/>
      <c r="BE43" s="24" t="n"/>
      <c r="BF43" s="24" t="n"/>
      <c r="BG43" s="24" t="n"/>
      <c r="BH43" s="24" t="n"/>
      <c r="BI43" s="24" t="n"/>
      <c r="BJ43" s="24" t="n"/>
      <c r="BK43" s="24" t="n"/>
      <c r="BL43" s="24" t="n"/>
      <c r="BM43" s="24" t="n"/>
      <c r="BN43" s="24" t="n"/>
      <c r="BO43" s="24" t="n"/>
      <c r="BP43" s="24" t="n"/>
      <c r="BQ43" s="24" t="n"/>
      <c r="BR43" s="24" t="n"/>
      <c r="BS43" s="24" t="n"/>
      <c r="BT43" s="24" t="n"/>
      <c r="BU43" s="24" t="n"/>
      <c r="BV43" s="24" t="n"/>
      <c r="BW43" s="24" t="n"/>
      <c r="BX43" s="24" t="n"/>
      <c r="BY43" s="24" t="n"/>
      <c r="BZ43" s="24" t="n"/>
      <c r="CA43" s="24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37">
        <f>+SUM(W43:CM43)</f>
        <v/>
      </c>
      <c r="CP43" s="27">
        <f>CN43</f>
        <v/>
      </c>
      <c r="CQ43" s="22" t="n">
        <v>0</v>
      </c>
      <c r="CR43" s="22">
        <f>CP43+CQ43</f>
        <v/>
      </c>
      <c r="CS43" s="42" t="n"/>
      <c r="CT43" s="78" t="n"/>
      <c r="CU43" s="14">
        <f>DD43</f>
        <v/>
      </c>
      <c r="CV43" s="14">
        <f>CU43/2</f>
        <v/>
      </c>
      <c r="CW43" s="14">
        <f>CV43-CP43</f>
        <v/>
      </c>
      <c r="CX43" s="79" t="n"/>
      <c r="CY43" s="17" t="n"/>
      <c r="DD43" s="14">
        <f>SUM(CY43:DC43)</f>
        <v/>
      </c>
    </row>
    <row r="44">
      <c r="A44" s="33" t="n">
        <v>15</v>
      </c>
      <c r="B44" s="50" t="inlineStr">
        <is>
          <t>VERACRUZ</t>
        </is>
      </c>
      <c r="C44" s="47" t="inlineStr">
        <is>
          <t>VERACRUZ</t>
        </is>
      </c>
      <c r="D44" s="33" t="inlineStr">
        <is>
          <t>IASA</t>
        </is>
      </c>
      <c r="E44" s="13" t="n">
        <v>1716</v>
      </c>
      <c r="F44" s="13" t="n">
        <v>401</v>
      </c>
      <c r="G44" s="13" t="n"/>
      <c r="H44" s="13" t="n"/>
      <c r="I44" s="13" t="n"/>
      <c r="J44" s="13" t="n">
        <v>2117</v>
      </c>
      <c r="L44" s="3" t="n"/>
      <c r="M44" s="3" t="n"/>
      <c r="N44" s="3" t="n"/>
      <c r="O44" s="3" t="n"/>
      <c r="P44" s="3" t="n"/>
      <c r="R44" s="3" t="n">
        <v>5</v>
      </c>
      <c r="S44" s="15" t="n"/>
      <c r="T44" s="16" t="n">
        <v>90</v>
      </c>
      <c r="U44" s="16" t="n">
        <v>540</v>
      </c>
      <c r="W44" s="24" t="n"/>
      <c r="X44" s="24" t="n"/>
      <c r="Y44" s="24" t="n"/>
      <c r="Z44" s="24" t="n"/>
      <c r="AA44" s="24" t="n"/>
      <c r="AB44" s="24" t="n"/>
      <c r="AC44" s="24" t="n"/>
      <c r="AD44" s="24" t="n"/>
      <c r="AE44" s="24" t="n"/>
      <c r="AF44" s="24" t="n"/>
      <c r="AG44" s="24" t="n"/>
      <c r="AH44" s="24" t="n"/>
      <c r="AI44" s="24" t="n"/>
      <c r="AJ44" s="24" t="n"/>
      <c r="AK44" s="24" t="n"/>
      <c r="AL44" s="24" t="n"/>
      <c r="AM44" s="24" t="n"/>
      <c r="AN44" s="24" t="n"/>
      <c r="AO44" s="24" t="n"/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n"/>
      <c r="AY44" s="24" t="n"/>
      <c r="AZ44" s="24" t="n"/>
      <c r="BA44" s="24" t="n"/>
      <c r="BB44" s="24" t="n"/>
      <c r="BC44" s="24" t="n"/>
      <c r="BD44" s="24" t="n"/>
      <c r="BE44" s="24" t="n"/>
      <c r="BF44" s="24" t="n"/>
      <c r="BG44" s="24" t="n"/>
      <c r="BH44" s="24" t="n"/>
      <c r="BI44" s="24" t="n"/>
      <c r="BJ44" s="24" t="n"/>
      <c r="BK44" s="24" t="n"/>
      <c r="BL44" s="24" t="n"/>
      <c r="BM44" s="24" t="n"/>
      <c r="BN44" s="24" t="n"/>
      <c r="BO44" s="24" t="n"/>
      <c r="BP44" s="24" t="n"/>
      <c r="BQ44" s="24" t="n"/>
      <c r="BR44" s="24" t="n"/>
      <c r="BS44" s="24" t="n"/>
      <c r="BT44" s="24" t="n"/>
      <c r="BU44" s="24" t="n"/>
      <c r="BV44" s="24" t="n"/>
      <c r="BW44" s="24" t="n"/>
      <c r="BX44" s="24" t="n"/>
      <c r="BY44" s="24" t="n"/>
      <c r="BZ44" s="24" t="n"/>
      <c r="CA44" s="24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37">
        <f>+SUM(W44:CM44)</f>
        <v/>
      </c>
      <c r="CP44" s="27">
        <f>CN44</f>
        <v/>
      </c>
      <c r="CQ44" s="22" t="n">
        <v>0</v>
      </c>
      <c r="CR44" s="22">
        <f>CP44+CQ44</f>
        <v/>
      </c>
      <c r="CS44" s="42" t="n"/>
      <c r="CT44" s="78" t="n"/>
      <c r="CU44" s="14">
        <f>DD44</f>
        <v/>
      </c>
      <c r="CV44" s="14">
        <f>CU44/2</f>
        <v/>
      </c>
      <c r="CW44" s="14">
        <f>CV44-CP44</f>
        <v/>
      </c>
      <c r="CX44" s="79" t="n"/>
      <c r="CY44" s="17" t="n"/>
      <c r="DD44" s="14">
        <f>SUM(CY44:DC44)</f>
        <v/>
      </c>
    </row>
    <row r="45">
      <c r="A45" s="33" t="n">
        <v>18</v>
      </c>
      <c r="B45" s="50" t="inlineStr">
        <is>
          <t>SAN LUIS POTOSI</t>
        </is>
      </c>
      <c r="C45" s="47" t="inlineStr">
        <is>
          <t>SAN LUIS POTOSI</t>
        </is>
      </c>
      <c r="D45" s="33" t="inlineStr">
        <is>
          <t>EULEN</t>
        </is>
      </c>
      <c r="E45" s="13" t="n">
        <v>222</v>
      </c>
      <c r="F45" s="13" t="n">
        <v>48</v>
      </c>
      <c r="G45" s="13" t="n"/>
      <c r="H45" s="13" t="n"/>
      <c r="I45" s="13" t="n"/>
      <c r="J45" s="13" t="n">
        <v>270</v>
      </c>
      <c r="L45" s="3" t="n"/>
      <c r="M45" s="3" t="n"/>
      <c r="N45" s="3" t="n"/>
      <c r="O45" s="3" t="n"/>
      <c r="P45" s="3" t="n"/>
      <c r="R45" s="3" t="n">
        <v>1</v>
      </c>
      <c r="S45" s="15" t="n"/>
      <c r="T45" s="16" t="n">
        <v>18</v>
      </c>
      <c r="U45" s="16" t="n">
        <v>108</v>
      </c>
      <c r="W45" s="24" t="n"/>
      <c r="X45" s="24" t="n"/>
      <c r="Y45" s="24" t="n"/>
      <c r="Z45" s="24" t="n"/>
      <c r="AA45" s="24" t="n"/>
      <c r="AB45" s="24" t="n"/>
      <c r="AC45" s="24" t="n"/>
      <c r="AD45" s="24" t="n"/>
      <c r="AE45" s="24" t="n"/>
      <c r="AF45" s="24" t="n"/>
      <c r="AG45" s="24" t="n"/>
      <c r="AH45" s="24" t="n"/>
      <c r="AI45" s="24" t="n"/>
      <c r="AJ45" s="24" t="n"/>
      <c r="AK45" s="24" t="n"/>
      <c r="AL45" s="24" t="n"/>
      <c r="AM45" s="24" t="n"/>
      <c r="AN45" s="24" t="n"/>
      <c r="AO45" s="24" t="n"/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n"/>
      <c r="AY45" s="24" t="n"/>
      <c r="AZ45" s="24" t="n"/>
      <c r="BA45" s="24" t="n"/>
      <c r="BB45" s="24" t="n"/>
      <c r="BC45" s="24" t="n"/>
      <c r="BD45" s="24" t="n"/>
      <c r="BE45" s="24" t="n"/>
      <c r="BF45" s="24" t="n"/>
      <c r="BG45" s="24" t="n"/>
      <c r="BH45" s="24" t="n"/>
      <c r="BI45" s="24" t="n"/>
      <c r="BJ45" s="24" t="n"/>
      <c r="BK45" s="24" t="n"/>
      <c r="BL45" s="24" t="n"/>
      <c r="BM45" s="24" t="n"/>
      <c r="BN45" s="24" t="n"/>
      <c r="BO45" s="24" t="n"/>
      <c r="BP45" s="24" t="n"/>
      <c r="BQ45" s="24" t="n"/>
      <c r="BR45" s="24" t="n"/>
      <c r="BS45" s="24" t="n"/>
      <c r="BT45" s="24" t="n"/>
      <c r="BU45" s="24" t="n"/>
      <c r="BV45" s="24" t="n"/>
      <c r="BW45" s="24" t="n"/>
      <c r="BX45" s="24" t="n"/>
      <c r="BY45" s="24" t="n"/>
      <c r="BZ45" s="24" t="n"/>
      <c r="CA45" s="24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37">
        <f>+SUM(W45:CM45)</f>
        <v/>
      </c>
      <c r="CP45" s="27">
        <f>CN45</f>
        <v/>
      </c>
      <c r="CQ45" s="22" t="n">
        <v>0</v>
      </c>
      <c r="CR45" s="22">
        <f>CP45+CQ45</f>
        <v/>
      </c>
      <c r="CS45" s="42" t="n"/>
      <c r="CT45" s="78" t="n"/>
      <c r="CU45" s="14">
        <f>DD45</f>
        <v/>
      </c>
      <c r="CV45" s="14">
        <f>CU45/2</f>
        <v/>
      </c>
      <c r="CW45" s="14">
        <f>CV45-CP45</f>
        <v/>
      </c>
      <c r="CX45" s="79" t="n"/>
      <c r="CY45" s="17" t="n"/>
      <c r="DD45" s="14">
        <f>SUM(CY45:DC45)</f>
        <v/>
      </c>
    </row>
    <row r="46">
      <c r="A46" s="33" t="n">
        <v>19</v>
      </c>
      <c r="B46" s="50" t="inlineStr">
        <is>
          <t>YUCATAN</t>
        </is>
      </c>
      <c r="C46" s="47" t="inlineStr">
        <is>
          <t>YUCATAN</t>
        </is>
      </c>
      <c r="D46" s="33" t="inlineStr">
        <is>
          <t>IASA</t>
        </is>
      </c>
      <c r="E46" s="13" t="n">
        <v>938</v>
      </c>
      <c r="F46" s="13" t="n">
        <v>576</v>
      </c>
      <c r="G46" s="13" t="n">
        <v>10</v>
      </c>
      <c r="H46" s="13" t="n"/>
      <c r="I46" s="13" t="n"/>
      <c r="J46" s="13" t="n">
        <v>1524</v>
      </c>
      <c r="L46" s="3" t="n"/>
      <c r="M46" s="3" t="n"/>
      <c r="N46" s="3" t="n"/>
      <c r="O46" s="3" t="n"/>
      <c r="P46" s="3" t="n"/>
      <c r="R46" s="3" t="n">
        <v>4</v>
      </c>
      <c r="S46" s="15" t="n"/>
      <c r="T46" s="16" t="n">
        <v>72</v>
      </c>
      <c r="U46" s="16" t="n">
        <v>432</v>
      </c>
      <c r="W46" s="24" t="n"/>
      <c r="X46" s="24" t="n"/>
      <c r="Y46" s="24" t="n"/>
      <c r="Z46" s="24" t="n"/>
      <c r="AA46" s="24" t="n"/>
      <c r="AB46" s="24" t="n"/>
      <c r="AC46" s="24" t="n"/>
      <c r="AD46" s="24" t="n"/>
      <c r="AE46" s="24" t="n"/>
      <c r="AF46" s="24" t="n"/>
      <c r="AG46" s="24" t="n"/>
      <c r="AH46" s="24" t="n"/>
      <c r="AI46" s="24" t="n"/>
      <c r="AJ46" s="24" t="n"/>
      <c r="AK46" s="24" t="n"/>
      <c r="AL46" s="24" t="n"/>
      <c r="AM46" s="24" t="n"/>
      <c r="AN46" s="24" t="n"/>
      <c r="AO46" s="24" t="n"/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n"/>
      <c r="BB46" s="24" t="n"/>
      <c r="BC46" s="24" t="n"/>
      <c r="BD46" s="24" t="n"/>
      <c r="BE46" s="24" t="n"/>
      <c r="BF46" s="24" t="n"/>
      <c r="BG46" s="24" t="n"/>
      <c r="BH46" s="24" t="n"/>
      <c r="BI46" s="24" t="n"/>
      <c r="BJ46" s="24" t="n"/>
      <c r="BK46" s="24" t="n"/>
      <c r="BL46" s="24" t="n"/>
      <c r="BM46" s="24" t="n"/>
      <c r="BN46" s="24" t="n"/>
      <c r="BO46" s="24" t="n"/>
      <c r="BP46" s="24" t="n"/>
      <c r="BQ46" s="24" t="n"/>
      <c r="BR46" s="24" t="n"/>
      <c r="BS46" s="24" t="n"/>
      <c r="BT46" s="24" t="n"/>
      <c r="BU46" s="24" t="n"/>
      <c r="BV46" s="24" t="n"/>
      <c r="BW46" s="24" t="n"/>
      <c r="BX46" s="24" t="n"/>
      <c r="BY46" s="24" t="n"/>
      <c r="BZ46" s="24" t="n"/>
      <c r="CA46" s="24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37">
        <f>+SUM(W46:CM46)</f>
        <v/>
      </c>
      <c r="CP46" s="27">
        <f>CN46</f>
        <v/>
      </c>
      <c r="CQ46" s="22" t="n">
        <v>0</v>
      </c>
      <c r="CR46" s="22">
        <f>CP46+CQ46</f>
        <v/>
      </c>
      <c r="CS46" s="42" t="n"/>
      <c r="CT46" s="78" t="n"/>
      <c r="CU46" s="14">
        <f>DD46</f>
        <v/>
      </c>
      <c r="CV46" s="14">
        <f>CU46/2</f>
        <v/>
      </c>
      <c r="CW46" s="14">
        <f>CV46-CP46</f>
        <v/>
      </c>
      <c r="CX46" s="79" t="n"/>
      <c r="CY46" s="17" t="n"/>
      <c r="DD46" s="14">
        <f>SUM(CY46:DC46)</f>
        <v/>
      </c>
    </row>
    <row r="47">
      <c r="A47" s="33" t="n">
        <v>20</v>
      </c>
      <c r="B47" s="58" t="inlineStr">
        <is>
          <t>MICHOACAN</t>
        </is>
      </c>
      <c r="C47" s="47" t="inlineStr">
        <is>
          <t>MICHOACAN-ZAMORA</t>
        </is>
      </c>
      <c r="D47" s="33" t="inlineStr">
        <is>
          <t>EULEN</t>
        </is>
      </c>
      <c r="E47" s="13" t="n">
        <v>749</v>
      </c>
      <c r="F47" s="13" t="n">
        <v>175</v>
      </c>
      <c r="G47" s="13" t="n"/>
      <c r="H47" s="13" t="n"/>
      <c r="I47" s="13" t="n"/>
      <c r="J47" s="13" t="n">
        <v>924</v>
      </c>
      <c r="L47" s="3" t="n"/>
      <c r="M47" s="3" t="n"/>
      <c r="N47" s="3" t="n"/>
      <c r="O47" s="3" t="n"/>
      <c r="P47" s="3" t="n"/>
      <c r="R47" s="3" t="n">
        <v>3</v>
      </c>
      <c r="S47" s="15" t="n"/>
      <c r="T47" s="16" t="n">
        <v>54</v>
      </c>
      <c r="U47" s="16" t="n">
        <v>324</v>
      </c>
      <c r="W47" s="24" t="n"/>
      <c r="X47" s="24" t="n"/>
      <c r="Y47" s="24" t="n"/>
      <c r="Z47" s="24" t="n"/>
      <c r="AA47" s="24" t="n"/>
      <c r="AB47" s="24" t="n"/>
      <c r="AC47" s="24" t="n"/>
      <c r="AD47" s="24" t="n"/>
      <c r="AE47" s="24" t="n"/>
      <c r="AF47" s="24" t="n"/>
      <c r="AG47" s="24" t="n"/>
      <c r="AH47" s="24" t="n"/>
      <c r="AI47" s="24" t="n"/>
      <c r="AJ47" s="24" t="n"/>
      <c r="AK47" s="24" t="n"/>
      <c r="AL47" s="24" t="n"/>
      <c r="AM47" s="24" t="n"/>
      <c r="AN47" s="24" t="n"/>
      <c r="AO47" s="24" t="n"/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n"/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24" t="n"/>
      <c r="BK47" s="24" t="n"/>
      <c r="BL47" s="24" t="n"/>
      <c r="BM47" s="24" t="n"/>
      <c r="BN47" s="24" t="n"/>
      <c r="BO47" s="24" t="n"/>
      <c r="BP47" s="24" t="n"/>
      <c r="BQ47" s="24" t="n"/>
      <c r="BR47" s="24" t="n"/>
      <c r="BS47" s="24" t="n"/>
      <c r="BT47" s="24" t="n"/>
      <c r="BU47" s="24" t="n"/>
      <c r="BV47" s="24" t="n"/>
      <c r="BW47" s="24" t="n"/>
      <c r="BX47" s="24" t="n"/>
      <c r="BY47" s="24" t="n"/>
      <c r="BZ47" s="24" t="n"/>
      <c r="CA47" s="24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37">
        <f>+SUM(W47:CM47)</f>
        <v/>
      </c>
      <c r="CP47" s="27">
        <f>CN47</f>
        <v/>
      </c>
      <c r="CQ47" s="22" t="n">
        <v>0</v>
      </c>
      <c r="CR47" s="22">
        <f>CP47+CQ47</f>
        <v/>
      </c>
      <c r="CS47" s="42" t="n"/>
      <c r="CT47" s="78" t="n"/>
      <c r="CU47" s="14">
        <f>DD47</f>
        <v/>
      </c>
      <c r="CV47" s="14">
        <f>CU47/2</f>
        <v/>
      </c>
      <c r="CW47" s="14">
        <f>CV47-CP47</f>
        <v/>
      </c>
      <c r="CX47" s="79" t="n"/>
      <c r="CY47" s="17" t="n"/>
      <c r="DD47" s="14">
        <f>SUM(CY47:DC47)</f>
        <v/>
      </c>
    </row>
    <row r="48">
      <c r="A48" s="33" t="n">
        <v>20</v>
      </c>
      <c r="B48" s="59" t="n"/>
      <c r="C48" s="47" t="inlineStr">
        <is>
          <t>MICHOACAN-MORELIA</t>
        </is>
      </c>
      <c r="D48" s="33" t="inlineStr">
        <is>
          <t>IASA</t>
        </is>
      </c>
      <c r="E48" s="13" t="n">
        <v>2252</v>
      </c>
      <c r="F48" s="13" t="n">
        <v>210</v>
      </c>
      <c r="G48" s="13" t="n"/>
      <c r="H48" s="13" t="n"/>
      <c r="I48" s="13" t="n"/>
      <c r="J48" s="13" t="n">
        <v>2462</v>
      </c>
      <c r="L48" s="3" t="n"/>
      <c r="M48" s="3" t="n"/>
      <c r="N48" s="3" t="n"/>
      <c r="O48" s="3" t="n"/>
      <c r="P48" s="3" t="n"/>
      <c r="R48" s="3" t="n">
        <v>6</v>
      </c>
      <c r="S48" s="15" t="n"/>
      <c r="T48" s="16" t="n">
        <v>108</v>
      </c>
      <c r="U48" s="16" t="n">
        <v>648</v>
      </c>
      <c r="W48" s="24" t="n"/>
      <c r="X48" s="24" t="n"/>
      <c r="Y48" s="24" t="n"/>
      <c r="Z48" s="24" t="n"/>
      <c r="AA48" s="24" t="n"/>
      <c r="AB48" s="24" t="n"/>
      <c r="AC48" s="24" t="n"/>
      <c r="AD48" s="24" t="n"/>
      <c r="AE48" s="24" t="n"/>
      <c r="AF48" s="24" t="n"/>
      <c r="AG48" s="24" t="n"/>
      <c r="AH48" s="24" t="n"/>
      <c r="AI48" s="24" t="n"/>
      <c r="AJ48" s="24" t="n"/>
      <c r="AK48" s="24" t="n"/>
      <c r="AL48" s="24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n"/>
      <c r="BI48" s="24" t="n"/>
      <c r="BJ48" s="24" t="n"/>
      <c r="BK48" s="24" t="n"/>
      <c r="BL48" s="24" t="n"/>
      <c r="BM48" s="24" t="n"/>
      <c r="BN48" s="24" t="n"/>
      <c r="BO48" s="24" t="n"/>
      <c r="BP48" s="24" t="n"/>
      <c r="BQ48" s="24" t="n"/>
      <c r="BR48" s="24" t="n"/>
      <c r="BS48" s="24" t="n"/>
      <c r="BT48" s="24" t="n"/>
      <c r="BU48" s="24" t="n"/>
      <c r="BV48" s="24" t="n"/>
      <c r="BW48" s="24" t="n"/>
      <c r="BX48" s="24" t="n"/>
      <c r="BY48" s="24" t="n"/>
      <c r="BZ48" s="24" t="n"/>
      <c r="CA48" s="24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37">
        <f>+SUM(W48:CM48)</f>
        <v/>
      </c>
      <c r="CP48" s="27">
        <f>CN48</f>
        <v/>
      </c>
      <c r="CQ48" s="22" t="n">
        <v>0</v>
      </c>
      <c r="CR48" s="22">
        <f>CP48+CQ48</f>
        <v/>
      </c>
      <c r="CS48" s="42" t="n"/>
      <c r="CT48" s="78" t="n"/>
      <c r="CU48" s="14">
        <f>DD48</f>
        <v/>
      </c>
      <c r="CV48" s="14">
        <f>CU48/2</f>
        <v/>
      </c>
      <c r="CW48" s="14">
        <f>CV48-CP48</f>
        <v/>
      </c>
      <c r="CX48" s="79" t="n"/>
      <c r="CY48" s="17" t="n"/>
      <c r="DD48" s="14">
        <f>SUM(CY48:DC48)</f>
        <v/>
      </c>
    </row>
    <row r="49">
      <c r="A49" s="33" t="n">
        <v>21</v>
      </c>
      <c r="B49" s="50" t="inlineStr">
        <is>
          <t>AGUASCALIENTES</t>
        </is>
      </c>
      <c r="C49" s="47" t="inlineStr">
        <is>
          <t>AGUASCALIENTES</t>
        </is>
      </c>
      <c r="D49" s="33" t="inlineStr">
        <is>
          <t>IASA</t>
        </is>
      </c>
      <c r="E49" s="13" t="n">
        <v>587</v>
      </c>
      <c r="F49" s="13" t="n">
        <v>12</v>
      </c>
      <c r="G49" s="13" t="n"/>
      <c r="H49" s="13" t="n"/>
      <c r="I49" s="13" t="n"/>
      <c r="J49" s="13" t="n">
        <v>599</v>
      </c>
      <c r="L49" s="3" t="n"/>
      <c r="M49" s="3" t="n"/>
      <c r="N49" s="3" t="n"/>
      <c r="O49" s="3" t="n"/>
      <c r="P49" s="3" t="n"/>
      <c r="R49" s="3" t="n">
        <v>2</v>
      </c>
      <c r="S49" s="15" t="n"/>
      <c r="T49" s="16" t="n">
        <v>36</v>
      </c>
      <c r="U49" s="16" t="n">
        <v>216</v>
      </c>
      <c r="W49" s="24" t="n"/>
      <c r="X49" s="24" t="n"/>
      <c r="Y49" s="24" t="n"/>
      <c r="Z49" s="24" t="n"/>
      <c r="AA49" s="24" t="n"/>
      <c r="AB49" s="24" t="n"/>
      <c r="AC49" s="24" t="n"/>
      <c r="AD49" s="24" t="n"/>
      <c r="AE49" s="24" t="n"/>
      <c r="AF49" s="24" t="n"/>
      <c r="AG49" s="24" t="n"/>
      <c r="AH49" s="24" t="n"/>
      <c r="AI49" s="24" t="n"/>
      <c r="AJ49" s="24" t="n"/>
      <c r="AK49" s="24" t="n"/>
      <c r="AL49" s="24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n"/>
      <c r="BI49" s="24" t="n"/>
      <c r="BJ49" s="24" t="n"/>
      <c r="BK49" s="24" t="n"/>
      <c r="BL49" s="24" t="n"/>
      <c r="BM49" s="24" t="n"/>
      <c r="BN49" s="24" t="n"/>
      <c r="BO49" s="24" t="n"/>
      <c r="BP49" s="24" t="n"/>
      <c r="BQ49" s="24" t="n"/>
      <c r="BR49" s="24" t="n"/>
      <c r="BS49" s="24" t="n"/>
      <c r="BT49" s="24" t="n"/>
      <c r="BU49" s="24" t="n"/>
      <c r="BV49" s="24" t="n"/>
      <c r="BW49" s="24" t="n"/>
      <c r="BX49" s="24" t="n"/>
      <c r="BY49" s="24" t="n"/>
      <c r="BZ49" s="24" t="n"/>
      <c r="CA49" s="24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37">
        <f>+SUM(W49:CM49)</f>
        <v/>
      </c>
      <c r="CP49" s="27">
        <f>CN49</f>
        <v/>
      </c>
      <c r="CQ49" s="22" t="n">
        <v>0</v>
      </c>
      <c r="CR49" s="22">
        <f>CP49+CQ49</f>
        <v/>
      </c>
      <c r="CS49" s="42" t="n"/>
      <c r="CT49" s="78" t="n"/>
      <c r="CU49" s="14">
        <f>DD49</f>
        <v/>
      </c>
      <c r="CV49" s="14">
        <f>CU49/2</f>
        <v/>
      </c>
      <c r="CW49" s="14">
        <f>CV49-CP49</f>
        <v/>
      </c>
      <c r="CX49" s="79" t="n"/>
      <c r="CY49" s="17" t="n"/>
      <c r="DD49" s="14">
        <f>SUM(CY49:DC49)</f>
        <v/>
      </c>
    </row>
    <row r="50">
      <c r="A50" s="33" t="n">
        <v>22</v>
      </c>
      <c r="B50" s="50" t="inlineStr">
        <is>
          <t>CHIAPAS</t>
        </is>
      </c>
      <c r="C50" s="47" t="inlineStr">
        <is>
          <t>CHIAPAS</t>
        </is>
      </c>
      <c r="D50" s="33" t="inlineStr">
        <is>
          <t>IASA</t>
        </is>
      </c>
      <c r="E50" s="13" t="n">
        <v>1932</v>
      </c>
      <c r="F50" s="13" t="n">
        <v>604</v>
      </c>
      <c r="G50" s="13" t="n"/>
      <c r="H50" s="13" t="n"/>
      <c r="I50" s="13" t="n"/>
      <c r="J50" s="13" t="n">
        <v>2536</v>
      </c>
      <c r="L50" s="3" t="n"/>
      <c r="M50" s="3" t="n"/>
      <c r="N50" s="3" t="n"/>
      <c r="O50" s="3" t="n"/>
      <c r="P50" s="3" t="n"/>
      <c r="R50" s="3" t="n">
        <v>6</v>
      </c>
      <c r="T50" s="16" t="n">
        <v>108</v>
      </c>
      <c r="U50" s="16" t="n">
        <v>648</v>
      </c>
      <c r="W50" s="24" t="n"/>
      <c r="X50" s="24" t="n"/>
      <c r="Y50" s="24" t="n"/>
      <c r="Z50" s="24" t="n"/>
      <c r="AA50" s="24" t="n"/>
      <c r="AB50" s="24" t="n"/>
      <c r="AC50" s="24" t="n"/>
      <c r="AD50" s="24" t="n"/>
      <c r="AE50" s="24" t="n"/>
      <c r="AF50" s="24" t="n"/>
      <c r="AG50" s="24" t="n"/>
      <c r="AH50" s="24" t="n"/>
      <c r="AI50" s="24" t="n"/>
      <c r="AJ50" s="24" t="n"/>
      <c r="AK50" s="24" t="n"/>
      <c r="AL50" s="24" t="n"/>
      <c r="AM50" s="24" t="n"/>
      <c r="AN50" s="24" t="n"/>
      <c r="AO50" s="24" t="n"/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n"/>
      <c r="BB50" s="24" t="n"/>
      <c r="BC50" s="24" t="n"/>
      <c r="BD50" s="24" t="n"/>
      <c r="BE50" s="24" t="n"/>
      <c r="BF50" s="24" t="n"/>
      <c r="BG50" s="24" t="n"/>
      <c r="BH50" s="24" t="n"/>
      <c r="BI50" s="24" t="n"/>
      <c r="BJ50" s="24" t="n"/>
      <c r="BK50" s="24" t="n"/>
      <c r="BL50" s="24" t="n"/>
      <c r="BM50" s="24" t="n"/>
      <c r="BN50" s="24" t="n"/>
      <c r="BO50" s="24" t="n"/>
      <c r="BP50" s="24" t="n"/>
      <c r="BQ50" s="24" t="n"/>
      <c r="BR50" s="24" t="n"/>
      <c r="BS50" s="24" t="n"/>
      <c r="BT50" s="24" t="n"/>
      <c r="BU50" s="24" t="n"/>
      <c r="BV50" s="24" t="n"/>
      <c r="BW50" s="24" t="n"/>
      <c r="BX50" s="24" t="n"/>
      <c r="BY50" s="24" t="n"/>
      <c r="BZ50" s="24" t="n"/>
      <c r="CA50" s="24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37">
        <f>+SUM(W50:CM50)</f>
        <v/>
      </c>
      <c r="CP50" s="27">
        <f>CN50</f>
        <v/>
      </c>
      <c r="CQ50" s="22" t="n">
        <v>0</v>
      </c>
      <c r="CR50" s="22">
        <f>CP50+CQ50</f>
        <v/>
      </c>
      <c r="CS50" s="42" t="n"/>
      <c r="CT50" s="78" t="n"/>
      <c r="CU50" s="14">
        <f>DD50</f>
        <v/>
      </c>
      <c r="CV50" s="14">
        <f>CU50/2</f>
        <v/>
      </c>
      <c r="CW50" s="14">
        <f>CV50-CP50</f>
        <v/>
      </c>
      <c r="CX50" s="79" t="n"/>
      <c r="CY50" s="17" t="n"/>
      <c r="DD50" s="14">
        <f>SUM(CY50:DC50)</f>
        <v/>
      </c>
    </row>
    <row r="51">
      <c r="A51" s="33" t="n">
        <v>23</v>
      </c>
      <c r="B51" s="50" t="inlineStr">
        <is>
          <t>CHIHUAHUA</t>
        </is>
      </c>
      <c r="C51" s="47" t="inlineStr">
        <is>
          <t>CHIHUAHUA</t>
        </is>
      </c>
      <c r="D51" s="33" t="inlineStr">
        <is>
          <t>IASA</t>
        </is>
      </c>
      <c r="E51" s="13" t="n">
        <v>2498</v>
      </c>
      <c r="F51" s="13" t="n">
        <v>1340</v>
      </c>
      <c r="G51" s="13" t="n"/>
      <c r="H51" s="13" t="n"/>
      <c r="I51" s="13" t="n"/>
      <c r="J51" s="13" t="n">
        <v>3838</v>
      </c>
      <c r="L51" s="3" t="n"/>
      <c r="M51" s="3" t="n"/>
      <c r="N51" s="3" t="n"/>
      <c r="O51" s="3" t="n"/>
      <c r="P51" s="3" t="n"/>
      <c r="R51" s="3" t="n">
        <v>9</v>
      </c>
      <c r="S51" s="15" t="n"/>
      <c r="T51" s="16" t="n">
        <v>162</v>
      </c>
      <c r="U51" s="16" t="n">
        <v>972</v>
      </c>
      <c r="W51" s="24" t="n"/>
      <c r="X51" s="24" t="n"/>
      <c r="Y51" s="24" t="n"/>
      <c r="Z51" s="24" t="n"/>
      <c r="AA51" s="24" t="n"/>
      <c r="AB51" s="24" t="n"/>
      <c r="AC51" s="24" t="n"/>
      <c r="AD51" s="24" t="n"/>
      <c r="AE51" s="24" t="n"/>
      <c r="AF51" s="24" t="n"/>
      <c r="AG51" s="24" t="n"/>
      <c r="AH51" s="24" t="n"/>
      <c r="AI51" s="24" t="n"/>
      <c r="AJ51" s="24" t="n"/>
      <c r="AK51" s="24" t="n"/>
      <c r="AL51" s="24" t="n"/>
      <c r="AM51" s="24" t="n"/>
      <c r="AN51" s="24" t="n"/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n"/>
      <c r="BB51" s="24" t="n"/>
      <c r="BC51" s="24" t="n"/>
      <c r="BD51" s="24" t="n"/>
      <c r="BE51" s="24" t="n"/>
      <c r="BF51" s="24" t="n"/>
      <c r="BG51" s="24" t="n"/>
      <c r="BH51" s="24" t="n"/>
      <c r="BI51" s="24" t="n"/>
      <c r="BJ51" s="24" t="n"/>
      <c r="BK51" s="24" t="n"/>
      <c r="BL51" s="24" t="n"/>
      <c r="BM51" s="24" t="n"/>
      <c r="BN51" s="24" t="n"/>
      <c r="BO51" s="24" t="n"/>
      <c r="BP51" s="24" t="n"/>
      <c r="BQ51" s="24" t="n"/>
      <c r="BR51" s="24" t="n"/>
      <c r="BS51" s="24" t="n"/>
      <c r="BT51" s="24" t="n"/>
      <c r="BU51" s="24" t="n"/>
      <c r="BV51" s="24" t="n"/>
      <c r="BW51" s="24" t="n"/>
      <c r="BX51" s="24" t="n"/>
      <c r="BY51" s="24" t="n"/>
      <c r="BZ51" s="24" t="n"/>
      <c r="CA51" s="24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37">
        <f>+SUM(W51:CM51)</f>
        <v/>
      </c>
      <c r="CP51" s="27">
        <f>CN51</f>
        <v/>
      </c>
      <c r="CQ51" s="22" t="n">
        <v>0</v>
      </c>
      <c r="CR51" s="22">
        <f>CP51+CQ51</f>
        <v/>
      </c>
      <c r="CS51" s="42" t="n"/>
      <c r="CT51" s="78" t="n"/>
      <c r="CU51" s="14">
        <f>DD51</f>
        <v/>
      </c>
      <c r="CV51" s="14">
        <f>CU51/2</f>
        <v/>
      </c>
      <c r="CW51" s="14">
        <f>CV51-CP51</f>
        <v/>
      </c>
      <c r="CX51" s="79" t="n"/>
      <c r="CY51" s="17" t="n"/>
      <c r="DD51" s="14">
        <f>SUM(CY51:DC51)</f>
        <v/>
      </c>
    </row>
    <row r="52">
      <c r="A52" s="33" t="n">
        <v>24</v>
      </c>
      <c r="B52" s="50" t="inlineStr">
        <is>
          <t>TABASCO</t>
        </is>
      </c>
      <c r="C52" s="47" t="inlineStr">
        <is>
          <t>TABASCO</t>
        </is>
      </c>
      <c r="D52" s="33" t="inlineStr">
        <is>
          <t>IASA</t>
        </is>
      </c>
      <c r="E52" s="13" t="n">
        <v>566</v>
      </c>
      <c r="F52" s="13" t="n">
        <v>148</v>
      </c>
      <c r="G52" s="13" t="n"/>
      <c r="H52" s="13" t="n"/>
      <c r="I52" s="13" t="n"/>
      <c r="J52" s="13" t="n">
        <v>714</v>
      </c>
      <c r="L52" s="3" t="n"/>
      <c r="M52" s="3" t="n"/>
      <c r="N52" s="3" t="n"/>
      <c r="O52" s="3" t="n"/>
      <c r="P52" s="3" t="n"/>
      <c r="R52" s="3" t="n">
        <v>2</v>
      </c>
      <c r="S52" s="15" t="n"/>
      <c r="T52" s="16" t="n">
        <v>36</v>
      </c>
      <c r="U52" s="16" t="n">
        <v>216</v>
      </c>
      <c r="W52" s="24" t="n"/>
      <c r="X52" s="24" t="n"/>
      <c r="Y52" s="24" t="n"/>
      <c r="Z52" s="24" t="n"/>
      <c r="AA52" s="24" t="n"/>
      <c r="AB52" s="24" t="n"/>
      <c r="AC52" s="24" t="n"/>
      <c r="AD52" s="24" t="n"/>
      <c r="AE52" s="24" t="n"/>
      <c r="AF52" s="24" t="n"/>
      <c r="AG52" s="24" t="n"/>
      <c r="AH52" s="24" t="n"/>
      <c r="AI52" s="24" t="n"/>
      <c r="AJ52" s="24" t="n"/>
      <c r="AK52" s="24" t="n"/>
      <c r="AL52" s="24" t="n"/>
      <c r="AM52" s="24" t="n"/>
      <c r="AN52" s="24" t="n"/>
      <c r="AO52" s="24" t="n"/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n"/>
      <c r="BB52" s="24" t="n"/>
      <c r="BC52" s="24" t="n"/>
      <c r="BD52" s="24" t="n"/>
      <c r="BE52" s="24" t="n"/>
      <c r="BF52" s="24" t="n"/>
      <c r="BG52" s="24" t="n"/>
      <c r="BH52" s="24" t="n"/>
      <c r="BI52" s="24" t="n"/>
      <c r="BJ52" s="24" t="n"/>
      <c r="BK52" s="24" t="n"/>
      <c r="BL52" s="24" t="n"/>
      <c r="BM52" s="24" t="n"/>
      <c r="BN52" s="24" t="n"/>
      <c r="BO52" s="24" t="n"/>
      <c r="BP52" s="24" t="n"/>
      <c r="BQ52" s="24" t="n"/>
      <c r="BR52" s="24" t="n"/>
      <c r="BS52" s="24" t="n"/>
      <c r="BT52" s="24" t="n"/>
      <c r="BU52" s="24" t="n"/>
      <c r="BV52" s="24" t="n"/>
      <c r="BW52" s="24" t="n"/>
      <c r="BX52" s="24" t="n"/>
      <c r="BY52" s="24" t="n"/>
      <c r="BZ52" s="24" t="n"/>
      <c r="CA52" s="24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37">
        <f>+SUM(W52:CM52)</f>
        <v/>
      </c>
      <c r="CP52" s="27">
        <f>CN52</f>
        <v/>
      </c>
      <c r="CQ52" s="22" t="n">
        <v>0</v>
      </c>
      <c r="CR52" s="22">
        <f>CP52+CQ52</f>
        <v/>
      </c>
      <c r="CS52" s="42" t="n"/>
      <c r="CT52" s="78" t="n"/>
      <c r="CU52" s="14">
        <f>DD52</f>
        <v/>
      </c>
      <c r="CV52" s="14">
        <f>CU52/2</f>
        <v/>
      </c>
      <c r="CW52" s="14">
        <f>CV52-CP52</f>
        <v/>
      </c>
      <c r="CX52" s="79" t="n"/>
      <c r="CY52" s="17" t="n"/>
      <c r="DD52" s="14">
        <f>SUM(CY52:DC52)</f>
        <v/>
      </c>
    </row>
    <row r="53">
      <c r="A53" s="33" t="n">
        <v>26</v>
      </c>
      <c r="B53" s="50" t="inlineStr">
        <is>
          <t>CULIACAN</t>
        </is>
      </c>
      <c r="C53" s="47" t="inlineStr">
        <is>
          <t>CULIACAN</t>
        </is>
      </c>
      <c r="D53" s="33" t="inlineStr">
        <is>
          <t>IASA</t>
        </is>
      </c>
      <c r="E53" s="13" t="n">
        <v>852</v>
      </c>
      <c r="F53" s="13" t="n">
        <v>427</v>
      </c>
      <c r="G53" s="13" t="n"/>
      <c r="H53" s="13" t="n"/>
      <c r="I53" s="13" t="n"/>
      <c r="J53" s="13" t="n">
        <v>1279</v>
      </c>
      <c r="L53" s="3" t="n"/>
      <c r="M53" s="3" t="n"/>
      <c r="N53" s="3" t="n"/>
      <c r="O53" s="3" t="n"/>
      <c r="P53" s="3" t="n"/>
      <c r="R53" s="3" t="n">
        <v>3</v>
      </c>
      <c r="S53" s="15" t="n"/>
      <c r="T53" s="16" t="n">
        <v>54</v>
      </c>
      <c r="U53" s="16" t="n">
        <v>324</v>
      </c>
      <c r="W53" s="24" t="n"/>
      <c r="X53" s="24" t="n"/>
      <c r="Y53" s="24" t="n"/>
      <c r="Z53" s="24" t="n"/>
      <c r="AA53" s="24" t="n"/>
      <c r="AB53" s="24" t="n"/>
      <c r="AC53" s="24" t="n"/>
      <c r="AD53" s="24" t="n"/>
      <c r="AE53" s="24" t="n"/>
      <c r="AF53" s="24" t="n"/>
      <c r="AG53" s="24" t="n"/>
      <c r="AH53" s="24" t="n"/>
      <c r="AI53" s="24" t="n"/>
      <c r="AJ53" s="24" t="n"/>
      <c r="AK53" s="24" t="n"/>
      <c r="AL53" s="24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n"/>
      <c r="BI53" s="24" t="n"/>
      <c r="BJ53" s="24" t="n"/>
      <c r="BK53" s="24" t="n"/>
      <c r="BL53" s="24" t="n"/>
      <c r="BM53" s="24" t="n"/>
      <c r="BN53" s="24" t="n"/>
      <c r="BO53" s="24" t="n"/>
      <c r="BP53" s="24" t="n"/>
      <c r="BQ53" s="24" t="n"/>
      <c r="BR53" s="24" t="n"/>
      <c r="BS53" s="24" t="n"/>
      <c r="BT53" s="24" t="n"/>
      <c r="BU53" s="24" t="n"/>
      <c r="BV53" s="24" t="n"/>
      <c r="BW53" s="24" t="n"/>
      <c r="BX53" s="24" t="n"/>
      <c r="BY53" s="24" t="n"/>
      <c r="BZ53" s="24" t="n"/>
      <c r="CA53" s="24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37">
        <f>+SUM(W53:CM53)</f>
        <v/>
      </c>
      <c r="CP53" s="27">
        <f>CN53</f>
        <v/>
      </c>
      <c r="CQ53" s="22" t="n">
        <v>0</v>
      </c>
      <c r="CR53" s="22">
        <f>CP53+CQ53</f>
        <v/>
      </c>
      <c r="CS53" s="42" t="n"/>
      <c r="CT53" s="78" t="n"/>
      <c r="CU53" s="14">
        <f>DD53</f>
        <v/>
      </c>
      <c r="CV53" s="14">
        <f>CU53/2</f>
        <v/>
      </c>
      <c r="CW53" s="14">
        <f>CV53-CP53</f>
        <v/>
      </c>
      <c r="CX53" s="79" t="n"/>
      <c r="CY53" s="17" t="n"/>
      <c r="DD53" s="14">
        <f>SUM(CY53:DC53)</f>
        <v/>
      </c>
    </row>
    <row r="54">
      <c r="A54" s="33" t="n">
        <v>27</v>
      </c>
      <c r="B54" s="50" t="inlineStr">
        <is>
          <t>ACAPULCO</t>
        </is>
      </c>
      <c r="C54" s="47" t="inlineStr">
        <is>
          <t>ACAPULCO</t>
        </is>
      </c>
      <c r="D54" s="33" t="inlineStr">
        <is>
          <t>IASA</t>
        </is>
      </c>
      <c r="E54" s="13" t="n">
        <v>96</v>
      </c>
      <c r="F54" s="13" t="n">
        <v>21</v>
      </c>
      <c r="G54" s="13" t="n"/>
      <c r="H54" s="13" t="n"/>
      <c r="I54" s="13" t="n"/>
      <c r="J54" s="13" t="n">
        <v>117</v>
      </c>
      <c r="L54" s="3" t="n"/>
      <c r="M54" s="3" t="n"/>
      <c r="N54" s="3" t="n"/>
      <c r="O54" s="3" t="n"/>
      <c r="P54" s="3" t="n"/>
      <c r="R54" s="3" t="n">
        <v>1</v>
      </c>
      <c r="S54" s="15" t="n"/>
      <c r="T54" s="16" t="n">
        <v>18</v>
      </c>
      <c r="U54" s="16" t="n">
        <v>108</v>
      </c>
      <c r="W54" s="24" t="n"/>
      <c r="X54" s="24" t="n"/>
      <c r="Y54" s="24" t="n"/>
      <c r="Z54" s="24" t="n"/>
      <c r="AA54" s="24" t="n"/>
      <c r="AB54" s="24" t="n"/>
      <c r="AC54" s="24" t="n"/>
      <c r="AD54" s="24" t="n"/>
      <c r="AE54" s="24" t="n"/>
      <c r="AF54" s="24" t="n"/>
      <c r="AG54" s="24" t="n"/>
      <c r="AH54" s="24" t="n"/>
      <c r="AI54" s="24" t="n"/>
      <c r="AJ54" s="24" t="n"/>
      <c r="AK54" s="24" t="n"/>
      <c r="AL54" s="24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n"/>
      <c r="BI54" s="24" t="n"/>
      <c r="BJ54" s="24" t="n"/>
      <c r="BK54" s="24" t="n"/>
      <c r="BL54" s="24" t="n"/>
      <c r="BM54" s="24" t="n"/>
      <c r="BN54" s="24" t="n"/>
      <c r="BO54" s="24" t="n"/>
      <c r="BP54" s="24" t="n"/>
      <c r="BQ54" s="24" t="n"/>
      <c r="BR54" s="24" t="n"/>
      <c r="BS54" s="24" t="n"/>
      <c r="BT54" s="24" t="n"/>
      <c r="BU54" s="24" t="n"/>
      <c r="BV54" s="24" t="n"/>
      <c r="BW54" s="24" t="n"/>
      <c r="BX54" s="24" t="n"/>
      <c r="BY54" s="24" t="n"/>
      <c r="BZ54" s="24" t="n"/>
      <c r="CA54" s="24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37">
        <f>+SUM(W54:CM54)</f>
        <v/>
      </c>
      <c r="CP54" s="27">
        <f>CN54</f>
        <v/>
      </c>
      <c r="CQ54" s="22" t="n">
        <v>0</v>
      </c>
      <c r="CR54" s="22">
        <f>CP54+CQ54</f>
        <v/>
      </c>
      <c r="CS54" s="42" t="n"/>
      <c r="CT54" s="78" t="n"/>
      <c r="CU54" s="14">
        <f>DD54</f>
        <v/>
      </c>
      <c r="CV54" s="14">
        <f>CU54/2</f>
        <v/>
      </c>
      <c r="CW54" s="14">
        <f>CV54-CP54</f>
        <v/>
      </c>
      <c r="CX54" s="79" t="n"/>
      <c r="CY54" s="17" t="n"/>
      <c r="DD54" s="14">
        <f>SUM(CY54:DC54)</f>
        <v/>
      </c>
    </row>
    <row r="55">
      <c r="A55" s="33" t="n">
        <v>28</v>
      </c>
      <c r="B55" s="50" t="inlineStr">
        <is>
          <t>HERMOSILLO</t>
        </is>
      </c>
      <c r="C55" s="47" t="inlineStr">
        <is>
          <t>HERMOSILLO</t>
        </is>
      </c>
      <c r="D55" s="33" t="inlineStr">
        <is>
          <t>IASA</t>
        </is>
      </c>
      <c r="E55" s="13" t="n">
        <v>496</v>
      </c>
      <c r="F55" s="13" t="n">
        <v>134</v>
      </c>
      <c r="G55" s="13" t="n"/>
      <c r="H55" s="13" t="n"/>
      <c r="I55" s="13" t="n"/>
      <c r="J55" s="13" t="n">
        <v>630</v>
      </c>
      <c r="L55" s="3" t="n"/>
      <c r="M55" s="3" t="n"/>
      <c r="N55" s="3" t="n"/>
      <c r="O55" s="3" t="n"/>
      <c r="P55" s="3" t="n"/>
      <c r="R55" s="3" t="n">
        <v>2</v>
      </c>
      <c r="S55" s="15" t="n"/>
      <c r="T55" s="16" t="n">
        <v>36</v>
      </c>
      <c r="U55" s="16" t="n">
        <v>216</v>
      </c>
      <c r="W55" s="24" t="n"/>
      <c r="X55" s="24" t="n"/>
      <c r="Y55" s="24" t="n"/>
      <c r="Z55" s="24" t="n"/>
      <c r="AA55" s="24" t="n"/>
      <c r="AB55" s="24" t="n"/>
      <c r="AC55" s="24" t="n"/>
      <c r="AD55" s="24" t="n"/>
      <c r="AE55" s="24" t="n"/>
      <c r="AF55" s="24" t="n"/>
      <c r="AG55" s="24" t="n"/>
      <c r="AH55" s="24" t="n"/>
      <c r="AI55" s="24" t="n"/>
      <c r="AJ55" s="24" t="n"/>
      <c r="AK55" s="24" t="n"/>
      <c r="AL55" s="24" t="n"/>
      <c r="AM55" s="24" t="n"/>
      <c r="AN55" s="24" t="n"/>
      <c r="AO55" s="24" t="n"/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n"/>
      <c r="BI55" s="24" t="n"/>
      <c r="BJ55" s="24" t="n"/>
      <c r="BK55" s="24" t="n"/>
      <c r="BL55" s="24" t="n"/>
      <c r="BM55" s="24" t="n"/>
      <c r="BN55" s="24" t="n"/>
      <c r="BO55" s="24" t="n"/>
      <c r="BP55" s="24" t="n"/>
      <c r="BQ55" s="24" t="n"/>
      <c r="BR55" s="24" t="n"/>
      <c r="BS55" s="24" t="n"/>
      <c r="BT55" s="24" t="n"/>
      <c r="BU55" s="24" t="n"/>
      <c r="BV55" s="24" t="n"/>
      <c r="BW55" s="24" t="n"/>
      <c r="BX55" s="24" t="n"/>
      <c r="BY55" s="24" t="n"/>
      <c r="BZ55" s="24" t="n"/>
      <c r="CA55" s="24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37">
        <f>+SUM(W55:CM55)</f>
        <v/>
      </c>
      <c r="CP55" s="27">
        <f>CN55</f>
        <v/>
      </c>
      <c r="CQ55" s="22" t="n">
        <v>0</v>
      </c>
      <c r="CR55" s="22">
        <f>CP55+CQ55</f>
        <v/>
      </c>
      <c r="CS55" s="42" t="n"/>
      <c r="CT55" s="78" t="n"/>
      <c r="CU55" s="14">
        <f>DD55</f>
        <v/>
      </c>
      <c r="CV55" s="14">
        <f>CU55/2</f>
        <v/>
      </c>
      <c r="CW55" s="14">
        <f>CV55-CP55</f>
        <v/>
      </c>
      <c r="CX55" s="79" t="n"/>
      <c r="CY55" s="17" t="n"/>
      <c r="DD55" s="14">
        <f>SUM(CY55:DC55)</f>
        <v/>
      </c>
    </row>
    <row r="56">
      <c r="A56" s="33" t="n">
        <v>29</v>
      </c>
      <c r="B56" s="50" t="inlineStr">
        <is>
          <t>JALAPA</t>
        </is>
      </c>
      <c r="C56" s="47" t="inlineStr">
        <is>
          <t>JALAPA</t>
        </is>
      </c>
      <c r="D56" s="33" t="inlineStr">
        <is>
          <t>IASA</t>
        </is>
      </c>
      <c r="E56" s="13" t="n">
        <v>1435</v>
      </c>
      <c r="F56" s="13" t="n">
        <v>488</v>
      </c>
      <c r="G56" s="13" t="n"/>
      <c r="H56" s="13" t="n"/>
      <c r="I56" s="13" t="n"/>
      <c r="J56" s="13" t="n">
        <v>1923</v>
      </c>
      <c r="L56" s="3" t="n"/>
      <c r="M56" s="3" t="n"/>
      <c r="N56" s="3" t="n"/>
      <c r="O56" s="3" t="n"/>
      <c r="P56" s="3" t="n"/>
      <c r="R56" s="3" t="n">
        <v>5</v>
      </c>
      <c r="S56" s="15" t="n"/>
      <c r="T56" s="16" t="n">
        <v>90</v>
      </c>
      <c r="U56" s="16" t="n">
        <v>540</v>
      </c>
      <c r="W56" s="24" t="n"/>
      <c r="X56" s="24" t="n"/>
      <c r="Y56" s="24" t="n"/>
      <c r="Z56" s="24" t="n"/>
      <c r="AA56" s="24" t="n"/>
      <c r="AB56" s="24" t="n"/>
      <c r="AC56" s="24" t="n"/>
      <c r="AD56" s="24" t="n"/>
      <c r="AE56" s="24" t="n"/>
      <c r="AF56" s="24" t="n"/>
      <c r="AG56" s="24" t="n"/>
      <c r="AH56" s="24" t="n"/>
      <c r="AI56" s="24" t="n"/>
      <c r="AJ56" s="24" t="n"/>
      <c r="AK56" s="24" t="n"/>
      <c r="AL56" s="24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n"/>
      <c r="BB56" s="24" t="n"/>
      <c r="BC56" s="24" t="n"/>
      <c r="BD56" s="24" t="n"/>
      <c r="BE56" s="24" t="n"/>
      <c r="BF56" s="24" t="n"/>
      <c r="BG56" s="24" t="n"/>
      <c r="BH56" s="24" t="n"/>
      <c r="BI56" s="24" t="n"/>
      <c r="BJ56" s="24" t="n"/>
      <c r="BK56" s="24" t="n"/>
      <c r="BL56" s="24" t="n"/>
      <c r="BM56" s="24" t="n"/>
      <c r="BN56" s="24" t="n"/>
      <c r="BO56" s="24" t="n"/>
      <c r="BP56" s="24" t="n"/>
      <c r="BQ56" s="24" t="n"/>
      <c r="BR56" s="24" t="n"/>
      <c r="BS56" s="24" t="n"/>
      <c r="BT56" s="24" t="n"/>
      <c r="BU56" s="24" t="n"/>
      <c r="BV56" s="24" t="n"/>
      <c r="BW56" s="24" t="n"/>
      <c r="BX56" s="24" t="n"/>
      <c r="BY56" s="24" t="n"/>
      <c r="BZ56" s="24" t="n"/>
      <c r="CA56" s="24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37">
        <f>+SUM(W56:CM56)</f>
        <v/>
      </c>
      <c r="CP56" s="27">
        <f>CN56</f>
        <v/>
      </c>
      <c r="CQ56" s="22" t="n">
        <v>0</v>
      </c>
      <c r="CR56" s="22">
        <f>CP56+CQ56</f>
        <v/>
      </c>
      <c r="CS56" s="42" t="n"/>
      <c r="CT56" s="78" t="n"/>
      <c r="CU56" s="14">
        <f>DD56</f>
        <v/>
      </c>
      <c r="CV56" s="14">
        <f>CU56/2</f>
        <v/>
      </c>
      <c r="CW56" s="14">
        <f>CV56-CP56</f>
        <v/>
      </c>
      <c r="CX56" s="79" t="n"/>
      <c r="CY56" s="17" t="n"/>
      <c r="DD56" s="14">
        <f>SUM(CY56:DC56)</f>
        <v/>
      </c>
    </row>
    <row r="57">
      <c r="A57" s="33" t="n">
        <v>30</v>
      </c>
      <c r="B57" s="46" t="inlineStr">
        <is>
          <t>TAMPICO</t>
        </is>
      </c>
      <c r="C57" s="51" t="inlineStr">
        <is>
          <t>TAMPICO</t>
        </is>
      </c>
      <c r="D57" s="33" t="inlineStr">
        <is>
          <t>EULEN</t>
        </is>
      </c>
      <c r="E57" s="13" t="n">
        <v>320</v>
      </c>
      <c r="F57" s="13" t="n">
        <v>11</v>
      </c>
      <c r="G57" s="13" t="n"/>
      <c r="H57" s="13" t="n"/>
      <c r="I57" s="13" t="n"/>
      <c r="J57" s="13" t="n">
        <v>331</v>
      </c>
      <c r="L57" s="3" t="n"/>
      <c r="M57" s="3" t="n"/>
      <c r="N57" s="3" t="n"/>
      <c r="O57" s="3" t="n"/>
      <c r="P57" s="3" t="n"/>
      <c r="R57" s="3" t="n">
        <v>1</v>
      </c>
      <c r="S57" s="15" t="n"/>
      <c r="T57" s="16" t="n">
        <v>18</v>
      </c>
      <c r="U57" s="16" t="n">
        <v>108</v>
      </c>
      <c r="W57" s="24" t="n"/>
      <c r="X57" s="24" t="n"/>
      <c r="Y57" s="24" t="n"/>
      <c r="Z57" s="24" t="n"/>
      <c r="AA57" s="24" t="n"/>
      <c r="AB57" s="24" t="n"/>
      <c r="AC57" s="24" t="n"/>
      <c r="AD57" s="24" t="n"/>
      <c r="AE57" s="24" t="n"/>
      <c r="AF57" s="24" t="n"/>
      <c r="AG57" s="24" t="n"/>
      <c r="AH57" s="24" t="n"/>
      <c r="AI57" s="24" t="n"/>
      <c r="AJ57" s="24" t="n"/>
      <c r="AK57" s="24" t="n"/>
      <c r="AL57" s="24" t="n"/>
      <c r="AM57" s="24" t="n"/>
      <c r="AN57" s="24" t="n"/>
      <c r="AO57" s="24" t="n"/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n"/>
      <c r="BB57" s="24" t="n"/>
      <c r="BC57" s="24" t="n"/>
      <c r="BD57" s="24" t="n"/>
      <c r="BE57" s="24" t="n"/>
      <c r="BF57" s="24" t="n"/>
      <c r="BG57" s="24" t="n"/>
      <c r="BH57" s="24" t="n"/>
      <c r="BI57" s="24" t="n"/>
      <c r="BJ57" s="24" t="n"/>
      <c r="BK57" s="24" t="n"/>
      <c r="BL57" s="24" t="n"/>
      <c r="BM57" s="24" t="n"/>
      <c r="BN57" s="24" t="n"/>
      <c r="BO57" s="24" t="n"/>
      <c r="BP57" s="24" t="n"/>
      <c r="BQ57" s="24" t="n"/>
      <c r="BR57" s="24" t="n"/>
      <c r="BS57" s="24" t="n"/>
      <c r="BT57" s="24" t="n"/>
      <c r="BU57" s="24" t="n"/>
      <c r="BV57" s="24" t="n"/>
      <c r="BW57" s="24" t="n"/>
      <c r="BX57" s="24" t="n"/>
      <c r="BY57" s="24" t="n"/>
      <c r="BZ57" s="24" t="n"/>
      <c r="CA57" s="24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37">
        <f>+SUM(W57:CM57)</f>
        <v/>
      </c>
      <c r="CP57" s="27">
        <f>CN57</f>
        <v/>
      </c>
      <c r="CQ57" s="22" t="n">
        <v>0</v>
      </c>
      <c r="CR57" s="22">
        <f>CP57+CQ57</f>
        <v/>
      </c>
      <c r="CS57" s="42" t="n"/>
      <c r="CT57" s="78" t="n"/>
      <c r="CU57" s="14">
        <f>DD57</f>
        <v/>
      </c>
      <c r="CV57" s="14">
        <f>CU57/2</f>
        <v/>
      </c>
      <c r="CW57" s="14">
        <f>CV57-CP57</f>
        <v/>
      </c>
      <c r="CX57" s="79" t="n"/>
      <c r="CY57" s="17" t="n"/>
      <c r="DD57" s="14">
        <f>SUM(CY57:DC57)</f>
        <v/>
      </c>
    </row>
    <row r="58">
      <c r="A58" s="33" t="n">
        <v>31</v>
      </c>
      <c r="B58" s="49" t="inlineStr">
        <is>
          <t>QUINTANA ROO NORTE</t>
        </is>
      </c>
      <c r="C58" s="51" t="inlineStr">
        <is>
          <t>QUINTANA ROO NORTE</t>
        </is>
      </c>
      <c r="D58" s="33" t="inlineStr">
        <is>
          <t>IASA</t>
        </is>
      </c>
      <c r="E58" s="13" t="n">
        <v>1021</v>
      </c>
      <c r="F58" s="13" t="n">
        <v>590</v>
      </c>
      <c r="G58" s="13" t="n">
        <v>1</v>
      </c>
      <c r="H58" s="13" t="n"/>
      <c r="I58" s="13" t="n"/>
      <c r="J58" s="13" t="n">
        <v>1612</v>
      </c>
      <c r="L58" s="3" t="n"/>
      <c r="M58" s="3" t="n"/>
      <c r="N58" s="3" t="n"/>
      <c r="O58" s="3" t="n"/>
      <c r="P58" s="3" t="n"/>
      <c r="R58" s="3" t="n">
        <v>4</v>
      </c>
      <c r="S58" s="15" t="n"/>
      <c r="T58" s="16" t="n">
        <v>72</v>
      </c>
      <c r="U58" s="16" t="n">
        <v>432</v>
      </c>
      <c r="W58" s="24" t="n"/>
      <c r="X58" s="24" t="n"/>
      <c r="Y58" s="24" t="n"/>
      <c r="Z58" s="24" t="n"/>
      <c r="AA58" s="24" t="n"/>
      <c r="AB58" s="24" t="n"/>
      <c r="AC58" s="24" t="n"/>
      <c r="AD58" s="24" t="n"/>
      <c r="AE58" s="24" t="n"/>
      <c r="AF58" s="24" t="n"/>
      <c r="AG58" s="24" t="n"/>
      <c r="AH58" s="24" t="n"/>
      <c r="AI58" s="24" t="n"/>
      <c r="AJ58" s="24" t="n"/>
      <c r="AK58" s="24" t="n"/>
      <c r="AL58" s="24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n"/>
      <c r="BB58" s="24" t="n"/>
      <c r="BC58" s="24" t="n"/>
      <c r="BD58" s="24" t="n"/>
      <c r="BE58" s="24" t="n"/>
      <c r="BF58" s="24" t="n"/>
      <c r="BG58" s="24" t="n"/>
      <c r="BH58" s="24" t="n"/>
      <c r="BI58" s="24" t="n"/>
      <c r="BJ58" s="24" t="n"/>
      <c r="BK58" s="24" t="n"/>
      <c r="BL58" s="24" t="n"/>
      <c r="BM58" s="24" t="n"/>
      <c r="BN58" s="24" t="n"/>
      <c r="BO58" s="24" t="n"/>
      <c r="BP58" s="24" t="n"/>
      <c r="BQ58" s="24" t="n"/>
      <c r="BR58" s="24" t="n"/>
      <c r="BS58" s="24" t="n"/>
      <c r="BT58" s="24" t="n"/>
      <c r="BU58" s="24" t="n"/>
      <c r="BV58" s="24" t="n"/>
      <c r="BW58" s="24" t="n"/>
      <c r="BX58" s="24" t="n"/>
      <c r="BY58" s="24" t="n"/>
      <c r="BZ58" s="24" t="n"/>
      <c r="CA58" s="24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37">
        <f>+SUM(W58:CM58)</f>
        <v/>
      </c>
      <c r="CP58" s="27">
        <f>CN58</f>
        <v/>
      </c>
      <c r="CQ58" s="22" t="n">
        <v>0</v>
      </c>
      <c r="CR58" s="22">
        <f>CP58+CQ58</f>
        <v/>
      </c>
      <c r="CS58" s="42" t="n"/>
      <c r="CT58" s="78" t="n"/>
      <c r="CU58" s="14">
        <f>DD58</f>
        <v/>
      </c>
      <c r="CV58" s="14">
        <f>CU58/2</f>
        <v/>
      </c>
      <c r="CW58" s="14">
        <f>CV58-CP58</f>
        <v/>
      </c>
      <c r="CX58" s="79" t="n"/>
      <c r="CY58" s="17" t="n"/>
      <c r="DD58" s="14">
        <f>SUM(CY58:DC58)</f>
        <v/>
      </c>
    </row>
    <row r="59">
      <c r="A59" s="33" t="n">
        <v>31</v>
      </c>
      <c r="B59" s="50" t="inlineStr">
        <is>
          <t>QUINTANA ROO SUR</t>
        </is>
      </c>
      <c r="C59" s="47" t="inlineStr">
        <is>
          <t>QUINTANA ROO SUR</t>
        </is>
      </c>
      <c r="D59" s="33" t="inlineStr">
        <is>
          <t>IASA</t>
        </is>
      </c>
      <c r="E59" s="13" t="n">
        <v>474</v>
      </c>
      <c r="F59" s="13" t="n">
        <v>323</v>
      </c>
      <c r="G59" s="13" t="n">
        <v>9</v>
      </c>
      <c r="H59" s="13" t="n"/>
      <c r="I59" s="13" t="n"/>
      <c r="J59" s="13" t="n">
        <v>806</v>
      </c>
      <c r="L59" s="3" t="n"/>
      <c r="M59" s="3" t="n"/>
      <c r="N59" s="3" t="n"/>
      <c r="O59" s="3" t="n"/>
      <c r="P59" s="3" t="n"/>
      <c r="R59" s="3" t="n">
        <v>2</v>
      </c>
      <c r="S59" s="15" t="n"/>
      <c r="T59" s="16" t="n">
        <v>36</v>
      </c>
      <c r="U59" s="16" t="n">
        <v>216</v>
      </c>
      <c r="W59" s="24" t="n"/>
      <c r="X59" s="24" t="n"/>
      <c r="Y59" s="24" t="n"/>
      <c r="Z59" s="24" t="n"/>
      <c r="AA59" s="24" t="n"/>
      <c r="AB59" s="24" t="n"/>
      <c r="AC59" s="24" t="n"/>
      <c r="AD59" s="24" t="n"/>
      <c r="AE59" s="24" t="n"/>
      <c r="AF59" s="24" t="n"/>
      <c r="AG59" s="24" t="n"/>
      <c r="AH59" s="24" t="n"/>
      <c r="AI59" s="24" t="n"/>
      <c r="AJ59" s="24" t="n"/>
      <c r="AK59" s="24" t="n"/>
      <c r="AL59" s="24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n"/>
      <c r="BB59" s="24" t="n"/>
      <c r="BC59" s="24" t="n"/>
      <c r="BD59" s="24" t="n"/>
      <c r="BE59" s="24" t="n"/>
      <c r="BF59" s="24" t="n"/>
      <c r="BG59" s="24" t="n"/>
      <c r="BH59" s="24" t="n"/>
      <c r="BI59" s="24" t="n"/>
      <c r="BJ59" s="24" t="n"/>
      <c r="BK59" s="24" t="n"/>
      <c r="BL59" s="24" t="n"/>
      <c r="BM59" s="24" t="n"/>
      <c r="BN59" s="24" t="n"/>
      <c r="BO59" s="24" t="n"/>
      <c r="BP59" s="24" t="n"/>
      <c r="BQ59" s="24" t="n"/>
      <c r="BR59" s="24" t="n"/>
      <c r="BS59" s="24" t="n"/>
      <c r="BT59" s="24" t="n"/>
      <c r="BU59" s="24" t="n"/>
      <c r="BV59" s="24" t="n"/>
      <c r="BW59" s="24" t="n"/>
      <c r="BX59" s="24" t="n"/>
      <c r="BY59" s="24" t="n"/>
      <c r="BZ59" s="24" t="n"/>
      <c r="CA59" s="24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37">
        <f>+SUM(W59:CM59)</f>
        <v/>
      </c>
      <c r="CP59" s="27">
        <f>CN59</f>
        <v/>
      </c>
      <c r="CQ59" s="22" t="n">
        <v>0</v>
      </c>
      <c r="CR59" s="22">
        <f>CP59+CQ59</f>
        <v/>
      </c>
      <c r="CS59" s="42" t="n"/>
      <c r="CT59" s="78" t="n"/>
      <c r="CU59" s="14">
        <f>DD59</f>
        <v/>
      </c>
      <c r="CV59" s="14">
        <f>CU59/2</f>
        <v/>
      </c>
      <c r="CW59" s="14">
        <f>CV59-CP59</f>
        <v/>
      </c>
      <c r="CX59" s="79" t="n"/>
      <c r="CY59" s="17" t="n"/>
      <c r="DD59" s="14">
        <f>SUM(CY59:DC59)</f>
        <v/>
      </c>
    </row>
    <row r="60">
      <c r="A60" s="33" t="n">
        <v>32</v>
      </c>
      <c r="B60" s="50" t="inlineStr">
        <is>
          <t>MATAMOROS-REYNOSA</t>
        </is>
      </c>
      <c r="C60" s="47" t="inlineStr">
        <is>
          <t>MATAMOROS-REYNOSA</t>
        </is>
      </c>
      <c r="D60" s="33" t="inlineStr">
        <is>
          <t>EULEN</t>
        </is>
      </c>
      <c r="E60" s="13" t="n">
        <v>338</v>
      </c>
      <c r="F60" s="13" t="n">
        <v>54</v>
      </c>
      <c r="G60" s="13" t="n"/>
      <c r="H60" s="13" t="n">
        <v>1</v>
      </c>
      <c r="I60" s="13" t="n"/>
      <c r="J60" s="13" t="n">
        <v>393</v>
      </c>
      <c r="L60" s="3" t="n"/>
      <c r="M60" s="3" t="n"/>
      <c r="N60" s="3" t="n"/>
      <c r="O60" s="3" t="n"/>
      <c r="P60" s="3" t="n"/>
      <c r="R60" s="3" t="n">
        <v>1</v>
      </c>
      <c r="S60" s="15" t="n"/>
      <c r="T60" s="16" t="n">
        <v>18</v>
      </c>
      <c r="U60" s="16" t="n">
        <v>108</v>
      </c>
      <c r="W60" s="24" t="n"/>
      <c r="X60" s="24" t="n"/>
      <c r="Y60" s="24" t="n"/>
      <c r="Z60" s="24" t="n"/>
      <c r="AA60" s="24" t="n"/>
      <c r="AB60" s="24" t="n"/>
      <c r="AC60" s="24" t="n"/>
      <c r="AD60" s="24" t="n"/>
      <c r="AE60" s="24" t="n"/>
      <c r="AF60" s="24" t="n"/>
      <c r="AG60" s="24" t="n"/>
      <c r="AH60" s="24" t="n"/>
      <c r="AI60" s="24" t="n"/>
      <c r="AJ60" s="24" t="n"/>
      <c r="AK60" s="24" t="n"/>
      <c r="AL60" s="24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n"/>
      <c r="BI60" s="24" t="n"/>
      <c r="BJ60" s="24" t="n"/>
      <c r="BK60" s="24" t="n"/>
      <c r="BL60" s="24" t="n"/>
      <c r="BM60" s="24" t="n"/>
      <c r="BN60" s="24" t="n"/>
      <c r="BO60" s="24" t="n"/>
      <c r="BP60" s="24" t="n"/>
      <c r="BQ60" s="24" t="n"/>
      <c r="BR60" s="24" t="n"/>
      <c r="BS60" s="24" t="n"/>
      <c r="BT60" s="24" t="n"/>
      <c r="BU60" s="24" t="n"/>
      <c r="BV60" s="24" t="n"/>
      <c r="BW60" s="24" t="n"/>
      <c r="BX60" s="24" t="n"/>
      <c r="BY60" s="24" t="n"/>
      <c r="BZ60" s="24" t="n"/>
      <c r="CA60" s="24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37">
        <f>+SUM(W60:CM60)</f>
        <v/>
      </c>
      <c r="CP60" s="27">
        <f>CN60</f>
        <v/>
      </c>
      <c r="CQ60" s="22" t="n">
        <v>0</v>
      </c>
      <c r="CR60" s="22">
        <f>CP60+CQ60</f>
        <v/>
      </c>
      <c r="CS60" s="42" t="n"/>
      <c r="CT60" s="78" t="n"/>
      <c r="CU60" s="14">
        <f>DD60</f>
        <v/>
      </c>
      <c r="CV60" s="14">
        <f>CU60/2</f>
        <v/>
      </c>
      <c r="CW60" s="14">
        <f>CV60-CP60</f>
        <v/>
      </c>
      <c r="CX60" s="79" t="n"/>
      <c r="CY60" s="17" t="n"/>
      <c r="DD60" s="14">
        <f>SUM(CY60:DC60)</f>
        <v/>
      </c>
    </row>
    <row r="61">
      <c r="A61" s="33" t="n">
        <v>33</v>
      </c>
      <c r="B61" s="50" t="inlineStr">
        <is>
          <t>DURANGO</t>
        </is>
      </c>
      <c r="C61" s="47" t="inlineStr">
        <is>
          <t>DURANGO</t>
        </is>
      </c>
      <c r="D61" s="33" t="inlineStr">
        <is>
          <t>IASA</t>
        </is>
      </c>
      <c r="E61" s="13" t="n">
        <v>361</v>
      </c>
      <c r="F61" s="13" t="n">
        <v>141</v>
      </c>
      <c r="G61" s="13" t="n"/>
      <c r="H61" s="13" t="n"/>
      <c r="I61" s="13" t="n"/>
      <c r="J61" s="13" t="n">
        <v>502</v>
      </c>
      <c r="L61" s="3" t="n"/>
      <c r="M61" s="3" t="n"/>
      <c r="N61" s="3" t="n"/>
      <c r="O61" s="3" t="n"/>
      <c r="P61" s="3" t="n"/>
      <c r="R61" s="3" t="n">
        <v>2</v>
      </c>
      <c r="S61" s="15" t="n"/>
      <c r="T61" s="16" t="n">
        <v>36</v>
      </c>
      <c r="U61" s="16" t="n">
        <v>216</v>
      </c>
      <c r="W61" s="24" t="n"/>
      <c r="X61" s="24" t="n"/>
      <c r="Y61" s="24" t="n"/>
      <c r="Z61" s="24" t="n"/>
      <c r="AA61" s="24" t="n"/>
      <c r="AB61" s="24" t="n"/>
      <c r="AC61" s="24" t="n"/>
      <c r="AD61" s="24" t="n"/>
      <c r="AE61" s="24" t="n"/>
      <c r="AF61" s="24" t="n"/>
      <c r="AG61" s="24" t="n"/>
      <c r="AH61" s="24" t="n"/>
      <c r="AI61" s="24" t="n"/>
      <c r="AJ61" s="24" t="n"/>
      <c r="AK61" s="24" t="n"/>
      <c r="AL61" s="24" t="n"/>
      <c r="AM61" s="24" t="n"/>
      <c r="AN61" s="24" t="n"/>
      <c r="AO61" s="24" t="n"/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n"/>
      <c r="BI61" s="24" t="n"/>
      <c r="BJ61" s="24" t="n"/>
      <c r="BK61" s="24" t="n"/>
      <c r="BL61" s="24" t="n"/>
      <c r="BM61" s="24" t="n"/>
      <c r="BN61" s="24" t="n"/>
      <c r="BO61" s="24" t="n"/>
      <c r="BP61" s="24" t="n"/>
      <c r="BQ61" s="24" t="n"/>
      <c r="BR61" s="24" t="n"/>
      <c r="BS61" s="24" t="n"/>
      <c r="BT61" s="24" t="n"/>
      <c r="BU61" s="24" t="n"/>
      <c r="BV61" s="24" t="n"/>
      <c r="BW61" s="24" t="n"/>
      <c r="BX61" s="24" t="n"/>
      <c r="BY61" s="24" t="n"/>
      <c r="BZ61" s="24" t="n"/>
      <c r="CA61" s="24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37">
        <f>+SUM(W61:CM61)</f>
        <v/>
      </c>
      <c r="CP61" s="27">
        <f>CN61</f>
        <v/>
      </c>
      <c r="CQ61" s="22" t="n">
        <v>0</v>
      </c>
      <c r="CR61" s="22">
        <f>CP61+CQ61</f>
        <v/>
      </c>
      <c r="CS61" s="42" t="n"/>
      <c r="CT61" s="78" t="n"/>
      <c r="CU61" s="14">
        <f>DD61</f>
        <v/>
      </c>
      <c r="CV61" s="14">
        <f>CU61/2</f>
        <v/>
      </c>
      <c r="CW61" s="14">
        <f>CV61-CP61</f>
        <v/>
      </c>
      <c r="CX61" s="79" t="n"/>
      <c r="CY61" s="17" t="n"/>
      <c r="DD61" s="14">
        <f>SUM(CY61:DC61)</f>
        <v/>
      </c>
    </row>
    <row r="62">
      <c r="A62" s="33" t="n">
        <v>34</v>
      </c>
      <c r="B62" s="50" t="inlineStr">
        <is>
          <t>OAXACA</t>
        </is>
      </c>
      <c r="C62" s="47" t="inlineStr">
        <is>
          <t>OAXACA</t>
        </is>
      </c>
      <c r="D62" s="33" t="inlineStr">
        <is>
          <t>IASA</t>
        </is>
      </c>
      <c r="E62" s="13" t="n">
        <v>724</v>
      </c>
      <c r="F62" s="13" t="n">
        <v>1265</v>
      </c>
      <c r="G62" s="13" t="n">
        <v>37</v>
      </c>
      <c r="H62" s="13" t="n"/>
      <c r="I62" s="13" t="n"/>
      <c r="J62" s="13" t="n">
        <v>2026</v>
      </c>
      <c r="L62" s="3" t="n"/>
      <c r="M62" s="3" t="n"/>
      <c r="N62" s="3" t="n"/>
      <c r="O62" s="3" t="n"/>
      <c r="P62" s="3" t="n"/>
      <c r="R62" s="3" t="n">
        <v>5</v>
      </c>
      <c r="S62" s="15" t="n"/>
      <c r="T62" s="16" t="n">
        <v>90</v>
      </c>
      <c r="U62" s="16" t="n">
        <v>540</v>
      </c>
      <c r="W62" s="24" t="n"/>
      <c r="X62" s="24" t="n"/>
      <c r="Y62" s="24" t="n"/>
      <c r="Z62" s="24" t="n"/>
      <c r="AA62" s="24" t="n"/>
      <c r="AB62" s="24" t="n"/>
      <c r="AC62" s="24" t="n"/>
      <c r="AD62" s="24" t="n"/>
      <c r="AE62" s="24" t="n"/>
      <c r="AF62" s="24" t="n"/>
      <c r="AG62" s="24" t="n"/>
      <c r="AH62" s="24" t="n"/>
      <c r="AI62" s="24" t="n"/>
      <c r="AJ62" s="24" t="n"/>
      <c r="AK62" s="24" t="n"/>
      <c r="AL62" s="24" t="n"/>
      <c r="AM62" s="24" t="n"/>
      <c r="AN62" s="24" t="n"/>
      <c r="AO62" s="24" t="n"/>
      <c r="AP62" s="24" t="n"/>
      <c r="AQ62" s="24" t="n"/>
      <c r="AR62" s="24" t="n"/>
      <c r="AS62" s="24" t="n"/>
      <c r="AT62" s="24" t="n"/>
      <c r="AU62" s="24" t="n"/>
      <c r="AV62" s="24" t="n"/>
      <c r="AW62" s="24" t="n"/>
      <c r="AX62" s="24" t="n"/>
      <c r="AY62" s="24" t="n"/>
      <c r="AZ62" s="24" t="n"/>
      <c r="BA62" s="24" t="n"/>
      <c r="BB62" s="24" t="n"/>
      <c r="BC62" s="24" t="n"/>
      <c r="BD62" s="24" t="n"/>
      <c r="BE62" s="24" t="n"/>
      <c r="BF62" s="24" t="n"/>
      <c r="BG62" s="24" t="n"/>
      <c r="BH62" s="24" t="n"/>
      <c r="BI62" s="24" t="n"/>
      <c r="BJ62" s="24" t="n"/>
      <c r="BK62" s="24" t="n"/>
      <c r="BL62" s="24" t="n"/>
      <c r="BM62" s="24" t="n"/>
      <c r="BN62" s="24" t="n"/>
      <c r="BO62" s="24" t="n"/>
      <c r="BP62" s="24" t="n"/>
      <c r="BQ62" s="24" t="n"/>
      <c r="BR62" s="24" t="n"/>
      <c r="BS62" s="24" t="n"/>
      <c r="BT62" s="24" t="n"/>
      <c r="BU62" s="24" t="n"/>
      <c r="BV62" s="24" t="n"/>
      <c r="BW62" s="24" t="n"/>
      <c r="BX62" s="24" t="n"/>
      <c r="BY62" s="24" t="n"/>
      <c r="BZ62" s="24" t="n"/>
      <c r="CA62" s="24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37">
        <f>+SUM(W62:CM62)</f>
        <v/>
      </c>
      <c r="CP62" s="27">
        <f>CN62</f>
        <v/>
      </c>
      <c r="CQ62" s="22" t="n">
        <v>0</v>
      </c>
      <c r="CR62" s="22">
        <f>CP62+CQ62</f>
        <v/>
      </c>
      <c r="CS62" s="42" t="n"/>
      <c r="CT62" s="78" t="n"/>
      <c r="CU62" s="14">
        <f>DD62</f>
        <v/>
      </c>
      <c r="CV62" s="14">
        <f>CU62/2</f>
        <v/>
      </c>
      <c r="CW62" s="14">
        <f>CV62-CP62</f>
        <v/>
      </c>
      <c r="CX62" s="79" t="n"/>
      <c r="CY62" s="17" t="n"/>
      <c r="DD62" s="14">
        <f>SUM(CY62:DC62)</f>
        <v/>
      </c>
    </row>
    <row r="63">
      <c r="A63" s="33" t="n">
        <v>35</v>
      </c>
      <c r="B63" s="50" t="inlineStr">
        <is>
          <t>IRAPUATO</t>
        </is>
      </c>
      <c r="C63" s="47" t="inlineStr">
        <is>
          <t>IRAPUATO</t>
        </is>
      </c>
      <c r="D63" s="33" t="inlineStr">
        <is>
          <t>IASA</t>
        </is>
      </c>
      <c r="E63" s="13" t="n">
        <v>565</v>
      </c>
      <c r="F63" s="13" t="n">
        <v>74</v>
      </c>
      <c r="G63" s="13" t="n"/>
      <c r="H63" s="13" t="n"/>
      <c r="I63" s="13" t="n"/>
      <c r="J63" s="13" t="n">
        <v>639</v>
      </c>
      <c r="L63" s="3" t="n"/>
      <c r="M63" s="3" t="n"/>
      <c r="N63" s="3" t="n"/>
      <c r="O63" s="3" t="n"/>
      <c r="P63" s="3" t="n"/>
      <c r="R63" s="3" t="n">
        <v>2</v>
      </c>
      <c r="S63" s="15" t="n"/>
      <c r="T63" s="16" t="n">
        <v>36</v>
      </c>
      <c r="U63" s="16" t="n">
        <v>216</v>
      </c>
      <c r="W63" s="24" t="n"/>
      <c r="X63" s="24" t="n"/>
      <c r="Y63" s="24" t="n"/>
      <c r="Z63" s="24" t="n"/>
      <c r="AA63" s="24" t="n"/>
      <c r="AB63" s="24" t="n"/>
      <c r="AC63" s="24" t="n"/>
      <c r="AD63" s="24" t="n"/>
      <c r="AE63" s="24" t="n"/>
      <c r="AF63" s="24" t="n"/>
      <c r="AG63" s="24" t="n"/>
      <c r="AH63" s="24" t="n"/>
      <c r="AI63" s="24" t="n"/>
      <c r="AJ63" s="24" t="n"/>
      <c r="AK63" s="24" t="n"/>
      <c r="AL63" s="24" t="n"/>
      <c r="AM63" s="24" t="n"/>
      <c r="AN63" s="24" t="n"/>
      <c r="AO63" s="24" t="n"/>
      <c r="AP63" s="24" t="n"/>
      <c r="AQ63" s="24" t="n"/>
      <c r="AR63" s="24" t="n"/>
      <c r="AS63" s="24" t="n"/>
      <c r="AT63" s="24" t="n"/>
      <c r="AU63" s="24" t="n"/>
      <c r="AV63" s="24" t="n"/>
      <c r="AW63" s="24" t="n"/>
      <c r="AX63" s="24" t="n"/>
      <c r="AY63" s="24" t="n"/>
      <c r="AZ63" s="24" t="n"/>
      <c r="BA63" s="24" t="n"/>
      <c r="BB63" s="24" t="n"/>
      <c r="BC63" s="24" t="n"/>
      <c r="BD63" s="24" t="n"/>
      <c r="BE63" s="24" t="n"/>
      <c r="BF63" s="24" t="n"/>
      <c r="BG63" s="24" t="n"/>
      <c r="BH63" s="24" t="n"/>
      <c r="BI63" s="24" t="n"/>
      <c r="BJ63" s="24" t="n"/>
      <c r="BK63" s="24" t="n"/>
      <c r="BL63" s="24" t="n"/>
      <c r="BM63" s="24" t="n"/>
      <c r="BN63" s="24" t="n"/>
      <c r="BO63" s="24" t="n"/>
      <c r="BP63" s="24" t="n"/>
      <c r="BQ63" s="24" t="n"/>
      <c r="BR63" s="24" t="n"/>
      <c r="BS63" s="24" t="n"/>
      <c r="BT63" s="24" t="n"/>
      <c r="BU63" s="24" t="n"/>
      <c r="BV63" s="24" t="n"/>
      <c r="BW63" s="24" t="n"/>
      <c r="BX63" s="24" t="n"/>
      <c r="BY63" s="24" t="n"/>
      <c r="BZ63" s="24" t="n"/>
      <c r="CA63" s="24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37">
        <f>+SUM(W63:CM63)</f>
        <v/>
      </c>
      <c r="CP63" s="27">
        <f>CN63</f>
        <v/>
      </c>
      <c r="CQ63" s="22" t="n">
        <v>0</v>
      </c>
      <c r="CR63" s="22">
        <f>CP63+CQ63</f>
        <v/>
      </c>
      <c r="CS63" s="42" t="n"/>
      <c r="CT63" s="78" t="n"/>
      <c r="CU63" s="14">
        <f>DD63</f>
        <v/>
      </c>
      <c r="CV63" s="14">
        <f>CU63/2</f>
        <v/>
      </c>
      <c r="CW63" s="14">
        <f>CV63-CP63</f>
        <v/>
      </c>
      <c r="CX63" s="79" t="n"/>
      <c r="CY63" s="17" t="n"/>
      <c r="DD63" s="14">
        <f>SUM(CY63:DC63)</f>
        <v/>
      </c>
    </row>
    <row r="64">
      <c r="A64" s="33" t="n">
        <v>36</v>
      </c>
      <c r="B64" s="50" t="inlineStr">
        <is>
          <t>MAZATLAN</t>
        </is>
      </c>
      <c r="C64" s="47" t="inlineStr">
        <is>
          <t>MAZATLAN</t>
        </is>
      </c>
      <c r="D64" s="33" t="inlineStr">
        <is>
          <t>KAR CLAU</t>
        </is>
      </c>
      <c r="E64" s="13" t="n">
        <v>583</v>
      </c>
      <c r="F64" s="13" t="n">
        <v>269</v>
      </c>
      <c r="G64" s="13" t="n">
        <v>1</v>
      </c>
      <c r="H64" s="13" t="n"/>
      <c r="I64" s="13" t="n"/>
      <c r="J64" s="13" t="n">
        <v>853</v>
      </c>
      <c r="L64" s="3" t="n"/>
      <c r="M64" s="3" t="n"/>
      <c r="N64" s="3" t="n"/>
      <c r="O64" s="3" t="n"/>
      <c r="P64" s="3" t="n"/>
      <c r="R64" s="3" t="n">
        <v>2</v>
      </c>
      <c r="S64" s="15" t="n"/>
      <c r="T64" s="16" t="n">
        <v>36</v>
      </c>
      <c r="U64" s="16" t="n">
        <v>216</v>
      </c>
      <c r="W64" s="24" t="n"/>
      <c r="X64" s="24" t="n"/>
      <c r="Y64" s="24" t="n"/>
      <c r="Z64" s="24" t="n"/>
      <c r="AA64" s="24" t="n"/>
      <c r="AB64" s="24" t="n"/>
      <c r="AC64" s="24" t="n"/>
      <c r="AD64" s="24" t="n"/>
      <c r="AE64" s="24" t="n"/>
      <c r="AF64" s="24" t="n"/>
      <c r="AG64" s="24" t="n"/>
      <c r="AH64" s="24" t="n"/>
      <c r="AI64" s="24" t="n"/>
      <c r="AJ64" s="24" t="n"/>
      <c r="AK64" s="24" t="n"/>
      <c r="AL64" s="24" t="n"/>
      <c r="AM64" s="24" t="n"/>
      <c r="AN64" s="24" t="n"/>
      <c r="AO64" s="24" t="n"/>
      <c r="AP64" s="24" t="n"/>
      <c r="AQ64" s="24" t="n"/>
      <c r="AR64" s="24" t="n"/>
      <c r="AS64" s="24" t="n"/>
      <c r="AT64" s="24" t="n"/>
      <c r="AU64" s="24" t="n"/>
      <c r="AV64" s="24" t="n"/>
      <c r="AW64" s="24" t="n"/>
      <c r="AX64" s="24" t="n"/>
      <c r="AY64" s="24" t="n"/>
      <c r="AZ64" s="24" t="n"/>
      <c r="BA64" s="24" t="n"/>
      <c r="BB64" s="24" t="n"/>
      <c r="BC64" s="24" t="n"/>
      <c r="BD64" s="24" t="n"/>
      <c r="BE64" s="24" t="n"/>
      <c r="BF64" s="24" t="n"/>
      <c r="BG64" s="24" t="n"/>
      <c r="BH64" s="24" t="n"/>
      <c r="BI64" s="24" t="n"/>
      <c r="BJ64" s="24" t="n"/>
      <c r="BK64" s="24" t="n"/>
      <c r="BL64" s="24" t="n"/>
      <c r="BM64" s="24" t="n"/>
      <c r="BN64" s="24" t="n"/>
      <c r="BO64" s="24" t="n"/>
      <c r="BP64" s="24" t="n"/>
      <c r="BQ64" s="24" t="n"/>
      <c r="BR64" s="24" t="n"/>
      <c r="BS64" s="24" t="n"/>
      <c r="BT64" s="24" t="n"/>
      <c r="BU64" s="24" t="n"/>
      <c r="BV64" s="24" t="n"/>
      <c r="BW64" s="24" t="n"/>
      <c r="BX64" s="24" t="n"/>
      <c r="BY64" s="24" t="n"/>
      <c r="BZ64" s="24" t="n"/>
      <c r="CA64" s="24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37">
        <f>+SUM(W64:CM64)</f>
        <v/>
      </c>
      <c r="CP64" s="27">
        <f>CN64</f>
        <v/>
      </c>
      <c r="CQ64" s="22" t="n">
        <v>0</v>
      </c>
      <c r="CR64" s="22">
        <f>CP64+CQ64</f>
        <v/>
      </c>
      <c r="CS64" s="42" t="n"/>
      <c r="CT64" s="78" t="n"/>
      <c r="CU64" s="14">
        <f>DD64</f>
        <v/>
      </c>
      <c r="CV64" s="14">
        <f>CU64/2</f>
        <v/>
      </c>
      <c r="CW64" s="14">
        <f>CV64-CP64</f>
        <v/>
      </c>
      <c r="CX64" s="79" t="n"/>
      <c r="CY64" s="17" t="n"/>
      <c r="DD64" s="14">
        <f>SUM(CY64:DC64)</f>
        <v/>
      </c>
    </row>
    <row r="65">
      <c r="A65" s="33" t="n">
        <v>37</v>
      </c>
      <c r="B65" s="50" t="inlineStr">
        <is>
          <t>CELAYA</t>
        </is>
      </c>
      <c r="C65" s="47" t="inlineStr">
        <is>
          <t>CELAYA</t>
        </is>
      </c>
      <c r="D65" s="33" t="inlineStr">
        <is>
          <t>IASA</t>
        </is>
      </c>
      <c r="E65" s="13" t="n">
        <v>907</v>
      </c>
      <c r="F65" s="13" t="n">
        <v>138</v>
      </c>
      <c r="G65" s="13" t="n"/>
      <c r="H65" s="13" t="n"/>
      <c r="I65" s="13" t="n"/>
      <c r="J65" s="13" t="n">
        <v>1045</v>
      </c>
      <c r="L65" s="3" t="n"/>
      <c r="M65" s="3" t="n"/>
      <c r="N65" s="3" t="n"/>
      <c r="O65" s="3" t="n"/>
      <c r="P65" s="3" t="n"/>
      <c r="R65" s="3" t="n">
        <v>3</v>
      </c>
      <c r="T65" s="16" t="n">
        <v>54</v>
      </c>
      <c r="U65" s="16" t="n">
        <v>324</v>
      </c>
      <c r="W65" s="24" t="n"/>
      <c r="X65" s="24" t="n"/>
      <c r="Y65" s="24" t="n"/>
      <c r="Z65" s="24" t="n"/>
      <c r="AA65" s="24" t="n"/>
      <c r="AB65" s="24" t="n"/>
      <c r="AC65" s="24" t="n"/>
      <c r="AD65" s="24" t="n"/>
      <c r="AE65" s="24" t="n"/>
      <c r="AF65" s="24" t="n"/>
      <c r="AG65" s="24" t="n"/>
      <c r="AH65" s="24" t="n"/>
      <c r="AI65" s="24" t="n"/>
      <c r="AJ65" s="24" t="n"/>
      <c r="AK65" s="24" t="n"/>
      <c r="AL65" s="24" t="n"/>
      <c r="AM65" s="24" t="n"/>
      <c r="AN65" s="24" t="n"/>
      <c r="AO65" s="24" t="n"/>
      <c r="AP65" s="24" t="n"/>
      <c r="AQ65" s="24" t="n"/>
      <c r="AR65" s="24" t="n"/>
      <c r="AS65" s="24" t="n"/>
      <c r="AT65" s="24" t="n"/>
      <c r="AU65" s="24" t="n"/>
      <c r="AV65" s="24" t="n"/>
      <c r="AW65" s="24" t="n"/>
      <c r="AX65" s="24" t="n"/>
      <c r="AY65" s="24" t="n"/>
      <c r="AZ65" s="24" t="n"/>
      <c r="BA65" s="24" t="n"/>
      <c r="BB65" s="24" t="n"/>
      <c r="BC65" s="24" t="n"/>
      <c r="BD65" s="24" t="n"/>
      <c r="BE65" s="24" t="n"/>
      <c r="BF65" s="24" t="n"/>
      <c r="BG65" s="24" t="n"/>
      <c r="BH65" s="24" t="n"/>
      <c r="BI65" s="24" t="n"/>
      <c r="BJ65" s="24" t="n"/>
      <c r="BK65" s="24" t="n"/>
      <c r="BL65" s="24" t="n"/>
      <c r="BM65" s="24" t="n"/>
      <c r="BN65" s="24" t="n"/>
      <c r="BO65" s="24" t="n"/>
      <c r="BP65" s="24" t="n"/>
      <c r="BQ65" s="24" t="n"/>
      <c r="BR65" s="24" t="n"/>
      <c r="BS65" s="24" t="n"/>
      <c r="BT65" s="24" t="n"/>
      <c r="BU65" s="24" t="n"/>
      <c r="BV65" s="24" t="n"/>
      <c r="BW65" s="24" t="n"/>
      <c r="BX65" s="24" t="n"/>
      <c r="BY65" s="24" t="n"/>
      <c r="BZ65" s="24" t="n"/>
      <c r="CA65" s="24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37">
        <f>+SUM(W65:CM65)</f>
        <v/>
      </c>
      <c r="CP65" s="27">
        <f>CN65</f>
        <v/>
      </c>
      <c r="CQ65" s="22" t="n">
        <v>0</v>
      </c>
      <c r="CR65" s="22">
        <f>CP65+CQ65</f>
        <v/>
      </c>
      <c r="CS65" s="42" t="n"/>
      <c r="CT65" s="78" t="n"/>
      <c r="CU65" s="14">
        <f>DD65</f>
        <v/>
      </c>
      <c r="CV65" s="14">
        <f>CU65/2</f>
        <v/>
      </c>
      <c r="CW65" s="14">
        <f>CV65-CP65</f>
        <v/>
      </c>
      <c r="CX65" s="79" t="n"/>
      <c r="CY65" s="17" t="n"/>
      <c r="DD65" s="14">
        <f>SUM(CY65:DC65)</f>
        <v/>
      </c>
    </row>
    <row r="66">
      <c r="A66" s="33" t="n">
        <v>38</v>
      </c>
      <c r="B66" s="50" t="inlineStr">
        <is>
          <t>PUERTO VALLARTA</t>
        </is>
      </c>
      <c r="C66" s="47" t="inlineStr">
        <is>
          <t>PUERTO VALLARTA</t>
        </is>
      </c>
      <c r="D66" s="33" t="inlineStr">
        <is>
          <t>EULEN</t>
        </is>
      </c>
      <c r="E66" s="13" t="n">
        <v>857</v>
      </c>
      <c r="F66" s="13" t="n">
        <v>147</v>
      </c>
      <c r="G66" s="13" t="n">
        <v>2</v>
      </c>
      <c r="H66" s="13" t="n"/>
      <c r="I66" s="13" t="n"/>
      <c r="J66" s="13" t="n">
        <v>1006</v>
      </c>
      <c r="L66" s="3" t="n"/>
      <c r="M66" s="3" t="n"/>
      <c r="N66" s="3" t="n"/>
      <c r="O66" s="3" t="n"/>
      <c r="P66" s="3" t="n"/>
      <c r="R66" s="3" t="n">
        <v>3</v>
      </c>
      <c r="S66" s="15" t="n"/>
      <c r="T66" s="16" t="n">
        <v>54</v>
      </c>
      <c r="U66" s="16" t="n">
        <v>324</v>
      </c>
      <c r="W66" s="24" t="n"/>
      <c r="X66" s="24" t="n"/>
      <c r="Y66" s="24" t="n"/>
      <c r="Z66" s="24" t="n"/>
      <c r="AA66" s="24" t="n"/>
      <c r="AB66" s="24" t="n"/>
      <c r="AC66" s="24" t="n"/>
      <c r="AD66" s="24" t="n"/>
      <c r="AE66" s="24" t="n"/>
      <c r="AF66" s="24" t="n"/>
      <c r="AG66" s="24" t="n"/>
      <c r="AH66" s="24" t="n"/>
      <c r="AI66" s="24" t="n"/>
      <c r="AJ66" s="24" t="n"/>
      <c r="AK66" s="24" t="n"/>
      <c r="AL66" s="24" t="n"/>
      <c r="AM66" s="24" t="n"/>
      <c r="AN66" s="24" t="n"/>
      <c r="AO66" s="24" t="n"/>
      <c r="AP66" s="24" t="n"/>
      <c r="AQ66" s="24" t="n"/>
      <c r="AR66" s="24" t="n"/>
      <c r="AS66" s="24" t="n"/>
      <c r="AT66" s="24" t="n"/>
      <c r="AU66" s="24" t="n"/>
      <c r="AV66" s="24" t="n"/>
      <c r="AW66" s="24" t="n"/>
      <c r="AX66" s="24" t="n"/>
      <c r="AY66" s="24" t="n"/>
      <c r="AZ66" s="24" t="n"/>
      <c r="BA66" s="24" t="n"/>
      <c r="BB66" s="24" t="n"/>
      <c r="BC66" s="24" t="n"/>
      <c r="BD66" s="24" t="n"/>
      <c r="BE66" s="24" t="n"/>
      <c r="BF66" s="24" t="n"/>
      <c r="BG66" s="24" t="n"/>
      <c r="BH66" s="24" t="n"/>
      <c r="BI66" s="24" t="n"/>
      <c r="BJ66" s="24" t="n"/>
      <c r="BK66" s="24" t="n"/>
      <c r="BL66" s="24" t="n"/>
      <c r="BM66" s="24" t="n"/>
      <c r="BN66" s="24" t="n"/>
      <c r="BO66" s="24" t="n"/>
      <c r="BP66" s="24" t="n"/>
      <c r="BQ66" s="24" t="n"/>
      <c r="BR66" s="24" t="n"/>
      <c r="BS66" s="24" t="n"/>
      <c r="BT66" s="24" t="n"/>
      <c r="BU66" s="24" t="n"/>
      <c r="BV66" s="24" t="n"/>
      <c r="BW66" s="24" t="n"/>
      <c r="BX66" s="24" t="n"/>
      <c r="BY66" s="24" t="n"/>
      <c r="BZ66" s="24" t="n"/>
      <c r="CA66" s="24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37">
        <f>+SUM(W66:CM66)</f>
        <v/>
      </c>
      <c r="CP66" s="27">
        <f>CN66</f>
        <v/>
      </c>
      <c r="CQ66" s="22" t="n">
        <v>0</v>
      </c>
      <c r="CR66" s="22">
        <f>CP66+CQ66</f>
        <v/>
      </c>
      <c r="CS66" s="42" t="n"/>
      <c r="CT66" s="78" t="n"/>
      <c r="CU66" s="14">
        <f>DD66</f>
        <v/>
      </c>
      <c r="CV66" s="14">
        <f>CU66/2</f>
        <v/>
      </c>
      <c r="CW66" s="14">
        <f>CV66-CP66</f>
        <v/>
      </c>
      <c r="CX66" s="79" t="n"/>
      <c r="CY66" s="17" t="n"/>
      <c r="DD66" s="14">
        <f>SUM(CY66:DC66)</f>
        <v/>
      </c>
    </row>
    <row r="67">
      <c r="A67" s="33" t="n">
        <v>39</v>
      </c>
      <c r="B67" s="50" t="inlineStr">
        <is>
          <t>COATZACOALCOS</t>
        </is>
      </c>
      <c r="C67" s="47" t="inlineStr">
        <is>
          <t>COATZACOALCOS</t>
        </is>
      </c>
      <c r="D67" s="33" t="inlineStr">
        <is>
          <t>EULEN</t>
        </is>
      </c>
      <c r="E67" s="13" t="n">
        <v>719</v>
      </c>
      <c r="F67" s="13" t="n">
        <v>53</v>
      </c>
      <c r="G67" s="13" t="n"/>
      <c r="H67" s="13" t="n"/>
      <c r="I67" s="13" t="n"/>
      <c r="J67" s="13" t="n">
        <v>772</v>
      </c>
      <c r="L67" s="3" t="n"/>
      <c r="M67" s="3" t="n"/>
      <c r="N67" s="3" t="n"/>
      <c r="O67" s="3" t="n"/>
      <c r="P67" s="3" t="n"/>
      <c r="R67" s="3" t="n">
        <v>2</v>
      </c>
      <c r="S67" s="15" t="n"/>
      <c r="T67" s="16" t="n">
        <v>36</v>
      </c>
      <c r="U67" s="16" t="n">
        <v>216</v>
      </c>
      <c r="W67" s="24" t="n"/>
      <c r="X67" s="24" t="n"/>
      <c r="Y67" s="24" t="n"/>
      <c r="Z67" s="24" t="n"/>
      <c r="AA67" s="24" t="n"/>
      <c r="AB67" s="24" t="n"/>
      <c r="AC67" s="24" t="n"/>
      <c r="AD67" s="24" t="n"/>
      <c r="AE67" s="24" t="n"/>
      <c r="AF67" s="24" t="n"/>
      <c r="AG67" s="24" t="n"/>
      <c r="AH67" s="24" t="n"/>
      <c r="AI67" s="24" t="n"/>
      <c r="AJ67" s="24" t="n"/>
      <c r="AK67" s="24" t="n"/>
      <c r="AL67" s="24" t="n"/>
      <c r="AM67" s="24" t="n"/>
      <c r="AN67" s="24" t="n"/>
      <c r="AO67" s="24" t="n"/>
      <c r="AP67" s="24" t="n"/>
      <c r="AQ67" s="24" t="n"/>
      <c r="AR67" s="24" t="n"/>
      <c r="AS67" s="24" t="n"/>
      <c r="AT67" s="24" t="n"/>
      <c r="AU67" s="24" t="n"/>
      <c r="AV67" s="24" t="n"/>
      <c r="AW67" s="24" t="n"/>
      <c r="AX67" s="24" t="n"/>
      <c r="AY67" s="24" t="n"/>
      <c r="AZ67" s="24" t="n"/>
      <c r="BA67" s="24" t="n"/>
      <c r="BB67" s="24" t="n"/>
      <c r="BC67" s="24" t="n"/>
      <c r="BD67" s="24" t="n"/>
      <c r="BE67" s="24" t="n"/>
      <c r="BF67" s="24" t="n"/>
      <c r="BG67" s="24" t="n"/>
      <c r="BH67" s="24" t="n"/>
      <c r="BI67" s="24" t="n"/>
      <c r="BJ67" s="24" t="n"/>
      <c r="BK67" s="24" t="n"/>
      <c r="BL67" s="24" t="n"/>
      <c r="BM67" s="24" t="n"/>
      <c r="BN67" s="24" t="n"/>
      <c r="BO67" s="24" t="n"/>
      <c r="BP67" s="24" t="n"/>
      <c r="BQ67" s="24" t="n"/>
      <c r="BR67" s="24" t="n"/>
      <c r="BS67" s="24" t="n"/>
      <c r="BT67" s="24" t="n"/>
      <c r="BU67" s="24" t="n"/>
      <c r="BV67" s="24" t="n"/>
      <c r="BW67" s="24" t="n"/>
      <c r="BX67" s="24" t="n"/>
      <c r="BY67" s="24" t="n"/>
      <c r="BZ67" s="24" t="n"/>
      <c r="CA67" s="24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37">
        <f>+SUM(W67:CM67)</f>
        <v/>
      </c>
      <c r="CP67" s="27">
        <f>CN67</f>
        <v/>
      </c>
      <c r="CQ67" s="22" t="n">
        <v>0</v>
      </c>
      <c r="CR67" s="22">
        <f>CP67+CQ67</f>
        <v/>
      </c>
      <c r="CS67" s="42" t="n"/>
      <c r="CT67" s="78" t="n"/>
      <c r="CU67" s="14">
        <f>DD67</f>
        <v/>
      </c>
      <c r="CV67" s="14">
        <f>CU67/2</f>
        <v/>
      </c>
      <c r="CW67" s="14">
        <f>CV67-CP67</f>
        <v/>
      </c>
      <c r="CX67" s="79" t="n"/>
      <c r="CY67" s="17" t="n"/>
      <c r="DD67" s="14">
        <f>SUM(CY67:DC67)</f>
        <v/>
      </c>
    </row>
    <row r="68">
      <c r="A68" s="33" t="n">
        <v>44</v>
      </c>
      <c r="B68" s="50" t="inlineStr">
        <is>
          <t>NUEVO LAREDO</t>
        </is>
      </c>
      <c r="C68" s="47" t="inlineStr">
        <is>
          <t>NUEVO LAREDO</t>
        </is>
      </c>
      <c r="D68" s="33" t="inlineStr">
        <is>
          <t>EULEN</t>
        </is>
      </c>
      <c r="E68" s="13" t="n">
        <v>53</v>
      </c>
      <c r="F68" s="13" t="n"/>
      <c r="G68" s="13" t="n"/>
      <c r="H68" s="13" t="n"/>
      <c r="I68" s="13" t="n"/>
      <c r="J68" s="13" t="n">
        <v>53</v>
      </c>
      <c r="L68" s="3" t="n"/>
      <c r="M68" s="3" t="n"/>
      <c r="N68" s="3" t="n"/>
      <c r="O68" s="3" t="n"/>
      <c r="P68" s="3" t="n"/>
      <c r="R68" s="3" t="n">
        <v>1</v>
      </c>
      <c r="S68" s="15" t="n"/>
      <c r="T68" s="16" t="n">
        <v>18</v>
      </c>
      <c r="U68" s="16" t="n">
        <v>108</v>
      </c>
      <c r="W68" s="24" t="n"/>
      <c r="X68" s="24" t="n"/>
      <c r="Y68" s="24" t="n"/>
      <c r="Z68" s="24" t="n"/>
      <c r="AA68" s="24" t="n"/>
      <c r="AB68" s="24" t="n"/>
      <c r="AC68" s="24" t="n"/>
      <c r="AD68" s="24" t="n"/>
      <c r="AE68" s="24" t="n"/>
      <c r="AF68" s="24" t="n"/>
      <c r="AG68" s="24" t="n"/>
      <c r="AH68" s="24" t="n"/>
      <c r="AI68" s="24" t="n"/>
      <c r="AJ68" s="24" t="n"/>
      <c r="AK68" s="24" t="n"/>
      <c r="AL68" s="24" t="n"/>
      <c r="AM68" s="24" t="n"/>
      <c r="AN68" s="24" t="n"/>
      <c r="AO68" s="24" t="n"/>
      <c r="AP68" s="24" t="n"/>
      <c r="AQ68" s="24" t="n"/>
      <c r="AR68" s="24" t="n"/>
      <c r="AS68" s="24" t="n"/>
      <c r="AT68" s="24" t="n"/>
      <c r="AU68" s="24" t="n"/>
      <c r="AV68" s="24" t="n"/>
      <c r="AW68" s="24" t="n"/>
      <c r="AX68" s="24" t="n"/>
      <c r="AY68" s="24" t="n"/>
      <c r="AZ68" s="24" t="n"/>
      <c r="BA68" s="24" t="n"/>
      <c r="BB68" s="24" t="n"/>
      <c r="BC68" s="24" t="n"/>
      <c r="BD68" s="24" t="n"/>
      <c r="BE68" s="24" t="n"/>
      <c r="BF68" s="24" t="n"/>
      <c r="BG68" s="24" t="n"/>
      <c r="BH68" s="24" t="n"/>
      <c r="BI68" s="24" t="n"/>
      <c r="BJ68" s="24" t="n"/>
      <c r="BK68" s="24" t="n"/>
      <c r="BL68" s="24" t="n"/>
      <c r="BM68" s="24" t="n"/>
      <c r="BN68" s="24" t="n"/>
      <c r="BO68" s="24" t="n"/>
      <c r="BP68" s="24" t="n"/>
      <c r="BQ68" s="24" t="n"/>
      <c r="BR68" s="24" t="n"/>
      <c r="BS68" s="24" t="n"/>
      <c r="BT68" s="24" t="n"/>
      <c r="BU68" s="24" t="n"/>
      <c r="BV68" s="24" t="n"/>
      <c r="BW68" s="24" t="n"/>
      <c r="BX68" s="24" t="n"/>
      <c r="BY68" s="24" t="n"/>
      <c r="BZ68" s="24" t="n"/>
      <c r="CA68" s="24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37">
        <f>+SUM(W68:CM68)</f>
        <v/>
      </c>
      <c r="CP68" s="27">
        <f>CN68</f>
        <v/>
      </c>
      <c r="CQ68" s="22" t="n">
        <v>0</v>
      </c>
      <c r="CR68" s="22">
        <f>CP68+CQ68</f>
        <v/>
      </c>
      <c r="CS68" s="42" t="n"/>
      <c r="CT68" s="78" t="n"/>
      <c r="CU68" s="14">
        <f>DD68</f>
        <v/>
      </c>
      <c r="CV68" s="14">
        <f>CU68/2</f>
        <v/>
      </c>
      <c r="CW68" s="14">
        <f>CV68-CP68</f>
        <v/>
      </c>
      <c r="CX68" s="79" t="n"/>
      <c r="CY68" s="17" t="n"/>
      <c r="DD68" s="14">
        <f>SUM(CY68:DC68)</f>
        <v/>
      </c>
    </row>
    <row r="69">
      <c r="A69" s="33" t="n">
        <v>45</v>
      </c>
      <c r="B69" s="50" t="inlineStr">
        <is>
          <t>COLIMA</t>
        </is>
      </c>
      <c r="C69" s="47" t="inlineStr">
        <is>
          <t>COLIMA</t>
        </is>
      </c>
      <c r="D69" s="33" t="inlineStr">
        <is>
          <t>EULEN</t>
        </is>
      </c>
      <c r="E69" s="13" t="n">
        <v>419</v>
      </c>
      <c r="F69" s="13" t="n">
        <v>20</v>
      </c>
      <c r="G69" s="13" t="n">
        <v>3</v>
      </c>
      <c r="H69" s="13" t="n"/>
      <c r="I69" s="13" t="n"/>
      <c r="J69" s="13" t="n">
        <v>442</v>
      </c>
      <c r="L69" s="3" t="n"/>
      <c r="M69" s="3" t="n"/>
      <c r="N69" s="3" t="n"/>
      <c r="O69" s="3" t="n"/>
      <c r="P69" s="3" t="n"/>
      <c r="R69" s="3" t="n">
        <v>2</v>
      </c>
      <c r="S69" s="15" t="n"/>
      <c r="T69" s="16" t="n">
        <v>36</v>
      </c>
      <c r="U69" s="16" t="n">
        <v>216</v>
      </c>
      <c r="W69" s="24" t="n"/>
      <c r="X69" s="24" t="n"/>
      <c r="Y69" s="24" t="n"/>
      <c r="Z69" s="24" t="n"/>
      <c r="AA69" s="24" t="n"/>
      <c r="AB69" s="24" t="n"/>
      <c r="AC69" s="24" t="n"/>
      <c r="AD69" s="24" t="n"/>
      <c r="AE69" s="24" t="n"/>
      <c r="AF69" s="24" t="n"/>
      <c r="AG69" s="24" t="n"/>
      <c r="AH69" s="24" t="n"/>
      <c r="AI69" s="24" t="n"/>
      <c r="AJ69" s="24" t="n"/>
      <c r="AK69" s="24" t="n"/>
      <c r="AL69" s="24" t="n"/>
      <c r="AM69" s="24" t="n"/>
      <c r="AN69" s="24" t="n"/>
      <c r="AO69" s="24" t="n"/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n"/>
      <c r="AY69" s="24" t="n"/>
      <c r="AZ69" s="24" t="n"/>
      <c r="BA69" s="24" t="n"/>
      <c r="BB69" s="24" t="n"/>
      <c r="BC69" s="24" t="n"/>
      <c r="BD69" s="24" t="n"/>
      <c r="BE69" s="24" t="n"/>
      <c r="BF69" s="24" t="n"/>
      <c r="BG69" s="24" t="n"/>
      <c r="BH69" s="24" t="n"/>
      <c r="BI69" s="24" t="n"/>
      <c r="BJ69" s="24" t="n"/>
      <c r="BK69" s="24" t="n"/>
      <c r="BL69" s="24" t="n"/>
      <c r="BM69" s="24" t="n"/>
      <c r="BN69" s="24" t="n"/>
      <c r="BO69" s="24" t="n"/>
      <c r="BP69" s="24" t="n"/>
      <c r="BQ69" s="24" t="n"/>
      <c r="BR69" s="24" t="n"/>
      <c r="BS69" s="24" t="n"/>
      <c r="BT69" s="24" t="n"/>
      <c r="BU69" s="24" t="n"/>
      <c r="BV69" s="24" t="n"/>
      <c r="BW69" s="24" t="n"/>
      <c r="BX69" s="24" t="n"/>
      <c r="BY69" s="24" t="n"/>
      <c r="BZ69" s="24" t="n"/>
      <c r="CA69" s="24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37">
        <f>+SUM(W69:CM69)</f>
        <v/>
      </c>
      <c r="CP69" s="27">
        <f>CN69</f>
        <v/>
      </c>
      <c r="CQ69" s="22" t="n">
        <v>0</v>
      </c>
      <c r="CR69" s="22">
        <f>CP69+CQ69</f>
        <v/>
      </c>
      <c r="CS69" s="42" t="n"/>
      <c r="CT69" s="78" t="n"/>
      <c r="CU69" s="14">
        <f>DD69</f>
        <v/>
      </c>
      <c r="CV69" s="14">
        <f>CU69/2</f>
        <v/>
      </c>
      <c r="CW69" s="14">
        <f>CV69-CP69</f>
        <v/>
      </c>
      <c r="CX69" s="79" t="n"/>
      <c r="CY69" s="17" t="n"/>
      <c r="DD69" s="14">
        <f>SUM(CY69:DC69)</f>
        <v/>
      </c>
    </row>
    <row r="70" ht="15" customHeight="1">
      <c r="A70" s="33" t="n">
        <v>47</v>
      </c>
      <c r="B70" s="50" t="inlineStr">
        <is>
          <t>LA PAZ</t>
        </is>
      </c>
      <c r="C70" s="47" t="inlineStr">
        <is>
          <t>LA PAZ</t>
        </is>
      </c>
      <c r="D70" s="33" t="inlineStr">
        <is>
          <t>IASA</t>
        </is>
      </c>
      <c r="E70" s="13" t="n">
        <v>441</v>
      </c>
      <c r="F70" s="13" t="n">
        <v>392</v>
      </c>
      <c r="G70" s="13" t="n"/>
      <c r="H70" s="13" t="n"/>
      <c r="I70" s="13" t="n"/>
      <c r="J70" s="13" t="n">
        <v>833</v>
      </c>
      <c r="L70" s="3" t="n"/>
      <c r="M70" s="3" t="n"/>
      <c r="N70" s="3" t="n"/>
      <c r="O70" s="3" t="n"/>
      <c r="P70" s="3" t="n"/>
      <c r="R70" s="3" t="n">
        <v>2</v>
      </c>
      <c r="S70" s="15" t="n"/>
      <c r="T70" s="16" t="n">
        <v>36</v>
      </c>
      <c r="U70" s="16" t="n">
        <v>216</v>
      </c>
      <c r="W70" s="24" t="n"/>
      <c r="X70" s="24" t="n"/>
      <c r="Y70" s="24" t="n"/>
      <c r="Z70" s="24" t="n"/>
      <c r="AA70" s="24" t="n"/>
      <c r="AB70" s="24" t="n"/>
      <c r="AC70" s="24" t="n"/>
      <c r="AD70" s="24" t="n"/>
      <c r="AE70" s="24" t="n"/>
      <c r="AF70" s="24" t="n"/>
      <c r="AG70" s="24" t="n"/>
      <c r="AH70" s="24" t="n"/>
      <c r="AI70" s="24" t="n"/>
      <c r="AJ70" s="24" t="n"/>
      <c r="AK70" s="24" t="n"/>
      <c r="AL70" s="24" t="n"/>
      <c r="AM70" s="24" t="n"/>
      <c r="AN70" s="24" t="n"/>
      <c r="AO70" s="24" t="n"/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n"/>
      <c r="AY70" s="24" t="n"/>
      <c r="AZ70" s="24" t="n"/>
      <c r="BA70" s="24" t="n"/>
      <c r="BB70" s="24" t="n"/>
      <c r="BC70" s="24" t="n"/>
      <c r="BD70" s="24" t="n"/>
      <c r="BE70" s="24" t="n"/>
      <c r="BF70" s="24" t="n"/>
      <c r="BG70" s="24" t="n"/>
      <c r="BH70" s="24" t="n"/>
      <c r="BI70" s="24" t="n"/>
      <c r="BJ70" s="24" t="n"/>
      <c r="BK70" s="24" t="n"/>
      <c r="BL70" s="24" t="n"/>
      <c r="BM70" s="24" t="n"/>
      <c r="BN70" s="24" t="n"/>
      <c r="BO70" s="24" t="n"/>
      <c r="BP70" s="24" t="n"/>
      <c r="BQ70" s="24" t="n"/>
      <c r="BR70" s="24" t="n"/>
      <c r="BS70" s="24" t="n"/>
      <c r="BT70" s="24" t="n"/>
      <c r="BU70" s="24" t="n"/>
      <c r="BV70" s="24" t="n"/>
      <c r="BW70" s="24" t="n"/>
      <c r="BX70" s="24" t="n"/>
      <c r="BY70" s="24" t="n"/>
      <c r="BZ70" s="24" t="n"/>
      <c r="CA70" s="24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37">
        <f>+SUM(W70:CM70)</f>
        <v/>
      </c>
      <c r="CP70" s="27">
        <f>CN70</f>
        <v/>
      </c>
      <c r="CQ70" s="22" t="n">
        <v>0</v>
      </c>
      <c r="CR70" s="22">
        <f>CP70+CQ70</f>
        <v/>
      </c>
      <c r="CS70" s="42" t="n"/>
      <c r="CT70" s="78" t="n"/>
      <c r="CU70" s="14">
        <f>DD70</f>
        <v/>
      </c>
      <c r="CV70" s="14">
        <f>CU70/2</f>
        <v/>
      </c>
      <c r="CW70" s="14">
        <f>CV70-CP70</f>
        <v/>
      </c>
      <c r="CX70" s="79" t="n"/>
      <c r="CY70" s="17" t="n"/>
      <c r="DD70" s="14">
        <f>SUM(CY70:DC70)</f>
        <v/>
      </c>
    </row>
    <row r="71" ht="15" customHeight="1">
      <c r="A71" s="33" t="n">
        <v>48</v>
      </c>
      <c r="B71" s="50" t="inlineStr">
        <is>
          <t>TLAXCALA</t>
        </is>
      </c>
      <c r="C71" s="47" t="inlineStr">
        <is>
          <t>TLAXCALA</t>
        </is>
      </c>
      <c r="D71" s="33" t="inlineStr">
        <is>
          <t>IASA</t>
        </is>
      </c>
      <c r="E71" s="13" t="n">
        <v>1179</v>
      </c>
      <c r="F71" s="13" t="n">
        <v>15</v>
      </c>
      <c r="G71" s="13" t="n"/>
      <c r="H71" s="13" t="n"/>
      <c r="I71" s="13" t="n"/>
      <c r="J71" s="13" t="n">
        <v>1194</v>
      </c>
      <c r="L71" s="3" t="n"/>
      <c r="M71" s="3" t="n"/>
      <c r="N71" s="3" t="n"/>
      <c r="O71" s="3" t="n"/>
      <c r="P71" s="3" t="n"/>
      <c r="R71" s="3" t="n">
        <v>3</v>
      </c>
      <c r="S71" s="15" t="n"/>
      <c r="T71" s="16" t="n">
        <v>54</v>
      </c>
      <c r="U71" s="16" t="n">
        <v>324</v>
      </c>
      <c r="W71" s="24" t="n"/>
      <c r="X71" s="24" t="n"/>
      <c r="Y71" s="24" t="n"/>
      <c r="Z71" s="24" t="n"/>
      <c r="AA71" s="24" t="n"/>
      <c r="AB71" s="24" t="n"/>
      <c r="AC71" s="24" t="n"/>
      <c r="AD71" s="24" t="n"/>
      <c r="AE71" s="24" t="n"/>
      <c r="AF71" s="24" t="n"/>
      <c r="AG71" s="24" t="n"/>
      <c r="AH71" s="24" t="n"/>
      <c r="AI71" s="24" t="n"/>
      <c r="AJ71" s="24" t="n"/>
      <c r="AK71" s="24" t="n"/>
      <c r="AL71" s="24" t="n"/>
      <c r="AM71" s="24" t="n"/>
      <c r="AN71" s="24" t="n"/>
      <c r="AO71" s="24" t="n"/>
      <c r="AP71" s="24" t="n"/>
      <c r="AQ71" s="24" t="n"/>
      <c r="AR71" s="24" t="n"/>
      <c r="AS71" s="24" t="n"/>
      <c r="AT71" s="24" t="n"/>
      <c r="AU71" s="24" t="n"/>
      <c r="AV71" s="24" t="n"/>
      <c r="AW71" s="24" t="n"/>
      <c r="AX71" s="24" t="n"/>
      <c r="AY71" s="24" t="n"/>
      <c r="AZ71" s="24" t="n"/>
      <c r="BA71" s="24" t="n"/>
      <c r="BB71" s="24" t="n"/>
      <c r="BC71" s="24" t="n"/>
      <c r="BD71" s="24" t="n"/>
      <c r="BE71" s="24" t="n"/>
      <c r="BF71" s="24" t="n"/>
      <c r="BG71" s="24" t="n"/>
      <c r="BH71" s="24" t="n"/>
      <c r="BI71" s="24" t="n"/>
      <c r="BJ71" s="24" t="n"/>
      <c r="BK71" s="24" t="n"/>
      <c r="BL71" s="24" t="n"/>
      <c r="BM71" s="24" t="n"/>
      <c r="BN71" s="24" t="n"/>
      <c r="BO71" s="24" t="n"/>
      <c r="BP71" s="24" t="n"/>
      <c r="BQ71" s="24" t="n"/>
      <c r="BR71" s="24" t="n"/>
      <c r="BS71" s="24" t="n"/>
      <c r="BT71" s="24" t="n"/>
      <c r="BU71" s="24" t="n"/>
      <c r="BV71" s="24" t="n"/>
      <c r="BW71" s="24" t="n"/>
      <c r="BX71" s="24" t="n"/>
      <c r="BY71" s="24" t="n"/>
      <c r="BZ71" s="24" t="n"/>
      <c r="CA71" s="24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37">
        <f>+SUM(W71:CM71)</f>
        <v/>
      </c>
      <c r="CP71" s="27">
        <f>CN71</f>
        <v/>
      </c>
      <c r="CQ71" s="22" t="n">
        <v>0</v>
      </c>
      <c r="CR71" s="22">
        <f>CP71+CQ71</f>
        <v/>
      </c>
      <c r="CS71" s="42" t="n"/>
      <c r="CT71" s="78" t="n"/>
      <c r="CU71" s="14">
        <f>DD71</f>
        <v/>
      </c>
      <c r="CV71" s="14">
        <f>CU71/2</f>
        <v/>
      </c>
      <c r="CW71" s="14">
        <f>CV71-CP71</f>
        <v/>
      </c>
      <c r="CX71" s="79" t="n"/>
      <c r="CY71" s="17" t="n"/>
      <c r="DD71" s="14">
        <f>SUM(CY71:DC71)</f>
        <v/>
      </c>
    </row>
    <row r="72" ht="15" customHeight="1">
      <c r="A72" s="33" t="inlineStr">
        <is>
          <t>RESTO</t>
        </is>
      </c>
      <c r="B72" s="50" t="inlineStr">
        <is>
          <t>CHILPANCINGO</t>
        </is>
      </c>
      <c r="C72" s="47" t="inlineStr">
        <is>
          <t>CHILPANCINGO</t>
        </is>
      </c>
      <c r="D72" s="33" t="inlineStr">
        <is>
          <t>IASA</t>
        </is>
      </c>
      <c r="E72" s="13" t="n">
        <v>947</v>
      </c>
      <c r="F72" s="13" t="n">
        <v>165</v>
      </c>
      <c r="G72" s="13" t="n"/>
      <c r="H72" s="13" t="n"/>
      <c r="I72" s="13" t="n"/>
      <c r="J72" s="13" t="n">
        <v>1112</v>
      </c>
      <c r="L72" s="3" t="n"/>
      <c r="M72" s="3" t="n"/>
      <c r="N72" s="3" t="n"/>
      <c r="O72" s="3" t="n"/>
      <c r="P72" s="3" t="n"/>
      <c r="R72" s="3" t="n">
        <v>3</v>
      </c>
      <c r="S72" s="15" t="n"/>
      <c r="T72" s="16" t="n">
        <v>54</v>
      </c>
      <c r="U72" s="16" t="n">
        <v>324</v>
      </c>
      <c r="W72" s="24" t="n"/>
      <c r="X72" s="24" t="n"/>
      <c r="Y72" s="24" t="n"/>
      <c r="Z72" s="24" t="n"/>
      <c r="AA72" s="24" t="n"/>
      <c r="AB72" s="24" t="n"/>
      <c r="AC72" s="24" t="n"/>
      <c r="AD72" s="24" t="n"/>
      <c r="AE72" s="24" t="n"/>
      <c r="AF72" s="24" t="n"/>
      <c r="AG72" s="24" t="n"/>
      <c r="AH72" s="24" t="n"/>
      <c r="AI72" s="24" t="n"/>
      <c r="AJ72" s="24" t="n"/>
      <c r="AK72" s="24" t="n"/>
      <c r="AL72" s="24" t="n"/>
      <c r="AM72" s="24" t="n"/>
      <c r="AN72" s="24" t="n"/>
      <c r="AO72" s="24" t="n"/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n"/>
      <c r="AY72" s="24" t="n"/>
      <c r="AZ72" s="24" t="n"/>
      <c r="BA72" s="24" t="n"/>
      <c r="BB72" s="24" t="n"/>
      <c r="BC72" s="24" t="n"/>
      <c r="BD72" s="24" t="n"/>
      <c r="BE72" s="24" t="n"/>
      <c r="BF72" s="24" t="n"/>
      <c r="BG72" s="24" t="n"/>
      <c r="BH72" s="24" t="n"/>
      <c r="BI72" s="24" t="n"/>
      <c r="BJ72" s="24" t="n"/>
      <c r="BK72" s="24" t="n"/>
      <c r="BL72" s="24" t="n"/>
      <c r="BM72" s="24" t="n"/>
      <c r="BN72" s="24" t="n"/>
      <c r="BO72" s="24" t="n"/>
      <c r="BP72" s="24" t="n"/>
      <c r="BQ72" s="24" t="n"/>
      <c r="BR72" s="24" t="n"/>
      <c r="BS72" s="24" t="n"/>
      <c r="BT72" s="24" t="n"/>
      <c r="BU72" s="24" t="n"/>
      <c r="BV72" s="24" t="n"/>
      <c r="BW72" s="24" t="n"/>
      <c r="BX72" s="24" t="n"/>
      <c r="BY72" s="24" t="n"/>
      <c r="BZ72" s="24" t="n"/>
      <c r="CA72" s="24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37">
        <f>+SUM(W72:CM72)</f>
        <v/>
      </c>
      <c r="CP72" s="27">
        <f>CN72</f>
        <v/>
      </c>
      <c r="CQ72" s="22" t="n">
        <v>0</v>
      </c>
      <c r="CR72" s="22">
        <f>CP72+CQ72</f>
        <v/>
      </c>
      <c r="CS72" s="42" t="n"/>
      <c r="CT72" s="78" t="n"/>
      <c r="CU72" s="14">
        <f>DD72</f>
        <v/>
      </c>
      <c r="CV72" s="14">
        <f>CU72/2</f>
        <v/>
      </c>
      <c r="CW72" s="14">
        <f>CV72-CP72</f>
        <v/>
      </c>
      <c r="CX72" s="79" t="n"/>
      <c r="CY72" s="17" t="n"/>
      <c r="DD72" s="14">
        <f>SUM(CY72:DC72)</f>
        <v/>
      </c>
    </row>
    <row r="73">
      <c r="A73" s="33" t="inlineStr">
        <is>
          <t>RESTO</t>
        </is>
      </c>
      <c r="B73" s="50" t="inlineStr">
        <is>
          <t>CIUDAD VICTORIA</t>
        </is>
      </c>
      <c r="C73" s="47" t="inlineStr">
        <is>
          <t>CIUDAD VICTORIA</t>
        </is>
      </c>
      <c r="D73" s="33" t="inlineStr">
        <is>
          <t>EULEN</t>
        </is>
      </c>
      <c r="E73" s="13" t="n">
        <v>48</v>
      </c>
      <c r="F73" s="13" t="n">
        <v>136</v>
      </c>
      <c r="G73" s="13" t="n"/>
      <c r="H73" s="13" t="n"/>
      <c r="I73" s="13" t="n"/>
      <c r="J73" s="13" t="n">
        <v>184</v>
      </c>
      <c r="L73" s="3" t="n"/>
      <c r="M73" s="3" t="n"/>
      <c r="N73" s="3" t="n"/>
      <c r="O73" s="3" t="n"/>
      <c r="P73" s="3" t="n"/>
      <c r="R73" s="3" t="n">
        <v>1</v>
      </c>
      <c r="S73" s="15" t="n"/>
      <c r="T73" s="16" t="n">
        <v>18</v>
      </c>
      <c r="U73" s="16" t="n">
        <v>108</v>
      </c>
      <c r="W73" s="24" t="n"/>
      <c r="X73" s="24" t="n"/>
      <c r="Y73" s="24" t="n"/>
      <c r="Z73" s="24" t="n"/>
      <c r="AA73" s="24" t="n"/>
      <c r="AB73" s="24" t="n"/>
      <c r="AC73" s="24" t="n"/>
      <c r="AD73" s="24" t="n"/>
      <c r="AE73" s="24" t="n"/>
      <c r="AF73" s="24" t="n"/>
      <c r="AG73" s="24" t="n"/>
      <c r="AH73" s="24" t="n"/>
      <c r="AI73" s="24" t="n"/>
      <c r="AJ73" s="24" t="n"/>
      <c r="AK73" s="24" t="n"/>
      <c r="AL73" s="24" t="n"/>
      <c r="AM73" s="24" t="n"/>
      <c r="AN73" s="24" t="n"/>
      <c r="AO73" s="24" t="n"/>
      <c r="AP73" s="24" t="n"/>
      <c r="AQ73" s="24" t="n"/>
      <c r="AR73" s="24" t="n"/>
      <c r="AS73" s="24" t="n"/>
      <c r="AT73" s="24" t="n"/>
      <c r="AU73" s="24" t="n"/>
      <c r="AV73" s="24" t="n"/>
      <c r="AW73" s="24" t="n"/>
      <c r="AX73" s="24" t="n"/>
      <c r="AY73" s="24" t="n"/>
      <c r="AZ73" s="24" t="n"/>
      <c r="BA73" s="24" t="n"/>
      <c r="BB73" s="24" t="n"/>
      <c r="BC73" s="24" t="n"/>
      <c r="BD73" s="24" t="n"/>
      <c r="BE73" s="24" t="n"/>
      <c r="BF73" s="24" t="n"/>
      <c r="BG73" s="24" t="n"/>
      <c r="BH73" s="24" t="n"/>
      <c r="BI73" s="24" t="n"/>
      <c r="BJ73" s="24" t="n"/>
      <c r="BK73" s="24" t="n"/>
      <c r="BL73" s="24" t="n"/>
      <c r="BM73" s="24" t="n"/>
      <c r="BN73" s="24" t="n"/>
      <c r="BO73" s="24" t="n"/>
      <c r="BP73" s="24" t="n"/>
      <c r="BQ73" s="24" t="n"/>
      <c r="BR73" s="24" t="n"/>
      <c r="BS73" s="24" t="n"/>
      <c r="BT73" s="24" t="n"/>
      <c r="BU73" s="24" t="n"/>
      <c r="BV73" s="24" t="n"/>
      <c r="BW73" s="24" t="n"/>
      <c r="BX73" s="24" t="n"/>
      <c r="BY73" s="24" t="n"/>
      <c r="BZ73" s="24" t="n"/>
      <c r="CA73" s="24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37">
        <f>+SUM(W73:CM73)</f>
        <v/>
      </c>
      <c r="CP73" s="27">
        <f>CN73</f>
        <v/>
      </c>
      <c r="CQ73" s="22" t="n">
        <v>0</v>
      </c>
      <c r="CR73" s="22">
        <f>CP73+CQ73</f>
        <v/>
      </c>
      <c r="CS73" s="42" t="n"/>
      <c r="CT73" s="78" t="n"/>
      <c r="CU73" s="14">
        <f>DD73</f>
        <v/>
      </c>
      <c r="CV73" s="14">
        <f>CU73/2</f>
        <v/>
      </c>
      <c r="CW73" s="14">
        <f>CV73-CP73</f>
        <v/>
      </c>
      <c r="CX73" s="79" t="n"/>
      <c r="CY73" s="17" t="n"/>
      <c r="DD73" s="14">
        <f>SUM(CY73:DC73)</f>
        <v/>
      </c>
    </row>
    <row r="74" ht="15" customHeight="1">
      <c r="A74" s="33" t="inlineStr">
        <is>
          <t>RESTO</t>
        </is>
      </c>
      <c r="B74" s="50" t="inlineStr">
        <is>
          <t>CORDOBA</t>
        </is>
      </c>
      <c r="C74" s="47" t="inlineStr">
        <is>
          <t>CORDOBA</t>
        </is>
      </c>
      <c r="D74" s="33" t="inlineStr">
        <is>
          <t>EULEN</t>
        </is>
      </c>
      <c r="E74" s="13" t="n">
        <v>1152</v>
      </c>
      <c r="F74" s="13" t="n">
        <v>154</v>
      </c>
      <c r="G74" s="13" t="n"/>
      <c r="H74" s="13" t="n"/>
      <c r="I74" s="13" t="n"/>
      <c r="J74" s="13" t="n">
        <v>1306</v>
      </c>
      <c r="L74" s="3" t="n"/>
      <c r="M74" s="3" t="n"/>
      <c r="N74" s="3" t="n"/>
      <c r="O74" s="3" t="n"/>
      <c r="P74" s="3" t="n"/>
      <c r="R74" s="3" t="n">
        <v>4</v>
      </c>
      <c r="S74" s="15" t="n"/>
      <c r="T74" s="16" t="n">
        <v>72</v>
      </c>
      <c r="U74" s="16" t="n">
        <v>432</v>
      </c>
      <c r="W74" s="24" t="n"/>
      <c r="X74" s="24" t="n"/>
      <c r="Y74" s="24" t="n"/>
      <c r="Z74" s="24" t="n"/>
      <c r="AA74" s="24" t="n"/>
      <c r="AB74" s="24" t="n"/>
      <c r="AC74" s="24" t="n"/>
      <c r="AD74" s="24" t="n"/>
      <c r="AE74" s="24" t="n"/>
      <c r="AF74" s="24" t="n"/>
      <c r="AG74" s="24" t="n"/>
      <c r="AH74" s="24" t="n"/>
      <c r="AI74" s="24" t="n"/>
      <c r="AJ74" s="24" t="n"/>
      <c r="AK74" s="24" t="n"/>
      <c r="AL74" s="24" t="n"/>
      <c r="AM74" s="24" t="n"/>
      <c r="AN74" s="24" t="n"/>
      <c r="AO74" s="24" t="n"/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n"/>
      <c r="AY74" s="24" t="n"/>
      <c r="AZ74" s="24" t="n"/>
      <c r="BA74" s="24" t="n"/>
      <c r="BB74" s="24" t="n"/>
      <c r="BC74" s="24" t="n"/>
      <c r="BD74" s="24" t="n"/>
      <c r="BE74" s="24" t="n"/>
      <c r="BF74" s="24" t="n"/>
      <c r="BG74" s="24" t="n"/>
      <c r="BH74" s="24" t="n"/>
      <c r="BI74" s="24" t="n"/>
      <c r="BJ74" s="24" t="n"/>
      <c r="BK74" s="24" t="n"/>
      <c r="BL74" s="24" t="n"/>
      <c r="BM74" s="24" t="n"/>
      <c r="BN74" s="24" t="n"/>
      <c r="BO74" s="24" t="n"/>
      <c r="BP74" s="24" t="n"/>
      <c r="BQ74" s="24" t="n"/>
      <c r="BR74" s="24" t="n"/>
      <c r="BS74" s="24" t="n"/>
      <c r="BT74" s="24" t="n"/>
      <c r="BU74" s="24" t="n"/>
      <c r="BV74" s="24" t="n"/>
      <c r="BW74" s="24" t="n"/>
      <c r="BX74" s="24" t="n"/>
      <c r="BY74" s="24" t="n"/>
      <c r="BZ74" s="24" t="n"/>
      <c r="CA74" s="24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37">
        <f>+SUM(W74:CM74)</f>
        <v/>
      </c>
      <c r="CP74" s="27">
        <f>CN74</f>
        <v/>
      </c>
      <c r="CQ74" s="22" t="n">
        <v>0</v>
      </c>
      <c r="CR74" s="22">
        <f>CP74+CQ74</f>
        <v/>
      </c>
      <c r="CS74" s="42" t="n"/>
      <c r="CT74" s="78" t="n"/>
      <c r="CU74" s="14">
        <f>DD74</f>
        <v/>
      </c>
      <c r="CV74" s="14">
        <f>CU74/2</f>
        <v/>
      </c>
      <c r="CW74" s="14">
        <f>CV74-CP74</f>
        <v/>
      </c>
      <c r="CX74" s="79" t="n"/>
      <c r="CY74" s="17" t="n"/>
      <c r="DD74" s="14">
        <f>SUM(CY74:DC74)</f>
        <v/>
      </c>
    </row>
    <row r="75">
      <c r="A75" s="33" t="inlineStr">
        <is>
          <t>RESTO</t>
        </is>
      </c>
      <c r="B75" s="50" t="inlineStr">
        <is>
          <t>JALISCO</t>
        </is>
      </c>
      <c r="C75" s="47" t="inlineStr">
        <is>
          <t>JALISCO</t>
        </is>
      </c>
      <c r="D75" s="33" t="inlineStr">
        <is>
          <t>IASA</t>
        </is>
      </c>
      <c r="E75" s="13" t="n">
        <v>1418</v>
      </c>
      <c r="F75" s="13" t="n">
        <v>80</v>
      </c>
      <c r="G75" s="13" t="n">
        <v>14</v>
      </c>
      <c r="H75" s="13" t="n"/>
      <c r="I75" s="13" t="n"/>
      <c r="J75" s="13" t="n">
        <v>1512</v>
      </c>
      <c r="L75" s="3" t="n"/>
      <c r="M75" s="3" t="n"/>
      <c r="N75" s="3" t="n"/>
      <c r="O75" s="3" t="n"/>
      <c r="P75" s="3" t="n"/>
      <c r="R75" s="3" t="n">
        <v>4</v>
      </c>
      <c r="S75" s="15" t="n"/>
      <c r="T75" s="16" t="n">
        <v>72</v>
      </c>
      <c r="U75" s="16" t="n">
        <v>432</v>
      </c>
      <c r="W75" s="24" t="n"/>
      <c r="X75" s="24" t="n"/>
      <c r="Y75" s="24" t="n"/>
      <c r="Z75" s="24" t="n"/>
      <c r="AA75" s="24" t="n"/>
      <c r="AB75" s="24" t="n"/>
      <c r="AC75" s="24" t="n"/>
      <c r="AD75" s="24" t="n"/>
      <c r="AE75" s="24" t="n"/>
      <c r="AF75" s="24" t="n"/>
      <c r="AG75" s="24" t="n"/>
      <c r="AH75" s="24" t="n"/>
      <c r="AI75" s="24" t="n"/>
      <c r="AJ75" s="24" t="n"/>
      <c r="AK75" s="24" t="n"/>
      <c r="AL75" s="24" t="n"/>
      <c r="AM75" s="24" t="n"/>
      <c r="AN75" s="24" t="n"/>
      <c r="AO75" s="24" t="n"/>
      <c r="AP75" s="24" t="n"/>
      <c r="AQ75" s="24" t="n"/>
      <c r="AR75" s="24" t="n"/>
      <c r="AS75" s="24" t="n"/>
      <c r="AT75" s="24" t="n"/>
      <c r="AU75" s="24" t="n"/>
      <c r="AV75" s="24" t="n"/>
      <c r="AW75" s="24" t="n"/>
      <c r="AX75" s="24" t="n"/>
      <c r="AY75" s="24" t="n"/>
      <c r="AZ75" s="24" t="n"/>
      <c r="BA75" s="24" t="n"/>
      <c r="BB75" s="24" t="n"/>
      <c r="BC75" s="24" t="n"/>
      <c r="BD75" s="24" t="n"/>
      <c r="BE75" s="24" t="n"/>
      <c r="BF75" s="24" t="n"/>
      <c r="BG75" s="24" t="n"/>
      <c r="BH75" s="24" t="n"/>
      <c r="BI75" s="24" t="n"/>
      <c r="BJ75" s="24" t="n"/>
      <c r="BK75" s="24" t="n"/>
      <c r="BL75" s="24" t="n"/>
      <c r="BM75" s="24" t="n"/>
      <c r="BN75" s="24" t="n"/>
      <c r="BO75" s="24" t="n"/>
      <c r="BP75" s="24" t="n"/>
      <c r="BQ75" s="24" t="n"/>
      <c r="BR75" s="24" t="n"/>
      <c r="BS75" s="24" t="n"/>
      <c r="BT75" s="24" t="n"/>
      <c r="BU75" s="24" t="n"/>
      <c r="BV75" s="24" t="n"/>
      <c r="BW75" s="24" t="n"/>
      <c r="BX75" s="24" t="n"/>
      <c r="BY75" s="24" t="n"/>
      <c r="BZ75" s="24" t="n"/>
      <c r="CA75" s="24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37">
        <f>+SUM(W75:CM75)</f>
        <v/>
      </c>
      <c r="CP75" s="27">
        <f>CN75</f>
        <v/>
      </c>
      <c r="CQ75" s="22" t="n">
        <v>0</v>
      </c>
      <c r="CR75" s="22">
        <f>CP75+CQ75</f>
        <v/>
      </c>
      <c r="CS75" s="42" t="n"/>
      <c r="CT75" s="78" t="n"/>
      <c r="CU75" s="14">
        <f>DD75</f>
        <v/>
      </c>
      <c r="CV75" s="14">
        <f>CU75/2</f>
        <v/>
      </c>
      <c r="CW75" s="14">
        <f>CV75-CP75</f>
        <v/>
      </c>
      <c r="CX75" s="79" t="n"/>
      <c r="CY75" s="17" t="n"/>
      <c r="DD75" s="14">
        <f>SUM(CY75:DC75)</f>
        <v/>
      </c>
    </row>
    <row r="76" ht="15" customHeight="1">
      <c r="A76" s="33" t="inlineStr">
        <is>
          <t>RESTO</t>
        </is>
      </c>
      <c r="B76" s="50" t="inlineStr">
        <is>
          <t>NOGALES</t>
        </is>
      </c>
      <c r="C76" s="47" t="inlineStr">
        <is>
          <t>NOGALES</t>
        </is>
      </c>
      <c r="D76" s="33" t="inlineStr">
        <is>
          <t>IASA</t>
        </is>
      </c>
      <c r="E76" s="13" t="n">
        <v>1066</v>
      </c>
      <c r="F76" s="13" t="n">
        <v>238</v>
      </c>
      <c r="G76" s="13" t="n"/>
      <c r="H76" s="13" t="n"/>
      <c r="I76" s="13" t="n"/>
      <c r="J76" s="13" t="n">
        <v>1304</v>
      </c>
      <c r="L76" s="3" t="n"/>
      <c r="M76" s="3" t="n"/>
      <c r="N76" s="3" t="n"/>
      <c r="O76" s="3" t="n"/>
      <c r="P76" s="3" t="n"/>
      <c r="R76" s="3" t="n">
        <v>4</v>
      </c>
      <c r="S76" s="15" t="n"/>
      <c r="T76" s="16" t="n">
        <v>72</v>
      </c>
      <c r="U76" s="16" t="n">
        <v>432</v>
      </c>
      <c r="W76" s="24" t="n"/>
      <c r="X76" s="24" t="n"/>
      <c r="Y76" s="24" t="n"/>
      <c r="Z76" s="24" t="n"/>
      <c r="AA76" s="24" t="n"/>
      <c r="AB76" s="24" t="n"/>
      <c r="AC76" s="24" t="n"/>
      <c r="AD76" s="24" t="n"/>
      <c r="AE76" s="24" t="n"/>
      <c r="AF76" s="24" t="n"/>
      <c r="AG76" s="24" t="n"/>
      <c r="AH76" s="24" t="n"/>
      <c r="AI76" s="24" t="n"/>
      <c r="AJ76" s="24" t="n"/>
      <c r="AK76" s="24" t="n"/>
      <c r="AL76" s="24" t="n"/>
      <c r="AM76" s="24" t="n"/>
      <c r="AN76" s="24" t="n"/>
      <c r="AO76" s="24" t="n"/>
      <c r="AP76" s="24" t="n"/>
      <c r="AQ76" s="24" t="n"/>
      <c r="AR76" s="24" t="n"/>
      <c r="AS76" s="24" t="n"/>
      <c r="AT76" s="24" t="n"/>
      <c r="AU76" s="24" t="n"/>
      <c r="AV76" s="24" t="n"/>
      <c r="AW76" s="24" t="n"/>
      <c r="AX76" s="24" t="n"/>
      <c r="AY76" s="24" t="n"/>
      <c r="AZ76" s="24" t="n"/>
      <c r="BA76" s="24" t="n"/>
      <c r="BB76" s="24" t="n"/>
      <c r="BC76" s="24" t="n"/>
      <c r="BD76" s="24" t="n"/>
      <c r="BE76" s="24" t="n"/>
      <c r="BF76" s="24" t="n"/>
      <c r="BG76" s="24" t="n"/>
      <c r="BH76" s="24" t="n"/>
      <c r="BI76" s="24" t="n"/>
      <c r="BJ76" s="24" t="n"/>
      <c r="BK76" s="24" t="n"/>
      <c r="BL76" s="24" t="n"/>
      <c r="BM76" s="24" t="n"/>
      <c r="BN76" s="24" t="n"/>
      <c r="BO76" s="24" t="n"/>
      <c r="BP76" s="24" t="n"/>
      <c r="BQ76" s="24" t="n"/>
      <c r="BR76" s="24" t="n"/>
      <c r="BS76" s="24" t="n"/>
      <c r="BT76" s="24" t="n"/>
      <c r="BU76" s="24" t="n"/>
      <c r="BV76" s="24" t="n"/>
      <c r="BW76" s="24" t="n"/>
      <c r="BX76" s="24" t="n"/>
      <c r="BY76" s="24" t="n"/>
      <c r="BZ76" s="24" t="n"/>
      <c r="CA76" s="24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37">
        <f>+SUM(W76:CM76)</f>
        <v/>
      </c>
      <c r="CP76" s="27">
        <f>CN76</f>
        <v/>
      </c>
      <c r="CQ76" s="22" t="n">
        <v>0</v>
      </c>
      <c r="CR76" s="22">
        <f>CP76+CQ76</f>
        <v/>
      </c>
      <c r="CS76" s="42" t="n"/>
      <c r="CT76" s="78" t="n"/>
      <c r="CU76" s="14">
        <f>DD76</f>
        <v/>
      </c>
      <c r="CV76" s="14">
        <f>CU76/2</f>
        <v/>
      </c>
      <c r="CW76" s="14">
        <f>CV76-CP76</f>
        <v/>
      </c>
      <c r="CX76" s="79" t="n"/>
      <c r="CY76" s="17" t="n"/>
      <c r="DD76" s="14">
        <f>SUM(CY76:DC76)</f>
        <v/>
      </c>
    </row>
    <row r="77" ht="15" customHeight="1">
      <c r="A77" s="33" t="inlineStr">
        <is>
          <t>RESTO</t>
        </is>
      </c>
      <c r="B77" s="50" t="inlineStr">
        <is>
          <t>POZA RICA</t>
        </is>
      </c>
      <c r="C77" s="47" t="inlineStr">
        <is>
          <t>POZA RICA</t>
        </is>
      </c>
      <c r="D77" s="33" t="inlineStr">
        <is>
          <t>EULEN</t>
        </is>
      </c>
      <c r="E77" s="13" t="n">
        <v>825</v>
      </c>
      <c r="F77" s="13" t="n">
        <v>5</v>
      </c>
      <c r="G77" s="13" t="n"/>
      <c r="H77" s="13" t="n"/>
      <c r="I77" s="13" t="n"/>
      <c r="J77" s="13" t="n">
        <v>830</v>
      </c>
      <c r="L77" s="3" t="n"/>
      <c r="M77" s="3" t="n"/>
      <c r="N77" s="3" t="n"/>
      <c r="O77" s="3" t="n"/>
      <c r="P77" s="3" t="n"/>
      <c r="R77" s="3" t="n">
        <v>2</v>
      </c>
      <c r="S77" s="15" t="n"/>
      <c r="T77" s="16" t="n">
        <v>36</v>
      </c>
      <c r="U77" s="16" t="n">
        <v>216</v>
      </c>
      <c r="W77" s="24" t="n"/>
      <c r="X77" s="24" t="n"/>
      <c r="Y77" s="24" t="n"/>
      <c r="Z77" s="24" t="n"/>
      <c r="AA77" s="24" t="n"/>
      <c r="AB77" s="24" t="n"/>
      <c r="AC77" s="24" t="n"/>
      <c r="AD77" s="24" t="n"/>
      <c r="AE77" s="24" t="n"/>
      <c r="AF77" s="24" t="n"/>
      <c r="AG77" s="24" t="n"/>
      <c r="AH77" s="24" t="n"/>
      <c r="AI77" s="24" t="n"/>
      <c r="AJ77" s="24" t="n"/>
      <c r="AK77" s="24" t="n"/>
      <c r="AL77" s="24" t="n"/>
      <c r="AM77" s="24" t="n"/>
      <c r="AN77" s="24" t="n"/>
      <c r="AO77" s="24" t="n"/>
      <c r="AP77" s="24" t="n"/>
      <c r="AQ77" s="24" t="n"/>
      <c r="AR77" s="24" t="n"/>
      <c r="AS77" s="24" t="n"/>
      <c r="AT77" s="24" t="n"/>
      <c r="AU77" s="24" t="n"/>
      <c r="AV77" s="24" t="n"/>
      <c r="AW77" s="24" t="n"/>
      <c r="AX77" s="24" t="n"/>
      <c r="AY77" s="24" t="n"/>
      <c r="AZ77" s="24" t="n"/>
      <c r="BA77" s="24" t="n"/>
      <c r="BB77" s="24" t="n"/>
      <c r="BC77" s="24" t="n"/>
      <c r="BD77" s="24" t="n"/>
      <c r="BE77" s="24" t="n"/>
      <c r="BF77" s="24" t="n"/>
      <c r="BG77" s="24" t="n"/>
      <c r="BH77" s="24" t="n"/>
      <c r="BI77" s="24" t="n"/>
      <c r="BJ77" s="24" t="n"/>
      <c r="BK77" s="24" t="n"/>
      <c r="BL77" s="24" t="n"/>
      <c r="BM77" s="24" t="n"/>
      <c r="BN77" s="24" t="n"/>
      <c r="BO77" s="24" t="n"/>
      <c r="BP77" s="24" t="n"/>
      <c r="BQ77" s="24" t="n"/>
      <c r="BR77" s="24" t="n"/>
      <c r="BS77" s="24" t="n"/>
      <c r="BT77" s="24" t="n"/>
      <c r="BU77" s="24" t="n"/>
      <c r="BV77" s="24" t="n"/>
      <c r="BW77" s="24" t="n"/>
      <c r="BX77" s="24" t="n"/>
      <c r="BY77" s="24" t="n"/>
      <c r="BZ77" s="24" t="n"/>
      <c r="CA77" s="24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37">
        <f>+SUM(W77:CM77)</f>
        <v/>
      </c>
      <c r="CP77" s="27">
        <f>CN77</f>
        <v/>
      </c>
      <c r="CQ77" s="22" t="n">
        <v>0</v>
      </c>
      <c r="CR77" s="22">
        <f>CP77+CQ77</f>
        <v/>
      </c>
      <c r="CS77" s="42" t="n"/>
      <c r="CT77" s="78" t="n"/>
      <c r="CU77" s="14">
        <f>DD77</f>
        <v/>
      </c>
      <c r="CV77" s="14">
        <f>CU77/2</f>
        <v/>
      </c>
      <c r="CW77" s="14">
        <f>CV77-CP77</f>
        <v/>
      </c>
      <c r="CX77" s="79" t="n"/>
      <c r="CY77" s="17" t="n"/>
      <c r="DD77" s="14">
        <f>SUM(CY77:DC77)</f>
        <v/>
      </c>
    </row>
    <row r="78" ht="15.75" customHeight="1" thickBot="1">
      <c r="A78" s="33" t="inlineStr">
        <is>
          <t>RESTO</t>
        </is>
      </c>
      <c r="B78" s="50" t="inlineStr">
        <is>
          <t>SABINAS</t>
        </is>
      </c>
      <c r="C78" s="47" t="inlineStr">
        <is>
          <t>SABINAS</t>
        </is>
      </c>
      <c r="D78" s="33" t="inlineStr">
        <is>
          <t>EULEN</t>
        </is>
      </c>
      <c r="E78" s="13" t="n">
        <v>82</v>
      </c>
      <c r="F78" s="13" t="n"/>
      <c r="G78" s="13" t="n"/>
      <c r="H78" s="13" t="n"/>
      <c r="I78" s="13" t="n"/>
      <c r="J78" s="13" t="n">
        <v>82</v>
      </c>
      <c r="L78" s="3" t="n"/>
      <c r="M78" s="3" t="n"/>
      <c r="N78" s="3" t="n"/>
      <c r="O78" s="3" t="n"/>
      <c r="P78" s="3" t="n"/>
      <c r="R78" s="3" t="n">
        <v>1</v>
      </c>
      <c r="S78" s="15" t="n"/>
      <c r="T78" s="16" t="n">
        <v>18</v>
      </c>
      <c r="U78" s="16" t="n">
        <v>108</v>
      </c>
      <c r="W78" s="24" t="n"/>
      <c r="X78" s="24" t="n"/>
      <c r="Y78" s="24" t="n"/>
      <c r="Z78" s="24" t="n"/>
      <c r="AA78" s="24" t="n"/>
      <c r="AB78" s="24" t="n"/>
      <c r="AC78" s="24" t="n"/>
      <c r="AD78" s="24" t="n"/>
      <c r="AE78" s="24" t="n"/>
      <c r="AF78" s="24" t="n"/>
      <c r="AG78" s="24" t="n"/>
      <c r="AH78" s="24" t="n"/>
      <c r="AI78" s="24" t="n"/>
      <c r="AJ78" s="24" t="n"/>
      <c r="AK78" s="24" t="n"/>
      <c r="AL78" s="24" t="n"/>
      <c r="AM78" s="24" t="n"/>
      <c r="AN78" s="24" t="n"/>
      <c r="AO78" s="24" t="n"/>
      <c r="AP78" s="24" t="n"/>
      <c r="AQ78" s="24" t="n"/>
      <c r="AR78" s="24" t="n"/>
      <c r="AS78" s="24" t="n"/>
      <c r="AT78" s="24" t="n"/>
      <c r="AU78" s="24" t="n"/>
      <c r="AV78" s="24" t="n"/>
      <c r="AW78" s="24" t="n"/>
      <c r="AX78" s="24" t="n"/>
      <c r="AY78" s="24" t="n"/>
      <c r="AZ78" s="24" t="n"/>
      <c r="BA78" s="24" t="n"/>
      <c r="BB78" s="24" t="n"/>
      <c r="BC78" s="24" t="n"/>
      <c r="BD78" s="24" t="n"/>
      <c r="BE78" s="24" t="n"/>
      <c r="BF78" s="24" t="n"/>
      <c r="BG78" s="24" t="n"/>
      <c r="BH78" s="24" t="n"/>
      <c r="BI78" s="24" t="n"/>
      <c r="BJ78" s="24" t="n"/>
      <c r="BK78" s="24" t="n"/>
      <c r="BL78" s="24" t="n"/>
      <c r="BM78" s="24" t="n"/>
      <c r="BN78" s="24" t="n"/>
      <c r="BO78" s="24" t="n"/>
      <c r="BP78" s="24" t="n"/>
      <c r="BQ78" s="24" t="n"/>
      <c r="BR78" s="24" t="n"/>
      <c r="BS78" s="24" t="n"/>
      <c r="BT78" s="24" t="n"/>
      <c r="BU78" s="24" t="n"/>
      <c r="BV78" s="24" t="n"/>
      <c r="BW78" s="24" t="n"/>
      <c r="BX78" s="24" t="n"/>
      <c r="BY78" s="24" t="n"/>
      <c r="BZ78" s="24" t="n"/>
      <c r="CA78" s="24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37">
        <f>+SUM(W78:CM78)</f>
        <v/>
      </c>
      <c r="CP78" s="27">
        <f>CN78</f>
        <v/>
      </c>
      <c r="CQ78" s="22" t="n">
        <v>0</v>
      </c>
      <c r="CR78" s="22">
        <f>CP78+CQ78</f>
        <v/>
      </c>
      <c r="CS78" s="22" t="n"/>
      <c r="CT78" s="22" t="n"/>
      <c r="CU78" s="14">
        <f>DD78</f>
        <v/>
      </c>
      <c r="CV78" s="14">
        <f>CU78/2</f>
        <v/>
      </c>
      <c r="CW78" s="14">
        <f>CV78-CP78</f>
        <v/>
      </c>
      <c r="CX78" s="79" t="n"/>
      <c r="CY78" s="17" t="n"/>
      <c r="DD78" s="14">
        <f>SUM(CY78:DC78)</f>
        <v/>
      </c>
    </row>
    <row r="79" ht="15.75" customHeight="1" thickTop="1">
      <c r="A79" s="18" t="n"/>
      <c r="B79" s="18" t="inlineStr">
        <is>
          <t>Total general</t>
        </is>
      </c>
      <c r="C79" s="18" t="n"/>
      <c r="D79" s="18" t="n"/>
      <c r="E79" s="19" t="n">
        <v>51364</v>
      </c>
      <c r="F79" s="19" t="n">
        <v>12083</v>
      </c>
      <c r="G79" s="19" t="n">
        <v>157</v>
      </c>
      <c r="H79" s="19" t="n">
        <v>138</v>
      </c>
      <c r="I79" s="19" t="n">
        <v>3</v>
      </c>
      <c r="J79" s="19" t="n">
        <v>63745</v>
      </c>
      <c r="L79" s="20" t="n">
        <v>0</v>
      </c>
      <c r="M79" s="20" t="n">
        <v>0</v>
      </c>
      <c r="N79" s="20" t="n">
        <v>0</v>
      </c>
      <c r="O79" s="20" t="n">
        <v>0</v>
      </c>
      <c r="P79" s="20" t="n">
        <v>0</v>
      </c>
      <c r="R79" s="20" t="n">
        <v>181</v>
      </c>
      <c r="T79" s="19" t="n">
        <v>3258</v>
      </c>
      <c r="U79" s="19" t="n">
        <v>19548</v>
      </c>
      <c r="W79" s="25">
        <f>+SUM(W14:W78)</f>
        <v/>
      </c>
      <c r="X79" s="25">
        <f>+SUM(X14:X78)</f>
        <v/>
      </c>
      <c r="Y79" s="25">
        <f>+SUM(Y14:Y78)</f>
        <v/>
      </c>
      <c r="Z79" s="25">
        <f>+SUM(Z14:Z78)</f>
        <v/>
      </c>
      <c r="AA79" s="25">
        <f>+SUM(AA14:AA78)</f>
        <v/>
      </c>
      <c r="AB79" s="25">
        <f>+SUM(AB14:AB78)</f>
        <v/>
      </c>
      <c r="AC79" s="25">
        <f>+SUM(AC14:AC78)</f>
        <v/>
      </c>
      <c r="AD79" s="25">
        <f>+SUM(AD14:AD78)</f>
        <v/>
      </c>
      <c r="AE79" s="25">
        <f>+SUM(AE14:AE78)</f>
        <v/>
      </c>
      <c r="AF79" s="25">
        <f>+SUM(AF14:AF78)</f>
        <v/>
      </c>
      <c r="AG79" s="25">
        <f>+SUM(AG14:AG78)</f>
        <v/>
      </c>
      <c r="AH79" s="25">
        <f>+SUM(AH14:AH78)</f>
        <v/>
      </c>
      <c r="AI79" s="25">
        <f>+SUM(AI14:AI78)</f>
        <v/>
      </c>
      <c r="AJ79" s="25">
        <f>+SUM(AJ14:AJ78)</f>
        <v/>
      </c>
      <c r="AK79" s="25">
        <f>+SUM(AK14:AK78)</f>
        <v/>
      </c>
      <c r="AL79" s="25">
        <f>+SUM(AL14:AL78)</f>
        <v/>
      </c>
      <c r="AM79" s="25">
        <f>+SUM(AM14:AM78)</f>
        <v/>
      </c>
      <c r="AN79" s="25">
        <f>+SUM(AN14:AN78)</f>
        <v/>
      </c>
      <c r="AO79" s="25">
        <f>+SUM(AO14:AO78)</f>
        <v/>
      </c>
      <c r="AP79" s="25">
        <f>+SUM(AP14:AP78)</f>
        <v/>
      </c>
      <c r="AQ79" s="25">
        <f>+SUM(AQ14:AQ78)</f>
        <v/>
      </c>
      <c r="AR79" s="25">
        <f>+SUM(AR14:AR78)</f>
        <v/>
      </c>
      <c r="AS79" s="25">
        <f>+SUM(AS14:AS78)</f>
        <v/>
      </c>
      <c r="AT79" s="25">
        <f>+SUM(AT14:AT78)</f>
        <v/>
      </c>
      <c r="AU79" s="25">
        <f>+SUM(AU14:AU78)</f>
        <v/>
      </c>
      <c r="AV79" s="25">
        <f>+SUM(AV14:AV78)</f>
        <v/>
      </c>
      <c r="AW79" s="25">
        <f>+SUM(AW14:AW78)</f>
        <v/>
      </c>
      <c r="AX79" s="25">
        <f>+SUM(AX14:AX78)</f>
        <v/>
      </c>
      <c r="AY79" s="25">
        <f>+SUM(AY14:AY78)</f>
        <v/>
      </c>
      <c r="AZ79" s="25">
        <f>+SUM(AZ14:AZ78)</f>
        <v/>
      </c>
      <c r="BA79" s="25">
        <f>+SUM(BA14:BA78)</f>
        <v/>
      </c>
      <c r="BB79" s="25">
        <f>+SUM(BB14:BB78)</f>
        <v/>
      </c>
      <c r="BC79" s="25">
        <f>+SUM(BC14:BC78)</f>
        <v/>
      </c>
      <c r="BD79" s="25">
        <f>+SUM(BD14:BD78)</f>
        <v/>
      </c>
      <c r="BE79" s="25">
        <f>+SUM(BE14:BE78)</f>
        <v/>
      </c>
      <c r="BF79" s="25">
        <f>+SUM(BF14:BF78)</f>
        <v/>
      </c>
      <c r="BG79" s="25">
        <f>+SUM(BG14:BG78)</f>
        <v/>
      </c>
      <c r="BH79" s="25">
        <f>+SUM(BH14:BH78)</f>
        <v/>
      </c>
      <c r="BI79" s="25">
        <f>+SUM(BI14:BI78)</f>
        <v/>
      </c>
      <c r="BJ79" s="25">
        <f>+SUM(BJ14:BJ78)</f>
        <v/>
      </c>
      <c r="BK79" s="25">
        <f>+SUM(BK14:BK78)</f>
        <v/>
      </c>
      <c r="BL79" s="25">
        <f>+SUM(BL14:BL78)</f>
        <v/>
      </c>
      <c r="BM79" s="25">
        <f>+SUM(BM14:BM78)</f>
        <v/>
      </c>
      <c r="BN79" s="25">
        <f>+SUM(BN14:BN78)</f>
        <v/>
      </c>
      <c r="BO79" s="25">
        <f>+SUM(BO14:BO78)</f>
        <v/>
      </c>
      <c r="BP79" s="25">
        <f>+SUM(BP14:BP78)</f>
        <v/>
      </c>
      <c r="BQ79" s="25">
        <f>+SUM(BQ14:BQ78)</f>
        <v/>
      </c>
      <c r="BR79" s="25">
        <f>+SUM(BR14:BR78)</f>
        <v/>
      </c>
      <c r="BS79" s="25">
        <f>+SUM(BS14:BS78)</f>
        <v/>
      </c>
      <c r="BT79" s="25">
        <f>+SUM(BT14:BT78)</f>
        <v/>
      </c>
      <c r="BU79" s="25">
        <f>+SUM(BU14:BU78)</f>
        <v/>
      </c>
      <c r="BV79" s="25">
        <f>+SUM(BV14:BV78)</f>
        <v/>
      </c>
      <c r="BW79" s="25">
        <f>+SUM(BW14:BW78)</f>
        <v/>
      </c>
      <c r="BX79" s="25">
        <f>+SUM(BX14:BX78)</f>
        <v/>
      </c>
      <c r="BY79" s="25">
        <f>+SUM(BY14:BY78)</f>
        <v/>
      </c>
      <c r="BZ79" s="25">
        <f>+SUM(BZ14:BZ78)</f>
        <v/>
      </c>
      <c r="CA79" s="25">
        <f>+SUM(CA14:CA78)</f>
        <v/>
      </c>
      <c r="CB79" s="25">
        <f>+SUM(CB14:CB78)</f>
        <v/>
      </c>
      <c r="CC79" s="25">
        <f>+SUM(CC14:CC78)</f>
        <v/>
      </c>
      <c r="CD79" s="25">
        <f>+SUM(CD14:CD78)</f>
        <v/>
      </c>
      <c r="CE79" s="25">
        <f>+SUM(CE14:CE78)</f>
        <v/>
      </c>
      <c r="CF79" s="25">
        <f>+SUM(CF14:CF78)</f>
        <v/>
      </c>
      <c r="CG79" s="25">
        <f>+SUM(CG14:CG78)</f>
        <v/>
      </c>
      <c r="CH79" s="25">
        <f>+SUM(CH14:CH78)</f>
        <v/>
      </c>
      <c r="CI79" s="25">
        <f>+SUM(CI14:CI78)</f>
        <v/>
      </c>
      <c r="CJ79" s="25">
        <f>+SUM(CJ14:CJ78)</f>
        <v/>
      </c>
      <c r="CK79" s="25">
        <f>+SUM(CK14:CK78)</f>
        <v/>
      </c>
      <c r="CL79" s="25">
        <f>+SUM(CL14:CL78)</f>
        <v/>
      </c>
      <c r="CM79" s="25">
        <f>+SUM(CM14:CM78)</f>
        <v/>
      </c>
      <c r="CN79" s="25">
        <f>+SUM(CN14:CN78)</f>
        <v/>
      </c>
      <c r="CP79" s="25">
        <f>+SUM(CP14:CP78)</f>
        <v/>
      </c>
      <c r="CQ79" s="25">
        <f>+SUM(CQ14:CQ78)</f>
        <v/>
      </c>
      <c r="CR79" s="25">
        <f>+SUM(CR14:CR78)</f>
        <v/>
      </c>
      <c r="CS79" s="25" t="n"/>
      <c r="CT79" s="25" t="n"/>
      <c r="CU79" s="25">
        <f>+SUM(CU14:CU78)</f>
        <v/>
      </c>
      <c r="CV79" s="25">
        <f>+SUM(CV14:CV78)</f>
        <v/>
      </c>
      <c r="CW79" s="25">
        <f>+SUM(CW14:CW78)</f>
        <v/>
      </c>
    </row>
    <row r="80" hidden="1">
      <c r="E80" s="21" t="n"/>
      <c r="F80" s="21" t="n"/>
      <c r="G80" s="21" t="n"/>
      <c r="H80" s="21" t="n"/>
      <c r="I80" s="21" t="n"/>
      <c r="J80" s="21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  <c r="CL80" s="17" t="n"/>
      <c r="CM80" s="17" t="n"/>
    </row>
    <row r="81" hidden="1">
      <c r="B81" s="53" t="inlineStr">
        <is>
          <t>TELNOR</t>
        </is>
      </c>
      <c r="C81" s="54" t="n"/>
      <c r="D81" s="54" t="n"/>
      <c r="E81" s="54" t="n"/>
      <c r="F81" s="54" t="n"/>
      <c r="G81" s="54" t="n"/>
      <c r="H81" s="54" t="n"/>
      <c r="I81" s="54" t="n"/>
      <c r="J81" s="54" t="n"/>
      <c r="L81" s="52" t="n"/>
      <c r="M81" s="52" t="n"/>
      <c r="N81" s="52" t="n"/>
      <c r="O81" s="52" t="n"/>
      <c r="P81" s="52" t="n"/>
      <c r="R81" s="55" t="n"/>
      <c r="T81" s="52" t="n"/>
      <c r="U81" s="52" t="n"/>
      <c r="W81" s="30" t="n"/>
      <c r="X81" s="30" t="n"/>
      <c r="Y81" s="30" t="n"/>
      <c r="Z81" s="30" t="n"/>
      <c r="AA81" s="30" t="n"/>
      <c r="AB81" s="30" t="n"/>
      <c r="AC81" s="30" t="n"/>
      <c r="AD81" s="30" t="n"/>
      <c r="AE81" s="30" t="n"/>
      <c r="AF81" s="30" t="n"/>
      <c r="AG81" s="30" t="n"/>
      <c r="AH81" s="30" t="n"/>
      <c r="AI81" s="30" t="n"/>
      <c r="AJ81" s="30" t="n"/>
      <c r="AK81" s="30" t="n"/>
      <c r="AL81" s="30" t="n"/>
      <c r="AM81" s="30" t="n"/>
      <c r="AN81" s="30" t="n"/>
      <c r="AO81" s="30" t="n"/>
      <c r="AP81" s="30" t="n"/>
      <c r="AQ81" s="30" t="n"/>
      <c r="AR81" s="30" t="n"/>
      <c r="AS81" s="30" t="n"/>
      <c r="AT81" s="30" t="n"/>
      <c r="AU81" s="30" t="n"/>
      <c r="AV81" s="30" t="n"/>
      <c r="AW81" s="30" t="n"/>
      <c r="AX81" s="30" t="n"/>
      <c r="AY81" s="30" t="n"/>
      <c r="AZ81" s="30" t="n"/>
      <c r="BA81" s="30" t="n"/>
      <c r="BB81" s="30" t="n"/>
      <c r="BC81" s="30" t="n"/>
      <c r="BD81" s="30" t="n"/>
      <c r="BE81" s="30" t="n"/>
      <c r="BF81" s="30" t="n"/>
      <c r="BG81" s="30" t="n"/>
      <c r="BH81" s="30" t="n"/>
      <c r="BI81" s="30" t="n"/>
      <c r="BJ81" s="30" t="n"/>
      <c r="BK81" s="30" t="n"/>
      <c r="BL81" s="30" t="n"/>
      <c r="BM81" s="30" t="n"/>
      <c r="BN81" s="30" t="n"/>
      <c r="BO81" s="30" t="n"/>
      <c r="BP81" s="30" t="n"/>
      <c r="BQ81" s="30" t="n"/>
      <c r="BR81" s="30" t="n"/>
      <c r="BS81" s="30" t="n"/>
      <c r="BT81" s="30" t="n"/>
      <c r="BU81" s="30" t="n"/>
      <c r="BV81" s="30" t="n"/>
      <c r="BW81" s="30" t="n"/>
      <c r="BX81" s="30" t="n"/>
      <c r="BY81" s="30" t="n"/>
      <c r="BZ81" s="30" t="n"/>
      <c r="CA81" s="30" t="n"/>
      <c r="CB81" s="30" t="n"/>
      <c r="CC81" s="30" t="n"/>
      <c r="CD81" s="30" t="n"/>
      <c r="CE81" s="30" t="n"/>
      <c r="CF81" s="30" t="n"/>
      <c r="CG81" s="30" t="n"/>
      <c r="CH81" s="30" t="n"/>
      <c r="CI81" s="30" t="n"/>
      <c r="CJ81" s="30" t="n"/>
      <c r="CK81" s="30" t="n"/>
      <c r="CL81" s="30" t="n"/>
      <c r="CM81" s="30" t="n"/>
      <c r="CN81" s="53" t="inlineStr">
        <is>
          <t>TELNOR</t>
        </is>
      </c>
      <c r="CP81" s="53" t="n"/>
      <c r="CQ81" s="53" t="n"/>
      <c r="CR81" s="53" t="n"/>
    </row>
    <row r="82" hidden="1">
      <c r="A82" s="33" t="n"/>
      <c r="B82" s="50" t="inlineStr">
        <is>
          <t>ENSENADA</t>
        </is>
      </c>
      <c r="C82" s="47" t="inlineStr">
        <is>
          <t>ENSENADA</t>
        </is>
      </c>
      <c r="D82" s="33" t="inlineStr">
        <is>
          <t>EULEN TELNOR</t>
        </is>
      </c>
      <c r="E82" s="13" t="n"/>
      <c r="F82" s="13" t="n"/>
      <c r="G82" s="13" t="n"/>
      <c r="H82" s="13" t="n"/>
      <c r="I82" s="13" t="n"/>
      <c r="J82" s="13" t="n">
        <v>1809</v>
      </c>
      <c r="L82" s="3" t="n"/>
      <c r="M82" s="3" t="n"/>
      <c r="N82" s="3" t="n"/>
      <c r="O82" s="3" t="n"/>
      <c r="P82" s="3" t="n"/>
      <c r="R82" s="3" t="n">
        <v>5</v>
      </c>
      <c r="T82" s="16" t="n">
        <v>90</v>
      </c>
      <c r="U82" s="16" t="n">
        <v>540</v>
      </c>
      <c r="W82" s="24" t="n"/>
      <c r="X82" s="24" t="n"/>
      <c r="Y82" s="24" t="n"/>
      <c r="Z82" s="24" t="n"/>
      <c r="AA82" s="24" t="n"/>
      <c r="AB82" s="24" t="n"/>
      <c r="AC82" s="24" t="n"/>
      <c r="AD82" s="24" t="n"/>
      <c r="AE82" s="24" t="n"/>
      <c r="AF82" s="24" t="n"/>
      <c r="AG82" s="24" t="n"/>
      <c r="AH82" s="24" t="n"/>
      <c r="AI82" s="24" t="n"/>
      <c r="AJ82" s="24" t="n"/>
      <c r="AK82" s="24" t="n"/>
      <c r="AL82" s="24" t="n"/>
      <c r="AM82" s="24" t="n"/>
      <c r="AN82" s="24" t="n"/>
      <c r="AO82" s="24" t="n"/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n"/>
      <c r="AY82" s="24" t="n"/>
      <c r="AZ82" s="24" t="n"/>
      <c r="BA82" s="24" t="n"/>
      <c r="BB82" s="24" t="n"/>
      <c r="BC82" s="24" t="n"/>
      <c r="BD82" s="24" t="n"/>
      <c r="BE82" s="24" t="n"/>
      <c r="BF82" s="24" t="n"/>
      <c r="BG82" s="24" t="n"/>
      <c r="BH82" s="24" t="n"/>
      <c r="BI82" s="24" t="n"/>
      <c r="BJ82" s="24" t="n"/>
      <c r="BK82" s="24" t="n"/>
      <c r="BL82" s="24" t="n"/>
      <c r="BM82" s="24" t="n"/>
      <c r="BN82" s="24" t="n"/>
      <c r="BO82" s="24" t="n"/>
      <c r="BP82" s="24" t="n"/>
      <c r="BQ82" s="24" t="n"/>
      <c r="BR82" s="24" t="n"/>
      <c r="BS82" s="24" t="n"/>
      <c r="BT82" s="24" t="n"/>
      <c r="BU82" s="24" t="n"/>
      <c r="BV82" s="24" t="n"/>
      <c r="BW82" s="24" t="n"/>
      <c r="BX82" s="24" t="n"/>
      <c r="BY82" s="24" t="n"/>
      <c r="BZ82" s="24" t="n"/>
      <c r="CA82" s="24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37">
        <f>+SUM(W82:CM82)</f>
        <v/>
      </c>
      <c r="CP82" s="27" t="n">
        <v>0</v>
      </c>
      <c r="CQ82" s="22" t="n">
        <v>0</v>
      </c>
      <c r="CR82" s="22" t="n">
        <v>0</v>
      </c>
      <c r="CS82" s="42" t="n"/>
      <c r="CT82" s="78" t="n"/>
      <c r="CU82" s="14" t="n"/>
      <c r="CV82" s="14" t="n"/>
      <c r="CW82" s="14" t="n"/>
    </row>
    <row r="83" hidden="1">
      <c r="A83" s="33" t="n"/>
      <c r="B83" s="50" t="inlineStr">
        <is>
          <t>MEXICALI</t>
        </is>
      </c>
      <c r="C83" s="47" t="inlineStr">
        <is>
          <t>MEXICALI</t>
        </is>
      </c>
      <c r="D83" s="33" t="inlineStr">
        <is>
          <t>SMARTWORKS</t>
        </is>
      </c>
      <c r="E83" s="13" t="n"/>
      <c r="F83" s="13" t="n"/>
      <c r="G83" s="13" t="n"/>
      <c r="H83" s="13" t="n"/>
      <c r="I83" s="13" t="n"/>
      <c r="J83" s="13" t="n">
        <v>1493</v>
      </c>
      <c r="L83" s="3" t="n"/>
      <c r="M83" s="3" t="n"/>
      <c r="N83" s="3" t="n"/>
      <c r="O83" s="3" t="n"/>
      <c r="P83" s="3" t="n"/>
      <c r="R83" s="3" t="n">
        <v>4</v>
      </c>
      <c r="S83" s="15" t="n"/>
      <c r="T83" s="16" t="n">
        <v>72</v>
      </c>
      <c r="U83" s="16" t="n">
        <v>432</v>
      </c>
      <c r="W83" s="24" t="n"/>
      <c r="X83" s="24" t="n"/>
      <c r="Y83" s="24" t="n"/>
      <c r="Z83" s="24" t="n"/>
      <c r="AA83" s="24" t="n"/>
      <c r="AB83" s="24" t="n"/>
      <c r="AC83" s="24" t="n"/>
      <c r="AD83" s="24" t="n"/>
      <c r="AE83" s="24" t="n"/>
      <c r="AF83" s="24" t="n"/>
      <c r="AG83" s="24" t="n"/>
      <c r="AH83" s="24" t="n"/>
      <c r="AI83" s="24" t="n"/>
      <c r="AJ83" s="24" t="n"/>
      <c r="AK83" s="24" t="n"/>
      <c r="AL83" s="24" t="n"/>
      <c r="AM83" s="24" t="n"/>
      <c r="AN83" s="24" t="n"/>
      <c r="AO83" s="24" t="n"/>
      <c r="AP83" s="24" t="n"/>
      <c r="AQ83" s="24" t="n"/>
      <c r="AR83" s="24" t="n"/>
      <c r="AS83" s="24" t="n"/>
      <c r="AT83" s="24" t="n"/>
      <c r="AU83" s="24" t="n"/>
      <c r="AV83" s="24" t="n"/>
      <c r="AW83" s="24" t="n"/>
      <c r="AX83" s="24" t="n"/>
      <c r="AY83" s="24" t="n"/>
      <c r="AZ83" s="24" t="n"/>
      <c r="BA83" s="24" t="n"/>
      <c r="BB83" s="24" t="n"/>
      <c r="BC83" s="24" t="n"/>
      <c r="BD83" s="24" t="n"/>
      <c r="BE83" s="24" t="n"/>
      <c r="BF83" s="24" t="n"/>
      <c r="BG83" s="24" t="n"/>
      <c r="BH83" s="24" t="n"/>
      <c r="BI83" s="24" t="n"/>
      <c r="BJ83" s="24" t="n"/>
      <c r="BK83" s="24" t="n"/>
      <c r="BL83" s="24" t="n"/>
      <c r="BM83" s="24" t="n"/>
      <c r="BN83" s="24" t="n"/>
      <c r="BO83" s="24" t="n"/>
      <c r="BP83" s="24" t="n"/>
      <c r="BQ83" s="24" t="n"/>
      <c r="BR83" s="24" t="n"/>
      <c r="BS83" s="24" t="n"/>
      <c r="BT83" s="24" t="n"/>
      <c r="BU83" s="24" t="n"/>
      <c r="BV83" s="24" t="n"/>
      <c r="BW83" s="24" t="n"/>
      <c r="BX83" s="24" t="n"/>
      <c r="BY83" s="24" t="n"/>
      <c r="BZ83" s="24" t="n"/>
      <c r="CA83" s="24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37">
        <f>+SUM(W83:CM83)</f>
        <v/>
      </c>
      <c r="CP83" s="27" t="n">
        <v>0</v>
      </c>
      <c r="CQ83" s="22" t="n">
        <v>0</v>
      </c>
      <c r="CR83" s="22" t="n">
        <v>0</v>
      </c>
      <c r="CS83" s="42" t="n"/>
      <c r="CT83" s="78" t="n"/>
      <c r="CU83" s="14" t="n"/>
      <c r="CV83" s="14" t="n"/>
      <c r="CW83" s="14" t="n"/>
    </row>
    <row r="84" hidden="1">
      <c r="A84" s="33" t="n"/>
      <c r="B84" s="50" t="inlineStr">
        <is>
          <t>TIJUANA</t>
        </is>
      </c>
      <c r="C84" s="47" t="inlineStr">
        <is>
          <t>TIJUANA</t>
        </is>
      </c>
      <c r="D84" s="33" t="inlineStr">
        <is>
          <t>EULEN TELNOR</t>
        </is>
      </c>
      <c r="E84" s="13" t="n"/>
      <c r="F84" s="13" t="n"/>
      <c r="G84" s="13" t="n"/>
      <c r="H84" s="13" t="n"/>
      <c r="I84" s="13" t="n"/>
      <c r="J84" s="13" t="n">
        <v>2763</v>
      </c>
      <c r="L84" s="3" t="n"/>
      <c r="M84" s="3" t="n"/>
      <c r="N84" s="3" t="n"/>
      <c r="O84" s="3" t="n"/>
      <c r="P84" s="3" t="n"/>
      <c r="R84" s="3" t="n">
        <v>7</v>
      </c>
      <c r="S84" s="15" t="n"/>
      <c r="T84" s="16" t="n">
        <v>126</v>
      </c>
      <c r="U84" s="16" t="n">
        <v>756</v>
      </c>
      <c r="W84" s="24" t="n"/>
      <c r="X84" s="24" t="n"/>
      <c r="Y84" s="24" t="n"/>
      <c r="Z84" s="24" t="n"/>
      <c r="AA84" s="24" t="n"/>
      <c r="AB84" s="24" t="n"/>
      <c r="AC84" s="24" t="n"/>
      <c r="AD84" s="24" t="n"/>
      <c r="AE84" s="24" t="n"/>
      <c r="AF84" s="24" t="n"/>
      <c r="AG84" s="24" t="n"/>
      <c r="AH84" s="24" t="n"/>
      <c r="AI84" s="24" t="n"/>
      <c r="AJ84" s="24" t="n"/>
      <c r="AK84" s="24" t="n"/>
      <c r="AL84" s="24" t="n"/>
      <c r="AM84" s="24" t="n"/>
      <c r="AN84" s="24" t="n"/>
      <c r="AO84" s="24" t="n"/>
      <c r="AP84" s="24" t="n"/>
      <c r="AQ84" s="24" t="n"/>
      <c r="AR84" s="24" t="n"/>
      <c r="AS84" s="24" t="n"/>
      <c r="AT84" s="24" t="n"/>
      <c r="AU84" s="24" t="n"/>
      <c r="AV84" s="24" t="n"/>
      <c r="AW84" s="24" t="n"/>
      <c r="AX84" s="24" t="n"/>
      <c r="AY84" s="24" t="n"/>
      <c r="AZ84" s="24" t="n"/>
      <c r="BA84" s="24" t="n"/>
      <c r="BB84" s="24" t="n"/>
      <c r="BC84" s="24" t="n"/>
      <c r="BD84" s="24" t="n"/>
      <c r="BE84" s="24" t="n"/>
      <c r="BF84" s="24" t="n"/>
      <c r="BG84" s="24" t="n"/>
      <c r="BH84" s="24" t="n"/>
      <c r="BI84" s="24" t="n"/>
      <c r="BJ84" s="24" t="n"/>
      <c r="BK84" s="24" t="n"/>
      <c r="BL84" s="24" t="n"/>
      <c r="BM84" s="24" t="n"/>
      <c r="BN84" s="24" t="n"/>
      <c r="BO84" s="24" t="n"/>
      <c r="BP84" s="24" t="n"/>
      <c r="BQ84" s="24" t="n"/>
      <c r="BR84" s="24" t="n"/>
      <c r="BS84" s="24" t="n"/>
      <c r="BT84" s="24" t="n"/>
      <c r="BU84" s="24" t="n"/>
      <c r="BV84" s="24" t="n"/>
      <c r="BW84" s="24" t="n"/>
      <c r="BX84" s="24" t="n"/>
      <c r="BY84" s="24" t="n"/>
      <c r="BZ84" s="24" t="n"/>
      <c r="CA84" s="24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37">
        <f>+SUM(W84:CM84)</f>
        <v/>
      </c>
      <c r="CP84" s="27" t="n">
        <v>0</v>
      </c>
      <c r="CQ84" s="22" t="n">
        <v>0</v>
      </c>
      <c r="CR84" s="22" t="n">
        <v>0</v>
      </c>
      <c r="CS84" s="22" t="n"/>
      <c r="CT84" s="22" t="n"/>
      <c r="CU84" s="14" t="n"/>
      <c r="CV84" s="14" t="n"/>
      <c r="CW84" s="14" t="n"/>
    </row>
    <row r="85" hidden="1" ht="15.75" customHeight="1" thickTop="1">
      <c r="A85" s="18" t="n"/>
      <c r="B85" s="18" t="inlineStr">
        <is>
          <t>Total general</t>
        </is>
      </c>
      <c r="C85" s="18" t="n"/>
      <c r="D85" s="18" t="n"/>
      <c r="E85" s="19" t="n">
        <v>0</v>
      </c>
      <c r="F85" s="19" t="n">
        <v>0</v>
      </c>
      <c r="G85" s="19" t="n">
        <v>0</v>
      </c>
      <c r="H85" s="19" t="n">
        <v>0</v>
      </c>
      <c r="I85" s="19" t="n">
        <v>0</v>
      </c>
      <c r="J85" s="19" t="n">
        <v>6065</v>
      </c>
      <c r="L85" s="20" t="n">
        <v>0</v>
      </c>
      <c r="M85" s="20" t="n">
        <v>0</v>
      </c>
      <c r="N85" s="20" t="n">
        <v>0</v>
      </c>
      <c r="O85" s="20" t="n">
        <v>0</v>
      </c>
      <c r="P85" s="20" t="n">
        <v>0</v>
      </c>
      <c r="R85" s="20" t="n">
        <v>16</v>
      </c>
      <c r="T85" s="19" t="n">
        <v>288</v>
      </c>
      <c r="U85" s="19" t="n">
        <v>1728</v>
      </c>
      <c r="W85" s="25">
        <f>+SUM(W82:W84)</f>
        <v/>
      </c>
      <c r="X85" s="25">
        <f>+SUM(X82:X84)</f>
        <v/>
      </c>
      <c r="Y85" s="25">
        <f>+SUM(Y82:Y84)</f>
        <v/>
      </c>
      <c r="Z85" s="25">
        <f>+SUM(Z82:Z84)</f>
        <v/>
      </c>
      <c r="AA85" s="25">
        <f>+SUM(AA82:AA84)</f>
        <v/>
      </c>
      <c r="AB85" s="25">
        <f>+SUM(AB82:AB84)</f>
        <v/>
      </c>
      <c r="AC85" s="25">
        <f>+SUM(AC82:AC84)</f>
        <v/>
      </c>
      <c r="AD85" s="25">
        <f>+SUM(AD82:AD84)</f>
        <v/>
      </c>
      <c r="AE85" s="25">
        <f>+SUM(AE82:AE84)</f>
        <v/>
      </c>
      <c r="AF85" s="25">
        <f>+SUM(AF82:AF84)</f>
        <v/>
      </c>
      <c r="AG85" s="25">
        <f>+SUM(AG82:AG84)</f>
        <v/>
      </c>
      <c r="AH85" s="25">
        <f>+SUM(AH82:AH84)</f>
        <v/>
      </c>
      <c r="AI85" s="25">
        <f>+SUM(AI82:AI84)</f>
        <v/>
      </c>
      <c r="AJ85" s="25">
        <f>+SUM(AJ82:AJ84)</f>
        <v/>
      </c>
      <c r="AK85" s="25">
        <f>+SUM(AK82:AK84)</f>
        <v/>
      </c>
      <c r="AL85" s="25">
        <f>+SUM(AL82:AL84)</f>
        <v/>
      </c>
      <c r="AM85" s="25">
        <f>+SUM(AM82:AM84)</f>
        <v/>
      </c>
      <c r="AN85" s="25">
        <f>+SUM(AN82:AN84)</f>
        <v/>
      </c>
      <c r="AO85" s="25">
        <f>+SUM(AO82:AO84)</f>
        <v/>
      </c>
      <c r="AP85" s="25">
        <f>+SUM(AP82:AP84)</f>
        <v/>
      </c>
      <c r="AQ85" s="25">
        <f>+SUM(AQ82:AQ84)</f>
        <v/>
      </c>
      <c r="AR85" s="25">
        <f>+SUM(AR82:AR84)</f>
        <v/>
      </c>
      <c r="AS85" s="25">
        <f>+SUM(AS82:AS84)</f>
        <v/>
      </c>
      <c r="AT85" s="25">
        <f>+SUM(AT82:AT84)</f>
        <v/>
      </c>
      <c r="AU85" s="25">
        <f>+SUM(AU82:AU84)</f>
        <v/>
      </c>
      <c r="AV85" s="25">
        <f>+SUM(AV82:AV84)</f>
        <v/>
      </c>
      <c r="AW85" s="25">
        <f>+SUM(AW82:AW84)</f>
        <v/>
      </c>
      <c r="AX85" s="25">
        <f>+SUM(AX82:AX84)</f>
        <v/>
      </c>
      <c r="AY85" s="25">
        <f>+SUM(AY82:AY84)</f>
        <v/>
      </c>
      <c r="AZ85" s="25">
        <f>+SUM(AZ82:AZ84)</f>
        <v/>
      </c>
      <c r="BA85" s="25">
        <f>+SUM(BA82:BA84)</f>
        <v/>
      </c>
      <c r="BB85" s="25">
        <f>+SUM(BB82:BB84)</f>
        <v/>
      </c>
      <c r="BC85" s="25">
        <f>+SUM(BC82:BC84)</f>
        <v/>
      </c>
      <c r="BD85" s="25">
        <f>+SUM(BD82:BD84)</f>
        <v/>
      </c>
      <c r="BE85" s="25">
        <f>+SUM(BE82:BE84)</f>
        <v/>
      </c>
      <c r="BF85" s="25">
        <f>+SUM(BF82:BF84)</f>
        <v/>
      </c>
      <c r="BG85" s="25">
        <f>+SUM(BG82:BG84)</f>
        <v/>
      </c>
      <c r="BH85" s="25">
        <f>+SUM(BH82:BH84)</f>
        <v/>
      </c>
      <c r="BI85" s="25">
        <f>+SUM(BI82:BI84)</f>
        <v/>
      </c>
      <c r="BJ85" s="25">
        <f>+SUM(BJ82:BJ84)</f>
        <v/>
      </c>
      <c r="BK85" s="25">
        <f>+SUM(BK82:BK84)</f>
        <v/>
      </c>
      <c r="BL85" s="25">
        <f>+SUM(BL82:BL84)</f>
        <v/>
      </c>
      <c r="BM85" s="25">
        <f>+SUM(BM82:BM84)</f>
        <v/>
      </c>
      <c r="BN85" s="25">
        <f>+SUM(BN82:BN84)</f>
        <v/>
      </c>
      <c r="BO85" s="25">
        <f>+SUM(BO82:BO84)</f>
        <v/>
      </c>
      <c r="BP85" s="25">
        <f>+SUM(BP82:BP84)</f>
        <v/>
      </c>
      <c r="BQ85" s="25">
        <f>+SUM(BQ82:BQ84)</f>
        <v/>
      </c>
      <c r="BR85" s="25">
        <f>+SUM(BR82:BR84)</f>
        <v/>
      </c>
      <c r="BS85" s="25">
        <f>+SUM(BS82:BS84)</f>
        <v/>
      </c>
      <c r="BT85" s="25">
        <f>+SUM(BT82:BT84)</f>
        <v/>
      </c>
      <c r="BU85" s="25">
        <f>+SUM(BU82:BU84)</f>
        <v/>
      </c>
      <c r="BV85" s="25">
        <f>+SUM(BV82:BV84)</f>
        <v/>
      </c>
      <c r="BW85" s="25">
        <f>+SUM(BW82:BW84)</f>
        <v/>
      </c>
      <c r="BX85" s="25">
        <f>+SUM(BX82:BX84)</f>
        <v/>
      </c>
      <c r="BY85" s="25">
        <f>+SUM(BY82:BY84)</f>
        <v/>
      </c>
      <c r="BZ85" s="25">
        <f>+SUM(BZ82:BZ84)</f>
        <v/>
      </c>
      <c r="CA85" s="25">
        <f>+SUM(CA82:CA84)</f>
        <v/>
      </c>
      <c r="CB85" s="25">
        <f>+SUM(CB82:CB84)</f>
        <v/>
      </c>
      <c r="CC85" s="25">
        <f>+SUM(CC82:CC84)</f>
        <v/>
      </c>
      <c r="CD85" s="25">
        <f>+SUM(CD82:CD84)</f>
        <v/>
      </c>
      <c r="CE85" s="25">
        <f>+SUM(CE82:CE84)</f>
        <v/>
      </c>
      <c r="CF85" s="25">
        <f>+SUM(CF82:CF84)</f>
        <v/>
      </c>
      <c r="CG85" s="25">
        <f>+SUM(CG82:CG84)</f>
        <v/>
      </c>
      <c r="CH85" s="25">
        <f>+SUM(CH82:CH84)</f>
        <v/>
      </c>
      <c r="CI85" s="25">
        <f>+SUM(CI82:CI84)</f>
        <v/>
      </c>
      <c r="CJ85" s="25">
        <f>+SUM(CJ82:CJ84)</f>
        <v/>
      </c>
      <c r="CK85" s="25">
        <f>+SUM(CK82:CK84)</f>
        <v/>
      </c>
      <c r="CL85" s="25">
        <f>+SUM(CL82:CL84)</f>
        <v/>
      </c>
      <c r="CM85" s="25">
        <f>+SUM(CM82:CM84)</f>
        <v/>
      </c>
      <c r="CN85" s="25">
        <f>+SUM(CN82:CN84)</f>
        <v/>
      </c>
      <c r="CP85" s="25">
        <f>+SUM(CP82:CP84)</f>
        <v/>
      </c>
      <c r="CQ85" s="25">
        <f>+SUM(CQ82:CQ84)</f>
        <v/>
      </c>
      <c r="CR85" s="25">
        <f>+SUM(CR82:CR84)</f>
        <v/>
      </c>
      <c r="CS85" s="25" t="n"/>
      <c r="CT85" s="25" t="n"/>
      <c r="CU85" s="25">
        <f>+SUM(CU82:CU84)</f>
        <v/>
      </c>
      <c r="CV85" s="25">
        <f>+SUM(CV82:CV84)</f>
        <v/>
      </c>
      <c r="CW85" s="25">
        <f>+SUM(CW82:CW84)</f>
        <v/>
      </c>
    </row>
    <row r="86" hidden="1">
      <c r="E86" s="14" t="n"/>
      <c r="F86" s="14" t="n"/>
      <c r="G86" s="14" t="n"/>
      <c r="H86" s="14" t="n"/>
      <c r="I86" s="14" t="n"/>
      <c r="J86" s="14" t="n"/>
      <c r="W86" s="30" t="n"/>
      <c r="X86" s="30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0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0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0" t="n"/>
      <c r="CK86" s="30" t="n"/>
      <c r="CL86" s="30" t="n"/>
      <c r="CM86" s="30" t="n"/>
      <c r="CP86" s="14" t="n"/>
      <c r="CQ86" s="35" t="n"/>
    </row>
    <row r="87">
      <c r="B87" s="32" t="n"/>
      <c r="C87" s="32" t="n"/>
      <c r="D87" s="32" t="n"/>
      <c r="E87" s="32" t="n"/>
      <c r="H87" s="14" t="n"/>
      <c r="I87" s="14" t="n"/>
    </row>
    <row r="88">
      <c r="B88" s="32" t="n"/>
      <c r="C88" s="32" t="n"/>
      <c r="D88" s="32" t="n"/>
      <c r="E88" s="32" t="n"/>
      <c r="H88" s="14" t="n"/>
      <c r="I88" s="14" t="n"/>
    </row>
    <row r="89">
      <c r="B89" s="53" t="inlineStr">
        <is>
          <t>TELNOR</t>
        </is>
      </c>
      <c r="C89" s="54" t="n"/>
      <c r="D89" s="54" t="n"/>
      <c r="E89" s="54" t="n"/>
      <c r="F89" s="54" t="n"/>
      <c r="G89" s="54" t="n"/>
      <c r="H89" s="54" t="n"/>
      <c r="I89" s="54" t="n"/>
      <c r="J89" s="54" t="n"/>
      <c r="L89" s="52" t="n"/>
      <c r="M89" s="52" t="n"/>
      <c r="N89" s="52" t="n"/>
      <c r="O89" s="52" t="n"/>
      <c r="P89" s="52" t="n"/>
      <c r="R89" s="55" t="n"/>
      <c r="T89" s="52" t="n"/>
      <c r="U89" s="52" t="n"/>
      <c r="V89" s="63" t="n"/>
      <c r="AE89" s="3" t="n"/>
      <c r="AF89" s="3" t="n"/>
      <c r="AG89" s="3" t="n"/>
      <c r="AH89" s="64" t="n"/>
      <c r="AI89" s="64" t="n"/>
      <c r="AJ89" s="64" t="n"/>
      <c r="AK89" s="64" t="n"/>
      <c r="AL89" s="64" t="n"/>
      <c r="AM89" s="64" t="n"/>
      <c r="AN89" s="64" t="n"/>
      <c r="AO89" s="64" t="n"/>
      <c r="AP89" s="64" t="n"/>
      <c r="AQ89" s="64" t="n"/>
      <c r="AR89" s="64" t="n"/>
      <c r="AS89" s="64" t="n"/>
      <c r="AT89" s="64" t="n"/>
      <c r="AU89" s="64" t="n"/>
      <c r="AV89" s="64" t="n"/>
      <c r="AW89" s="64" t="n"/>
      <c r="AX89" s="64" t="n"/>
      <c r="AY89" s="64" t="n"/>
      <c r="AZ89" s="64" t="n"/>
      <c r="BA89" s="64" t="n"/>
      <c r="BB89" s="64" t="n"/>
      <c r="BC89" s="64" t="n"/>
      <c r="BD89" s="64" t="n"/>
      <c r="BE89" s="64" t="n"/>
      <c r="BF89" s="64" t="n"/>
      <c r="BG89" s="64" t="n"/>
      <c r="BH89" s="64" t="n"/>
      <c r="BI89" s="64" t="n"/>
      <c r="BJ89" s="64" t="n"/>
      <c r="BK89" s="64" t="n"/>
      <c r="BL89" s="64" t="n"/>
      <c r="BM89" s="64" t="n"/>
      <c r="BN89" s="64" t="n"/>
      <c r="BO89" s="64" t="n"/>
      <c r="BP89" s="64" t="n"/>
      <c r="BQ89" s="64" t="n"/>
      <c r="BR89" s="64" t="n"/>
      <c r="BS89" s="64" t="n"/>
      <c r="BT89" s="64" t="n"/>
      <c r="BU89" s="64" t="n"/>
      <c r="BV89" s="64" t="n"/>
      <c r="BW89" s="64" t="n"/>
      <c r="BX89" s="64" t="n"/>
      <c r="BY89" s="64" t="n"/>
      <c r="BZ89" s="64" t="n"/>
      <c r="CA89" s="64" t="n"/>
      <c r="CB89" s="64" t="n"/>
      <c r="CC89" s="64" t="n"/>
      <c r="CD89" s="64" t="n"/>
      <c r="CE89" s="64" t="n"/>
      <c r="CF89" s="64" t="n"/>
      <c r="CG89" s="64" t="n"/>
      <c r="CH89" s="64" t="n"/>
      <c r="CI89" s="64" t="n"/>
      <c r="CJ89" s="64" t="n"/>
      <c r="CK89" s="64" t="n"/>
      <c r="CL89" s="64" t="n"/>
      <c r="CM89" s="64" t="n"/>
      <c r="CN89" s="64" t="n"/>
      <c r="CO89" s="64" t="n"/>
      <c r="CP89" s="64" t="n"/>
      <c r="CQ89" s="64" t="n"/>
      <c r="CR89" s="64" t="n"/>
      <c r="CS89" s="64" t="n"/>
      <c r="CT89" s="64" t="n"/>
      <c r="CU89" s="64" t="n"/>
      <c r="CV89" s="64" t="n"/>
      <c r="CW89" s="64" t="n"/>
    </row>
    <row r="90">
      <c r="A90" s="33" t="n">
        <v>17</v>
      </c>
      <c r="B90" s="50" t="inlineStr">
        <is>
          <t>TIJUANA</t>
        </is>
      </c>
      <c r="C90" s="47" t="inlineStr">
        <is>
          <t>TIJUANA</t>
        </is>
      </c>
      <c r="D90" s="33" t="inlineStr">
        <is>
          <t>EULEN TELNOR</t>
        </is>
      </c>
      <c r="E90" s="13" t="n"/>
      <c r="F90" s="13" t="n"/>
      <c r="G90" s="13" t="n"/>
      <c r="H90" s="13" t="n"/>
      <c r="I90" s="13" t="n"/>
      <c r="J90" s="13" t="n">
        <v>2763</v>
      </c>
      <c r="L90" s="3" t="n"/>
      <c r="M90" s="3" t="n"/>
      <c r="N90" s="3" t="n"/>
      <c r="O90" s="3" t="n"/>
      <c r="P90" s="3" t="n"/>
      <c r="R90" s="3" t="n">
        <v>7</v>
      </c>
      <c r="S90" s="15" t="n"/>
      <c r="T90" s="16" t="n">
        <v>126</v>
      </c>
      <c r="U90" s="16" t="n">
        <v>756</v>
      </c>
    </row>
    <row r="91">
      <c r="A91" s="33" t="n">
        <v>25</v>
      </c>
      <c r="B91" s="50" t="inlineStr">
        <is>
          <t>MEXICALI</t>
        </is>
      </c>
      <c r="C91" s="47" t="inlineStr">
        <is>
          <t>MEXICALI</t>
        </is>
      </c>
      <c r="D91" s="33" t="inlineStr">
        <is>
          <t>SMARTWORKS</t>
        </is>
      </c>
      <c r="E91" s="13" t="n"/>
      <c r="F91" s="13" t="n"/>
      <c r="G91" s="13" t="n"/>
      <c r="H91" s="13" t="n"/>
      <c r="I91" s="13" t="n"/>
      <c r="J91" s="13" t="n">
        <v>1493</v>
      </c>
      <c r="L91" s="3" t="n"/>
      <c r="M91" s="3" t="n"/>
      <c r="N91" s="3" t="n"/>
      <c r="O91" s="3" t="n"/>
      <c r="P91" s="3" t="n"/>
      <c r="R91" s="3" t="n">
        <v>4</v>
      </c>
      <c r="S91" s="15" t="n"/>
      <c r="T91" s="16" t="n">
        <v>72</v>
      </c>
      <c r="U91" s="16" t="n">
        <v>432</v>
      </c>
    </row>
    <row r="92" ht="15.75" customHeight="1" thickBot="1">
      <c r="A92" s="33" t="n">
        <v>43</v>
      </c>
      <c r="B92" s="50" t="inlineStr">
        <is>
          <t>ENSENADA</t>
        </is>
      </c>
      <c r="C92" s="47" t="inlineStr">
        <is>
          <t>ENSENADA</t>
        </is>
      </c>
      <c r="D92" s="33" t="inlineStr">
        <is>
          <t>EULEN TELNOR</t>
        </is>
      </c>
      <c r="E92" s="13" t="n"/>
      <c r="F92" s="13" t="n"/>
      <c r="G92" s="13" t="n"/>
      <c r="H92" s="13" t="n"/>
      <c r="I92" s="13" t="n"/>
      <c r="J92" s="13" t="n">
        <v>1809</v>
      </c>
      <c r="L92" s="3" t="n"/>
      <c r="M92" s="3" t="n"/>
      <c r="N92" s="3" t="n"/>
      <c r="O92" s="3" t="n"/>
      <c r="P92" s="3" t="n"/>
      <c r="R92" s="3" t="n">
        <v>5</v>
      </c>
      <c r="T92" s="16" t="n">
        <v>90</v>
      </c>
      <c r="U92" s="16" t="n">
        <v>540</v>
      </c>
    </row>
    <row r="93" ht="15.75" customHeight="1" thickTop="1">
      <c r="A93" s="18" t="n"/>
      <c r="B93" s="18" t="inlineStr">
        <is>
          <t>Total general</t>
        </is>
      </c>
      <c r="C93" s="18" t="n"/>
      <c r="D93" s="18" t="n"/>
      <c r="E93" s="19">
        <f>SUM(E90:E92)</f>
        <v/>
      </c>
      <c r="F93" s="19">
        <f>SUM(F90:F92)</f>
        <v/>
      </c>
      <c r="G93" s="19">
        <f>SUM(G90:G92)</f>
        <v/>
      </c>
      <c r="H93" s="19">
        <f>SUM(H90:H92)</f>
        <v/>
      </c>
      <c r="I93" s="19">
        <f>SUM(I90:I92)</f>
        <v/>
      </c>
      <c r="J93" s="19">
        <f>SUM(J90:J92)</f>
        <v/>
      </c>
      <c r="L93" s="20">
        <f>SUM(L90:L92)</f>
        <v/>
      </c>
      <c r="M93" s="20">
        <f>SUM(M90:M92)</f>
        <v/>
      </c>
      <c r="N93" s="20">
        <f>SUM(N90:N92)</f>
        <v/>
      </c>
      <c r="O93" s="20">
        <f>SUM(O90:O92)</f>
        <v/>
      </c>
      <c r="P93" s="20">
        <f>SUM(P90:P92)</f>
        <v/>
      </c>
      <c r="R93" s="20" t="n">
        <v>16</v>
      </c>
      <c r="T93" s="19" t="n">
        <v>288</v>
      </c>
      <c r="U93" s="19" t="n">
        <v>1728</v>
      </c>
      <c r="V93" s="20" t="n"/>
    </row>
  </sheetData>
  <autoFilter ref="A13:CW79"/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0:DC98"/>
  <sheetViews>
    <sheetView topLeftCell="A11" zoomScale="70" zoomScaleNormal="70" workbookViewId="0">
      <pane xSplit="4" ySplit="3" topLeftCell="CK42" activePane="bottomRight" state="frozen"/>
      <selection activeCell="A11" sqref="A11"/>
      <selection pane="topRight" activeCell="E11" sqref="E11"/>
      <selection pane="bottomLeft" activeCell="A14" sqref="A14"/>
      <selection pane="bottomRight" activeCell="CK61" sqref="CK61"/>
    </sheetView>
  </sheetViews>
  <sheetFormatPr baseColWidth="10" defaultRowHeight="15"/>
  <cols>
    <col width="6" customWidth="1" min="1" max="1"/>
    <col width="32" bestFit="1" customWidth="1" min="2" max="3"/>
    <col width="22.5703125" customWidth="1" min="4" max="4"/>
    <col width="13.5703125" customWidth="1" min="5" max="5"/>
    <col width="13.42578125" customWidth="1" min="6" max="6"/>
    <col width="18.7109375" customWidth="1" min="7" max="7"/>
    <col width="16.42578125" customWidth="1" min="8" max="8"/>
    <col width="13.42578125" customWidth="1" min="9" max="15"/>
    <col width="15.42578125" customWidth="1" min="16" max="16"/>
    <col width="2.7109375" customWidth="1" min="17" max="17"/>
    <col hidden="1" width="7.5703125" customWidth="1" min="18" max="18"/>
    <col hidden="1" width="7.140625" customWidth="1" min="19" max="21"/>
    <col hidden="1" width="9" customWidth="1" min="22" max="22"/>
    <col hidden="1" width="1.85546875" customWidth="1" min="23" max="23"/>
    <col width="13.5703125" customWidth="1" style="3" min="24" max="24"/>
    <col width="1.5703125" customWidth="1" style="3" min="25" max="25"/>
    <col width="12.85546875" customWidth="1" min="26" max="27"/>
    <col width="3.5703125" customWidth="1" style="6" min="28" max="28"/>
    <col outlineLevel="1" width="13.7109375" customWidth="1" min="29" max="32"/>
    <col outlineLevel="1" width="13.5703125" customWidth="1" min="33" max="33"/>
    <col outlineLevel="1" width="13.42578125" customWidth="1" min="34" max="34"/>
    <col outlineLevel="1" width="13.5703125" customWidth="1" min="35" max="35"/>
    <col outlineLevel="1" width="13.7109375" customWidth="1" min="36" max="36"/>
    <col outlineLevel="1" width="13.5703125" customWidth="1" min="37" max="37"/>
    <col outlineLevel="1" width="13.7109375" customWidth="1" min="38" max="39"/>
    <col outlineLevel="1" width="13.5703125" customWidth="1" min="40" max="85"/>
    <col width="14" customWidth="1" min="86" max="86"/>
    <col width="4.28515625" customWidth="1" min="87" max="87"/>
    <col width="13.85546875" customWidth="1" min="88" max="88"/>
    <col width="15.7109375" customWidth="1" min="89" max="89"/>
    <col width="14" customWidth="1" min="90" max="90"/>
    <col width="15.7109375" customWidth="1" min="91" max="91"/>
    <col width="11.42578125" customWidth="1" min="92" max="94"/>
    <col width="11.85546875" customWidth="1" min="95" max="95"/>
    <col width="11.42578125" customWidth="1" min="96" max="97"/>
  </cols>
  <sheetData>
    <row r="10">
      <c r="A10" s="31" t="n"/>
      <c r="E10" s="68" t="inlineStr">
        <is>
          <t>MATERIAL COMPRADO</t>
        </is>
      </c>
      <c r="F10" s="73" t="n"/>
      <c r="G10" s="73" t="n"/>
      <c r="H10" s="73" t="n"/>
      <c r="I10" s="1" t="n"/>
      <c r="J10" s="1" t="n"/>
      <c r="K10" s="1" t="n"/>
      <c r="L10" s="1" t="n"/>
      <c r="M10" s="1" t="n"/>
      <c r="N10" s="1" t="n"/>
      <c r="O10" s="1" t="n"/>
      <c r="P10" s="14" t="n"/>
      <c r="X10" s="2" t="n"/>
      <c r="Y10" s="2" t="n"/>
      <c r="Z10" s="2" t="n">
        <v>15</v>
      </c>
      <c r="AA10" s="2" t="n"/>
    </row>
    <row r="11" ht="45" customHeight="1">
      <c r="E11" s="4" t="n"/>
      <c r="F11" s="4" t="n"/>
      <c r="G11" s="4" t="n"/>
      <c r="H11" s="4" t="n"/>
      <c r="I11" s="5" t="n"/>
      <c r="J11" s="5" t="n"/>
      <c r="K11" s="5" t="n"/>
      <c r="L11" s="5" t="n"/>
      <c r="M11" s="5" t="n"/>
      <c r="N11" s="5" t="n"/>
      <c r="O11" s="5" t="n"/>
      <c r="P11" s="5" t="n"/>
      <c r="R11" s="24" t="n"/>
      <c r="X11" s="6" t="n"/>
      <c r="Y11" s="6" t="n"/>
      <c r="Z11" s="6" t="n">
        <v>15</v>
      </c>
      <c r="AA11" s="6" t="n"/>
      <c r="AC11" s="74" t="inlineStr">
        <is>
          <t>FECHA DE ISNTALACION</t>
        </is>
      </c>
      <c r="AD11" s="75" t="n"/>
      <c r="AE11" s="75" t="n"/>
      <c r="AF11" s="75" t="n"/>
      <c r="AG11" s="75" t="n"/>
      <c r="AH11" s="75" t="n"/>
      <c r="AI11" s="75" t="n"/>
      <c r="AJ11" s="75" t="n"/>
      <c r="AK11" s="75" t="n"/>
      <c r="AL11" s="75" t="n"/>
      <c r="AM11" s="75" t="n"/>
      <c r="AN11" s="75" t="n"/>
      <c r="AO11" s="75" t="n"/>
      <c r="AP11" s="75" t="n"/>
      <c r="AQ11" s="75" t="n"/>
      <c r="AR11" s="75" t="n"/>
      <c r="AS11" s="75" t="n"/>
      <c r="AT11" s="75" t="n"/>
      <c r="AU11" s="75" t="n"/>
      <c r="AV11" s="75" t="n"/>
      <c r="AW11" s="75" t="n"/>
      <c r="AX11" s="75" t="n"/>
      <c r="AY11" s="75" t="n"/>
      <c r="AZ11" s="75" t="n"/>
      <c r="BA11" s="75" t="n"/>
      <c r="BB11" s="75" t="n"/>
      <c r="BC11" s="75" t="n"/>
      <c r="BD11" s="75" t="n"/>
      <c r="BE11" s="75" t="n"/>
      <c r="BF11" s="75" t="n"/>
      <c r="BG11" s="75" t="n"/>
      <c r="BH11" s="75" t="n"/>
      <c r="BI11" s="75" t="n"/>
      <c r="BJ11" s="75" t="n"/>
      <c r="BK11" s="75" t="n"/>
      <c r="BL11" s="75" t="n"/>
      <c r="BM11" s="75" t="n"/>
      <c r="BN11" s="75" t="n"/>
      <c r="BO11" s="75" t="n"/>
      <c r="BP11" s="75" t="n"/>
      <c r="BQ11" s="75" t="n"/>
      <c r="BR11" s="75" t="n"/>
      <c r="BS11" s="75" t="n"/>
      <c r="BT11" s="75" t="n"/>
      <c r="BU11" s="75" t="n"/>
      <c r="BV11" s="75" t="n"/>
      <c r="BW11" s="75" t="n"/>
      <c r="BX11" s="75" t="n"/>
      <c r="BY11" s="75" t="n"/>
      <c r="BZ11" s="75" t="n"/>
      <c r="CA11" s="75" t="n"/>
      <c r="CB11" s="75" t="n"/>
      <c r="CC11" s="75" t="n"/>
      <c r="CD11" s="75" t="n"/>
      <c r="CE11" s="75" t="n"/>
      <c r="CF11" s="75" t="n"/>
      <c r="CG11" s="75" t="n"/>
      <c r="CH11" s="76" t="n"/>
      <c r="CJ11" s="29" t="n"/>
      <c r="CK11" s="29" t="n"/>
      <c r="CL11" s="29" t="n"/>
      <c r="CM11" s="29" t="n"/>
      <c r="CN11" s="29" t="n"/>
      <c r="CO11" s="29" t="n"/>
      <c r="CP11" s="29" t="n"/>
      <c r="CQ11" s="29" t="n"/>
    </row>
    <row r="12" ht="45" customHeight="1">
      <c r="A12" s="7" t="n"/>
      <c r="B12" s="7" t="n"/>
      <c r="C12" s="7" t="n"/>
      <c r="D12" s="7" t="n"/>
      <c r="E12" s="69" t="inlineStr">
        <is>
          <t>CAJAS</t>
        </is>
      </c>
      <c r="F12" s="77" t="n"/>
      <c r="G12" s="77" t="n"/>
      <c r="H12" s="77" t="n"/>
      <c r="I12" s="77" t="n"/>
      <c r="J12" s="77" t="n"/>
      <c r="K12" s="77" t="n"/>
      <c r="L12" s="77" t="n"/>
      <c r="M12" s="77" t="n"/>
      <c r="N12" s="77" t="n"/>
      <c r="O12" s="77" t="n"/>
      <c r="P12" s="77" t="n"/>
      <c r="R12" s="36" t="inlineStr">
        <is>
          <t>IASA</t>
        </is>
      </c>
      <c r="S12" s="36" t="inlineStr">
        <is>
          <t>EULEN</t>
        </is>
      </c>
      <c r="T12" s="36" t="inlineStr">
        <is>
          <t>CISTIC</t>
        </is>
      </c>
      <c r="U12" s="36" t="inlineStr">
        <is>
          <t>KARCLAU</t>
        </is>
      </c>
      <c r="V12" s="36" t="inlineStr">
        <is>
          <t>SIN CONTRATISTA</t>
        </is>
      </c>
      <c r="X12" s="8" t="inlineStr">
        <is>
          <t>Total Parejas</t>
        </is>
      </c>
      <c r="Y12" s="9" t="n"/>
      <c r="Z12" s="8" t="inlineStr">
        <is>
          <t>Producción diaria</t>
        </is>
      </c>
      <c r="AA12" s="8" t="inlineStr">
        <is>
          <t>Producción Semanal</t>
        </is>
      </c>
      <c r="AC12" s="26" t="n">
        <v>46307</v>
      </c>
      <c r="AD12" s="26" t="n">
        <v>46308</v>
      </c>
      <c r="AE12" s="26" t="n">
        <v>46309</v>
      </c>
      <c r="AF12" s="26" t="n">
        <v>46310</v>
      </c>
      <c r="AG12" s="26" t="n">
        <v>46311</v>
      </c>
      <c r="AH12" s="26" t="n">
        <v>46312</v>
      </c>
      <c r="AI12" s="26" t="n">
        <v>46313</v>
      </c>
      <c r="AJ12" s="26" t="n">
        <v>46314</v>
      </c>
      <c r="AK12" s="26" t="n">
        <v>46315</v>
      </c>
      <c r="AL12" s="26" t="n">
        <v>46316</v>
      </c>
      <c r="AM12" s="26" t="n">
        <v>46317</v>
      </c>
      <c r="AN12" s="26" t="n">
        <v>46318</v>
      </c>
      <c r="AO12" s="26" t="n">
        <v>46319</v>
      </c>
      <c r="AP12" s="26" t="n">
        <v>46320</v>
      </c>
      <c r="AQ12" s="26" t="n">
        <v>46321</v>
      </c>
      <c r="AR12" s="26" t="n">
        <v>46322</v>
      </c>
      <c r="AS12" s="26" t="n">
        <v>46323</v>
      </c>
      <c r="AT12" s="26" t="n">
        <v>46324</v>
      </c>
      <c r="AU12" s="26" t="n">
        <v>46325</v>
      </c>
      <c r="AV12" s="26" t="n">
        <v>46326</v>
      </c>
      <c r="AW12" s="26" t="n">
        <v>46327</v>
      </c>
      <c r="AX12" s="26" t="n">
        <v>46328</v>
      </c>
      <c r="AY12" s="26" t="n">
        <v>46329</v>
      </c>
      <c r="AZ12" s="26" t="n">
        <v>46330</v>
      </c>
      <c r="BA12" s="26" t="n">
        <v>46331</v>
      </c>
      <c r="BB12" s="26" t="n">
        <v>46332</v>
      </c>
      <c r="BC12" s="26" t="n">
        <v>46333</v>
      </c>
      <c r="BD12" s="26" t="n">
        <v>46334</v>
      </c>
      <c r="BE12" s="26" t="n">
        <v>46335</v>
      </c>
      <c r="BF12" s="26" t="n">
        <v>46336</v>
      </c>
      <c r="BG12" s="26" t="n">
        <v>46337</v>
      </c>
      <c r="BH12" s="26" t="n">
        <v>46338</v>
      </c>
      <c r="BI12" s="26" t="n">
        <v>46339</v>
      </c>
      <c r="BJ12" s="26" t="n">
        <v>46340</v>
      </c>
      <c r="BK12" s="26" t="n">
        <v>46341</v>
      </c>
      <c r="BL12" s="26" t="n">
        <v>46342</v>
      </c>
      <c r="BM12" s="26" t="n">
        <v>46343</v>
      </c>
      <c r="BN12" s="26" t="n">
        <v>46344</v>
      </c>
      <c r="BO12" s="26" t="n">
        <v>46345</v>
      </c>
      <c r="BP12" s="26" t="n">
        <v>46346</v>
      </c>
      <c r="BQ12" s="26" t="n">
        <v>46347</v>
      </c>
      <c r="BR12" s="26" t="n">
        <v>46348</v>
      </c>
      <c r="BS12" s="26" t="n">
        <v>46349</v>
      </c>
      <c r="BT12" s="26" t="n">
        <v>46350</v>
      </c>
      <c r="BU12" s="26" t="n">
        <v>46351</v>
      </c>
      <c r="BV12" s="26" t="n">
        <v>46352</v>
      </c>
      <c r="BW12" s="26" t="n">
        <v>46353</v>
      </c>
      <c r="BX12" s="26" t="n">
        <v>46354</v>
      </c>
      <c r="BY12" s="26" t="n">
        <v>46355</v>
      </c>
      <c r="BZ12" s="26" t="n">
        <v>46356</v>
      </c>
      <c r="CA12" s="26" t="n">
        <v>46357</v>
      </c>
      <c r="CB12" s="26" t="n">
        <v>46358</v>
      </c>
      <c r="CC12" s="26" t="n">
        <v>46359</v>
      </c>
      <c r="CD12" s="26" t="n">
        <v>46360</v>
      </c>
      <c r="CE12" s="26" t="n">
        <v>46361</v>
      </c>
      <c r="CF12" s="26" t="n">
        <v>46362</v>
      </c>
      <c r="CG12" s="26" t="n">
        <v>46363</v>
      </c>
      <c r="CH12" s="28" t="inlineStr">
        <is>
          <t>TOTAL</t>
        </is>
      </c>
      <c r="CJ12" s="29" t="inlineStr">
        <is>
          <t>TOTAL COLOCADAS</t>
        </is>
      </c>
      <c r="CK12" s="29" t="inlineStr">
        <is>
          <t>NO ENCONTRADAS ACUMULADAS</t>
        </is>
      </c>
      <c r="CL12" s="29" t="inlineStr">
        <is>
          <t>ATENDIDAS</t>
        </is>
      </c>
      <c r="CM12" s="29" t="inlineStr">
        <is>
          <t>OBSERVACIONES</t>
        </is>
      </c>
      <c r="CN12" s="29" t="inlineStr">
        <is>
          <t>FECHA INICIO</t>
        </is>
      </c>
      <c r="CO12" s="29" t="inlineStr">
        <is>
          <t>MATERIAL RECIBIDO (UNIDADES)</t>
        </is>
      </c>
      <c r="CP12" s="29" t="inlineStr">
        <is>
          <t>MATERIAL Cajas</t>
        </is>
      </c>
      <c r="CQ12" s="29" t="inlineStr">
        <is>
          <t>MATERIAL DISPONIBLE</t>
        </is>
      </c>
      <c r="CS12" s="29" t="inlineStr">
        <is>
          <t>GCV</t>
        </is>
      </c>
      <c r="CT12" s="29" t="inlineStr">
        <is>
          <t>GCV</t>
        </is>
      </c>
      <c r="CU12" s="29" t="inlineStr">
        <is>
          <t>GCV</t>
        </is>
      </c>
      <c r="CV12" s="29" t="inlineStr">
        <is>
          <t>GCV</t>
        </is>
      </c>
      <c r="CW12" s="29" t="inlineStr">
        <is>
          <t>GCV</t>
        </is>
      </c>
      <c r="CX12" s="29" t="inlineStr">
        <is>
          <t>TROLISA</t>
        </is>
      </c>
      <c r="CY12" s="29" t="inlineStr">
        <is>
          <t>TROLISA</t>
        </is>
      </c>
      <c r="CZ12" s="29" t="inlineStr">
        <is>
          <t>TROLISA</t>
        </is>
      </c>
      <c r="DA12" s="29" t="inlineStr">
        <is>
          <t>TROLISA</t>
        </is>
      </c>
      <c r="DB12" s="29" t="inlineStr">
        <is>
          <t>TROLISA</t>
        </is>
      </c>
    </row>
    <row r="13" ht="51.75" customFormat="1" customHeight="1" s="12">
      <c r="A13" s="10" t="inlineStr">
        <is>
          <t>OR</t>
        </is>
      </c>
      <c r="B13" s="10" t="inlineStr">
        <is>
          <t>AREA TRABAJO</t>
        </is>
      </c>
      <c r="C13" s="10" t="inlineStr">
        <is>
          <t>AREA</t>
        </is>
      </c>
      <c r="D13" s="57" t="inlineStr">
        <is>
          <t>Contratista Confirmado Oct 2026</t>
        </is>
      </c>
      <c r="E13" s="57" t="inlineStr">
        <is>
          <t>DESPLAZAMIENTO DOBLE</t>
        </is>
      </c>
      <c r="F13" s="57" t="inlineStr">
        <is>
          <t>DESPLAZAMIENTO SENCILLA</t>
        </is>
      </c>
      <c r="G13" s="57" t="inlineStr">
        <is>
          <t>ENVOLVENTE DOBLE</t>
        </is>
      </c>
      <c r="H13" s="57" t="inlineStr">
        <is>
          <t>ENVOLVENTE SENCILLA</t>
        </is>
      </c>
      <c r="I13" s="57" t="inlineStr">
        <is>
          <t>KRONE</t>
        </is>
      </c>
      <c r="J13" s="57" t="inlineStr">
        <is>
          <t>SIECOR DOBLE</t>
        </is>
      </c>
      <c r="K13" s="57" t="inlineStr">
        <is>
          <t>SIECOR SENCILLA 1PTA</t>
        </is>
      </c>
      <c r="L13" s="57" t="inlineStr">
        <is>
          <t xml:space="preserve">SIECOR SENCILLA 2 PTAS </t>
        </is>
      </c>
      <c r="M13" s="57" t="inlineStr">
        <is>
          <t>TRADICIONAL DOBLE</t>
        </is>
      </c>
      <c r="N13" s="57" t="inlineStr">
        <is>
          <t>TRADICIONAL SENCILLA</t>
        </is>
      </c>
      <c r="O13" s="57" t="inlineStr">
        <is>
          <t>Sin tipo</t>
        </is>
      </c>
      <c r="P13" s="10" t="inlineStr">
        <is>
          <t>Total general</t>
        </is>
      </c>
      <c r="R13" s="11" t="n">
        <v>0</v>
      </c>
      <c r="S13" s="11" t="n">
        <v>0</v>
      </c>
      <c r="T13" s="11" t="n">
        <v>0</v>
      </c>
      <c r="U13" s="11" t="n">
        <v>0</v>
      </c>
      <c r="V13" s="11" t="n">
        <v>0</v>
      </c>
      <c r="X13" s="11" t="n">
        <v>274</v>
      </c>
      <c r="Y13" s="2" t="n"/>
      <c r="Z13" s="11" t="n">
        <v>4110</v>
      </c>
      <c r="AA13" s="11" t="n">
        <v>24660</v>
      </c>
      <c r="AB13" s="6" t="n"/>
      <c r="AC13" s="38">
        <f>+AC77</f>
        <v/>
      </c>
      <c r="AD13" s="38">
        <f>+AD77</f>
        <v/>
      </c>
      <c r="AE13" s="38">
        <f>+AE77</f>
        <v/>
      </c>
      <c r="AF13" s="38">
        <f>+AF77</f>
        <v/>
      </c>
      <c r="AG13" s="38">
        <f>+AG77</f>
        <v/>
      </c>
      <c r="AH13" s="38">
        <f>+AH77</f>
        <v/>
      </c>
      <c r="AI13" s="38">
        <f>+AI77</f>
        <v/>
      </c>
      <c r="AJ13" s="38">
        <f>+AJ77</f>
        <v/>
      </c>
      <c r="AK13" s="38">
        <f>+AK77</f>
        <v/>
      </c>
      <c r="AL13" s="38">
        <f>+AL77</f>
        <v/>
      </c>
      <c r="AM13" s="38">
        <f>+AM77</f>
        <v/>
      </c>
      <c r="AN13" s="38">
        <f>+AN77</f>
        <v/>
      </c>
      <c r="AO13" s="38">
        <f>+AO77</f>
        <v/>
      </c>
      <c r="AP13" s="38">
        <f>+AP77</f>
        <v/>
      </c>
      <c r="AQ13" s="38">
        <f>+AQ77</f>
        <v/>
      </c>
      <c r="AR13" s="38">
        <f>+AR77</f>
        <v/>
      </c>
      <c r="AS13" s="38">
        <f>+AS77</f>
        <v/>
      </c>
      <c r="AT13" s="38">
        <f>+AT77</f>
        <v/>
      </c>
      <c r="AU13" s="38">
        <f>+AU77</f>
        <v/>
      </c>
      <c r="AV13" s="38">
        <f>+AV77</f>
        <v/>
      </c>
      <c r="AW13" s="38">
        <f>+AW77</f>
        <v/>
      </c>
      <c r="AX13" s="38">
        <f>+AX77</f>
        <v/>
      </c>
      <c r="AY13" s="38">
        <f>+AY77</f>
        <v/>
      </c>
      <c r="AZ13" s="38">
        <f>+AZ77</f>
        <v/>
      </c>
      <c r="BA13" s="38">
        <f>+BA77</f>
        <v/>
      </c>
      <c r="BB13" s="38">
        <f>+BB77</f>
        <v/>
      </c>
      <c r="BC13" s="38">
        <f>+BC77</f>
        <v/>
      </c>
      <c r="BD13" s="38">
        <f>+BD77</f>
        <v/>
      </c>
      <c r="BE13" s="38">
        <f>+BE77</f>
        <v/>
      </c>
      <c r="BF13" s="38">
        <f>+BF77</f>
        <v/>
      </c>
      <c r="BG13" s="38">
        <f>+BG77</f>
        <v/>
      </c>
      <c r="BH13" s="38">
        <f>+BH77</f>
        <v/>
      </c>
      <c r="BI13" s="38">
        <f>+BI77</f>
        <v/>
      </c>
      <c r="BJ13" s="38">
        <f>+BJ77</f>
        <v/>
      </c>
      <c r="BK13" s="38">
        <f>+BK77</f>
        <v/>
      </c>
      <c r="BL13" s="38">
        <f>+BL77</f>
        <v/>
      </c>
      <c r="BM13" s="38">
        <f>+BM77</f>
        <v/>
      </c>
      <c r="BN13" s="38">
        <f>+BN77</f>
        <v/>
      </c>
      <c r="BO13" s="38">
        <f>+BO77</f>
        <v/>
      </c>
      <c r="BP13" s="38">
        <f>+BP77</f>
        <v/>
      </c>
      <c r="BQ13" s="38">
        <f>+BQ77</f>
        <v/>
      </c>
      <c r="BR13" s="38">
        <f>+BR77</f>
        <v/>
      </c>
      <c r="BS13" s="38">
        <f>+BS77</f>
        <v/>
      </c>
      <c r="BT13" s="38">
        <f>+BT77</f>
        <v/>
      </c>
      <c r="BU13" s="38">
        <f>+BU77</f>
        <v/>
      </c>
      <c r="BV13" s="38">
        <f>+BV77</f>
        <v/>
      </c>
      <c r="BW13" s="38">
        <f>+BW77</f>
        <v/>
      </c>
      <c r="BX13" s="38">
        <f>+BX77</f>
        <v/>
      </c>
      <c r="BY13" s="38">
        <f>+BY77</f>
        <v/>
      </c>
      <c r="BZ13" s="38">
        <f>+BZ77</f>
        <v/>
      </c>
      <c r="CA13" s="38">
        <f>+CA77</f>
        <v/>
      </c>
      <c r="CB13" s="38">
        <f>+CB77</f>
        <v/>
      </c>
      <c r="CC13" s="38">
        <f>+CC77</f>
        <v/>
      </c>
      <c r="CD13" s="38">
        <f>+CD77</f>
        <v/>
      </c>
      <c r="CE13" s="38">
        <f>+CE77</f>
        <v/>
      </c>
      <c r="CF13" s="38">
        <f>+CF77</f>
        <v/>
      </c>
      <c r="CG13" s="38">
        <f>+CG77</f>
        <v/>
      </c>
      <c r="CH13" s="38">
        <f>+CH77</f>
        <v/>
      </c>
      <c r="CJ13" s="39" t="n"/>
      <c r="CK13" s="40" t="n"/>
      <c r="CL13" s="40" t="n"/>
      <c r="CM13" s="41" t="n"/>
      <c r="CN13" s="29" t="n"/>
      <c r="CO13" s="29" t="n"/>
      <c r="CP13" s="29" t="n"/>
      <c r="CQ13" s="29" t="n"/>
      <c r="CS13" s="67" t="inlineStr">
        <is>
          <t>DESPLAZAMIENTO DOBLE</t>
        </is>
      </c>
      <c r="CT13" s="67" t="inlineStr">
        <is>
          <t>DESPLAZAMIENTO SENCILLA</t>
        </is>
      </c>
      <c r="CU13" s="67" t="inlineStr">
        <is>
          <t>ENVOLVENTE DOBLE</t>
        </is>
      </c>
      <c r="CV13" s="67" t="inlineStr">
        <is>
          <t>ENVOLVENTE SENCILLA</t>
        </is>
      </c>
      <c r="CW13" s="67" t="inlineStr">
        <is>
          <t>KRONE</t>
        </is>
      </c>
      <c r="CX13" s="67" t="inlineStr">
        <is>
          <t>SIECOR DOBLE</t>
        </is>
      </c>
      <c r="CY13" s="67" t="inlineStr">
        <is>
          <t>SIECOR SENCILLA 1PTA</t>
        </is>
      </c>
      <c r="CZ13" s="67" t="inlineStr">
        <is>
          <t xml:space="preserve">SIECOR SENCILLA 2 PTAS </t>
        </is>
      </c>
      <c r="DA13" s="67" t="inlineStr">
        <is>
          <t>TRADICIONAL DOBLE</t>
        </is>
      </c>
      <c r="DB13" s="67" t="inlineStr">
        <is>
          <t>TRADICIONAL SENCILLA</t>
        </is>
      </c>
      <c r="DC13" s="66" t="inlineStr">
        <is>
          <t>TOTAL RECIBDO</t>
        </is>
      </c>
    </row>
    <row r="14" ht="15" customHeight="1">
      <c r="A14" s="33" t="inlineStr">
        <is>
          <t>AAA</t>
        </is>
      </c>
      <c r="B14" s="46" t="inlineStr">
        <is>
          <t>CDMX Y AREA CONURBADA</t>
        </is>
      </c>
      <c r="C14" s="56" t="inlineStr">
        <is>
          <t>BALBUENA</t>
        </is>
      </c>
      <c r="D14" s="33" t="inlineStr">
        <is>
          <t>EULEN</t>
        </is>
      </c>
      <c r="E14" s="13" t="n">
        <v>71</v>
      </c>
      <c r="F14" s="13" t="n">
        <v>32</v>
      </c>
      <c r="G14" s="13" t="n">
        <v>22</v>
      </c>
      <c r="H14" s="13" t="n">
        <v>56</v>
      </c>
      <c r="I14" s="13" t="n"/>
      <c r="J14" s="13" t="n">
        <v>532</v>
      </c>
      <c r="K14" s="13" t="n">
        <v>748</v>
      </c>
      <c r="L14" s="13" t="n">
        <v>105</v>
      </c>
      <c r="M14" s="13" t="n">
        <v>131</v>
      </c>
      <c r="N14" s="13" t="n">
        <v>121</v>
      </c>
      <c r="O14" s="13" t="n"/>
      <c r="P14" s="13" t="n">
        <v>1818</v>
      </c>
      <c r="R14" s="3" t="n"/>
      <c r="S14" s="3" t="n"/>
      <c r="T14" s="3" t="n"/>
      <c r="U14" s="3" t="n"/>
      <c r="V14" s="3" t="n"/>
      <c r="X14" s="3" t="n">
        <v>6</v>
      </c>
      <c r="Y14" s="15" t="n"/>
      <c r="Z14" s="16" t="n">
        <v>90</v>
      </c>
      <c r="AA14" s="16" t="n">
        <v>540</v>
      </c>
      <c r="AC14" s="24" t="n"/>
      <c r="AD14" s="24" t="n"/>
      <c r="AE14" s="24" t="n"/>
      <c r="AF14" s="24" t="n"/>
      <c r="AG14" s="24" t="n"/>
      <c r="AH14" s="24" t="n"/>
      <c r="AI14" s="24" t="n"/>
      <c r="AJ14" s="24" t="n"/>
      <c r="AK14" s="24" t="n"/>
      <c r="AL14" s="24" t="n"/>
      <c r="AM14" s="24" t="n"/>
      <c r="AN14" s="24" t="n"/>
      <c r="AO14" s="24" t="n"/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n"/>
      <c r="AY14" s="24" t="n"/>
      <c r="AZ14" s="24" t="n"/>
      <c r="BA14" s="24" t="n"/>
      <c r="BB14" s="24" t="n"/>
      <c r="BC14" s="24" t="n"/>
      <c r="BD14" s="24" t="n"/>
      <c r="BE14" s="24" t="n"/>
      <c r="BF14" s="24" t="n"/>
      <c r="BG14" s="24" t="n"/>
      <c r="BH14" s="24" t="n"/>
      <c r="BI14" s="24" t="n"/>
      <c r="BJ14" s="24" t="n"/>
      <c r="BK14" s="24" t="n"/>
      <c r="BL14" s="24" t="n"/>
      <c r="BM14" s="24" t="n"/>
      <c r="BN14" s="24" t="n"/>
      <c r="BO14" s="24" t="n"/>
      <c r="BP14" s="24" t="n"/>
      <c r="BQ14" s="24" t="n"/>
      <c r="BR14" s="24" t="n"/>
      <c r="BS14" s="24" t="n"/>
      <c r="BT14" s="24" t="n"/>
      <c r="BU14" s="24" t="n"/>
      <c r="BV14" s="24" t="n"/>
      <c r="BW14" s="24" t="n"/>
      <c r="BX14" s="24" t="n"/>
      <c r="BY14" s="24" t="n"/>
      <c r="BZ14" s="24" t="n"/>
      <c r="CA14" s="24" t="n"/>
      <c r="CB14" s="24" t="n"/>
      <c r="CC14" s="24" t="n"/>
      <c r="CD14" s="24" t="n"/>
      <c r="CE14" s="24" t="n"/>
      <c r="CF14" s="24" t="n"/>
      <c r="CG14" s="24" t="n"/>
      <c r="CH14" s="37">
        <f>+SUM(AC14:CG14)</f>
        <v/>
      </c>
      <c r="CJ14" s="27">
        <f>CH14</f>
        <v/>
      </c>
      <c r="CK14" s="22" t="n">
        <v>0</v>
      </c>
      <c r="CL14" s="22">
        <f>CJ14+CK14</f>
        <v/>
      </c>
      <c r="CM14" s="42" t="n"/>
      <c r="CN14" s="78" t="n"/>
      <c r="CO14" s="14">
        <f>DC14</f>
        <v/>
      </c>
      <c r="CP14" s="14">
        <f>CO14</f>
        <v/>
      </c>
      <c r="CQ14" s="14">
        <f>CP14-CJ14</f>
        <v/>
      </c>
      <c r="CR14" s="79" t="n"/>
      <c r="CS14" s="17" t="n"/>
      <c r="DC14" s="14">
        <f>SUM(CS14:DB14)</f>
        <v/>
      </c>
    </row>
    <row r="15">
      <c r="A15" s="33" t="inlineStr">
        <is>
          <t>AAA</t>
        </is>
      </c>
      <c r="B15" s="48" t="n"/>
      <c r="C15" s="56" t="inlineStr">
        <is>
          <t>CUAUTITLAN</t>
        </is>
      </c>
      <c r="D15" s="33" t="inlineStr">
        <is>
          <t>EULEN</t>
        </is>
      </c>
      <c r="E15" s="13" t="n">
        <v>84</v>
      </c>
      <c r="F15" s="13" t="n">
        <v>22</v>
      </c>
      <c r="G15" s="13" t="n">
        <v>1</v>
      </c>
      <c r="H15" s="13" t="n">
        <v>8</v>
      </c>
      <c r="I15" s="13" t="n">
        <v>14</v>
      </c>
      <c r="J15" s="13" t="n">
        <v>350</v>
      </c>
      <c r="K15" s="13" t="n">
        <v>511</v>
      </c>
      <c r="L15" s="13" t="n">
        <v>39</v>
      </c>
      <c r="M15" s="13" t="n">
        <v>9</v>
      </c>
      <c r="N15" s="13" t="n">
        <v>190</v>
      </c>
      <c r="O15" s="13" t="n"/>
      <c r="P15" s="13" t="n">
        <v>1228</v>
      </c>
      <c r="R15" s="3" t="n"/>
      <c r="S15" s="3" t="n"/>
      <c r="T15" s="3" t="n"/>
      <c r="U15" s="3" t="n"/>
      <c r="V15" s="3" t="n"/>
      <c r="X15" s="3" t="n">
        <v>4</v>
      </c>
      <c r="Y15" s="15" t="n"/>
      <c r="Z15" s="16" t="n">
        <v>60</v>
      </c>
      <c r="AA15" s="16" t="n">
        <v>360</v>
      </c>
      <c r="AC15" s="24" t="n"/>
      <c r="AD15" s="24" t="n"/>
      <c r="AE15" s="24" t="n"/>
      <c r="AF15" s="24" t="n"/>
      <c r="AG15" s="24" t="n"/>
      <c r="AH15" s="24" t="n"/>
      <c r="AI15" s="24" t="n"/>
      <c r="AJ15" s="24" t="n"/>
      <c r="AK15" s="24" t="n"/>
      <c r="AL15" s="24" t="n"/>
      <c r="AM15" s="24" t="n"/>
      <c r="AN15" s="24" t="n"/>
      <c r="AO15" s="24" t="n"/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n"/>
      <c r="AY15" s="24" t="n"/>
      <c r="AZ15" s="24" t="n"/>
      <c r="BA15" s="24" t="n"/>
      <c r="BB15" s="24" t="n"/>
      <c r="BC15" s="24" t="n"/>
      <c r="BD15" s="24" t="n"/>
      <c r="BE15" s="24" t="n"/>
      <c r="BF15" s="24" t="n"/>
      <c r="BG15" s="24" t="n"/>
      <c r="BH15" s="24" t="n"/>
      <c r="BI15" s="24" t="n"/>
      <c r="BJ15" s="24" t="n"/>
      <c r="BK15" s="24" t="n"/>
      <c r="BL15" s="24" t="n"/>
      <c r="BM15" s="24" t="n"/>
      <c r="BN15" s="24" t="n"/>
      <c r="BO15" s="24" t="n"/>
      <c r="BP15" s="24" t="n"/>
      <c r="BQ15" s="24" t="n"/>
      <c r="BR15" s="24" t="n"/>
      <c r="BS15" s="24" t="n"/>
      <c r="BT15" s="24" t="n"/>
      <c r="BU15" s="24" t="n"/>
      <c r="BV15" s="24" t="n"/>
      <c r="BW15" s="24" t="n"/>
      <c r="BX15" s="24" t="n"/>
      <c r="BY15" s="24" t="n"/>
      <c r="BZ15" s="24" t="n"/>
      <c r="CA15" s="24" t="n"/>
      <c r="CB15" s="24" t="n"/>
      <c r="CC15" s="24" t="n"/>
      <c r="CD15" s="24" t="n"/>
      <c r="CE15" s="24" t="n"/>
      <c r="CF15" s="24" t="n"/>
      <c r="CG15" s="24" t="n"/>
      <c r="CH15" s="37">
        <f>+SUM(AC15:CG15)</f>
        <v/>
      </c>
      <c r="CJ15" s="27">
        <f>CH15</f>
        <v/>
      </c>
      <c r="CK15" s="22" t="n">
        <v>0</v>
      </c>
      <c r="CL15" s="22">
        <f>CJ15+CK15</f>
        <v/>
      </c>
      <c r="CM15" s="42" t="n"/>
      <c r="CN15" s="78" t="n"/>
      <c r="CO15" s="14">
        <f>DC15</f>
        <v/>
      </c>
      <c r="CP15" s="14">
        <f>CO15</f>
        <v/>
      </c>
      <c r="CQ15" s="14">
        <f>CP15-CJ15</f>
        <v/>
      </c>
      <c r="CR15" s="79" t="n"/>
      <c r="CS15" s="17" t="n"/>
      <c r="DC15" s="14">
        <f>SUM(CS15:DB15)</f>
        <v/>
      </c>
    </row>
    <row r="16">
      <c r="A16" s="33" t="inlineStr">
        <is>
          <t>AAA</t>
        </is>
      </c>
      <c r="B16" s="48" t="n"/>
      <c r="C16" s="56" t="inlineStr">
        <is>
          <t>ECATEPEC</t>
        </is>
      </c>
      <c r="D16" s="33" t="inlineStr">
        <is>
          <t>EULEN</t>
        </is>
      </c>
      <c r="E16" s="13" t="n">
        <v>92</v>
      </c>
      <c r="F16" s="13" t="n">
        <v>45</v>
      </c>
      <c r="G16" s="13" t="n">
        <v>1</v>
      </c>
      <c r="H16" s="13" t="n">
        <v>1</v>
      </c>
      <c r="I16" s="13" t="n">
        <v>15</v>
      </c>
      <c r="J16" s="13" t="n">
        <v>450</v>
      </c>
      <c r="K16" s="13" t="n">
        <v>1105</v>
      </c>
      <c r="L16" s="13" t="n">
        <v>10</v>
      </c>
      <c r="M16" s="13" t="n">
        <v>61</v>
      </c>
      <c r="N16" s="13" t="n">
        <v>147</v>
      </c>
      <c r="O16" s="13" t="n"/>
      <c r="P16" s="13" t="n">
        <v>1927</v>
      </c>
      <c r="R16" s="3" t="n"/>
      <c r="S16" s="3" t="n"/>
      <c r="T16" s="3" t="n"/>
      <c r="U16" s="3" t="n"/>
      <c r="V16" s="3" t="n"/>
      <c r="X16" s="3" t="n">
        <v>6</v>
      </c>
      <c r="Y16" s="15" t="n"/>
      <c r="Z16" s="16" t="n">
        <v>90</v>
      </c>
      <c r="AA16" s="16" t="n">
        <v>540</v>
      </c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4" t="n"/>
      <c r="AL16" s="24" t="n"/>
      <c r="AM16" s="24" t="n"/>
      <c r="AN16" s="24" t="n"/>
      <c r="AO16" s="24" t="n"/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n"/>
      <c r="AY16" s="24" t="n"/>
      <c r="AZ16" s="24" t="n"/>
      <c r="BA16" s="24" t="n"/>
      <c r="BB16" s="24" t="n"/>
      <c r="BC16" s="24" t="n"/>
      <c r="BD16" s="24" t="n"/>
      <c r="BE16" s="24" t="n"/>
      <c r="BF16" s="24" t="n"/>
      <c r="BG16" s="24" t="n"/>
      <c r="BH16" s="24" t="n"/>
      <c r="BI16" s="24" t="n"/>
      <c r="BJ16" s="24" t="n"/>
      <c r="BK16" s="24" t="n"/>
      <c r="BL16" s="24" t="n"/>
      <c r="BM16" s="24" t="n"/>
      <c r="BN16" s="24" t="n"/>
      <c r="BO16" s="24" t="n"/>
      <c r="BP16" s="24" t="n"/>
      <c r="BQ16" s="24" t="n"/>
      <c r="BR16" s="24" t="n"/>
      <c r="BS16" s="24" t="n"/>
      <c r="BT16" s="24" t="n"/>
      <c r="BU16" s="24" t="n"/>
      <c r="BV16" s="24" t="n"/>
      <c r="BW16" s="24" t="n"/>
      <c r="BX16" s="24" t="n"/>
      <c r="BY16" s="24" t="n"/>
      <c r="BZ16" s="24" t="n"/>
      <c r="CA16" s="24" t="n"/>
      <c r="CB16" s="24" t="n"/>
      <c r="CC16" s="24" t="n"/>
      <c r="CD16" s="24" t="n"/>
      <c r="CE16" s="24" t="n"/>
      <c r="CF16" s="24" t="n"/>
      <c r="CG16" s="24" t="n"/>
      <c r="CH16" s="37">
        <f>+SUM(AC16:CG16)</f>
        <v/>
      </c>
      <c r="CJ16" s="27">
        <f>CH16</f>
        <v/>
      </c>
      <c r="CK16" s="22" t="n">
        <v>0</v>
      </c>
      <c r="CL16" s="22">
        <f>CJ16+CK16</f>
        <v/>
      </c>
      <c r="CM16" s="42" t="n"/>
      <c r="CN16" s="78" t="n"/>
      <c r="CO16" s="14">
        <f>DC16</f>
        <v/>
      </c>
      <c r="CP16" s="14">
        <f>CO16</f>
        <v/>
      </c>
      <c r="CQ16" s="14">
        <f>CP16-CJ16</f>
        <v/>
      </c>
      <c r="CR16" s="79" t="n"/>
      <c r="CS16" s="17" t="n"/>
      <c r="DC16" s="14">
        <f>SUM(CS16:DB16)</f>
        <v/>
      </c>
    </row>
    <row r="17" ht="15" customHeight="1">
      <c r="A17" s="33" t="inlineStr">
        <is>
          <t>AAA</t>
        </is>
      </c>
      <c r="B17" s="48" t="n"/>
      <c r="C17" s="56" t="inlineStr">
        <is>
          <t>ERMITA-TLAHUAC</t>
        </is>
      </c>
      <c r="D17" s="33" t="inlineStr">
        <is>
          <t>EULEN</t>
        </is>
      </c>
      <c r="E17" s="13" t="n">
        <v>188</v>
      </c>
      <c r="F17" s="13" t="n">
        <v>54</v>
      </c>
      <c r="G17" s="13" t="n">
        <v>8</v>
      </c>
      <c r="H17" s="13" t="n">
        <v>29</v>
      </c>
      <c r="I17" s="13" t="n">
        <v>8</v>
      </c>
      <c r="J17" s="13" t="n">
        <v>1147</v>
      </c>
      <c r="K17" s="13" t="n">
        <v>1048</v>
      </c>
      <c r="L17" s="13" t="n">
        <v>230</v>
      </c>
      <c r="M17" s="13" t="n">
        <v>94</v>
      </c>
      <c r="N17" s="13" t="n">
        <v>135</v>
      </c>
      <c r="O17" s="13" t="n"/>
      <c r="P17" s="13" t="n">
        <v>2941</v>
      </c>
      <c r="R17" s="3" t="n"/>
      <c r="S17" s="3" t="n"/>
      <c r="T17" s="3" t="n"/>
      <c r="U17" s="3" t="n"/>
      <c r="V17" s="3" t="n"/>
      <c r="X17" s="3" t="n">
        <v>9</v>
      </c>
      <c r="Y17" s="15" t="n"/>
      <c r="Z17" s="16" t="n">
        <v>135</v>
      </c>
      <c r="AA17" s="16" t="n">
        <v>810</v>
      </c>
      <c r="AC17" s="24" t="n"/>
      <c r="AD17" s="24" t="n"/>
      <c r="AE17" s="24" t="n"/>
      <c r="AF17" s="24" t="n"/>
      <c r="AG17" s="24" t="n"/>
      <c r="AH17" s="24" t="n"/>
      <c r="AI17" s="24" t="n"/>
      <c r="AJ17" s="24" t="n"/>
      <c r="AK17" s="24" t="n"/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n"/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24" t="n"/>
      <c r="BK17" s="24" t="n"/>
      <c r="BL17" s="24" t="n"/>
      <c r="BM17" s="24" t="n"/>
      <c r="BN17" s="24" t="n"/>
      <c r="BO17" s="24" t="n"/>
      <c r="BP17" s="24" t="n"/>
      <c r="BQ17" s="24" t="n"/>
      <c r="BR17" s="24" t="n"/>
      <c r="BS17" s="24" t="n"/>
      <c r="BT17" s="24" t="n"/>
      <c r="BU17" s="24" t="n"/>
      <c r="BV17" s="24" t="n"/>
      <c r="BW17" s="24" t="n"/>
      <c r="BX17" s="24" t="n"/>
      <c r="BY17" s="24" t="n"/>
      <c r="BZ17" s="24" t="n"/>
      <c r="CA17" s="24" t="n"/>
      <c r="CB17" s="24" t="n"/>
      <c r="CC17" s="24" t="n"/>
      <c r="CD17" s="24" t="n"/>
      <c r="CE17" s="24" t="n"/>
      <c r="CF17" s="24" t="n"/>
      <c r="CG17" s="24" t="n"/>
      <c r="CH17" s="37">
        <f>+SUM(AC17:CG17)</f>
        <v/>
      </c>
      <c r="CJ17" s="27">
        <f>CH17</f>
        <v/>
      </c>
      <c r="CK17" s="22" t="n">
        <v>0</v>
      </c>
      <c r="CL17" s="22">
        <f>CJ17+CK17</f>
        <v/>
      </c>
      <c r="CM17" s="42" t="n"/>
      <c r="CN17" s="78" t="n"/>
      <c r="CO17" s="14">
        <f>DC17</f>
        <v/>
      </c>
      <c r="CP17" s="14">
        <f>CO17</f>
        <v/>
      </c>
      <c r="CQ17" s="14">
        <f>CP17-CJ17</f>
        <v/>
      </c>
      <c r="CR17" s="79" t="n"/>
      <c r="CS17" s="17" t="n"/>
      <c r="DC17" s="14">
        <f>SUM(CS17:DB17)</f>
        <v/>
      </c>
    </row>
    <row r="18">
      <c r="A18" s="33" t="inlineStr">
        <is>
          <t>AAA</t>
        </is>
      </c>
      <c r="B18" s="48" t="n"/>
      <c r="C18" s="56" t="inlineStr">
        <is>
          <t>LINDAVISTA</t>
        </is>
      </c>
      <c r="D18" s="33" t="inlineStr">
        <is>
          <t>EULEN</t>
        </is>
      </c>
      <c r="E18" s="13" t="n">
        <v>81</v>
      </c>
      <c r="F18" s="13" t="n">
        <v>38</v>
      </c>
      <c r="G18" s="13" t="n">
        <v>40</v>
      </c>
      <c r="H18" s="13" t="n">
        <v>54</v>
      </c>
      <c r="I18" s="13" t="n">
        <v>7</v>
      </c>
      <c r="J18" s="13" t="n">
        <v>514</v>
      </c>
      <c r="K18" s="13" t="n">
        <v>541</v>
      </c>
      <c r="L18" s="13" t="n">
        <v>95</v>
      </c>
      <c r="M18" s="13" t="n">
        <v>92</v>
      </c>
      <c r="N18" s="13" t="n">
        <v>230</v>
      </c>
      <c r="O18" s="13" t="n"/>
      <c r="P18" s="13" t="n">
        <v>1692</v>
      </c>
      <c r="R18" s="3" t="n"/>
      <c r="S18" s="3" t="n"/>
      <c r="T18" s="3" t="n"/>
      <c r="U18" s="3" t="n"/>
      <c r="V18" s="3" t="n"/>
      <c r="X18" s="3" t="n">
        <v>5</v>
      </c>
      <c r="Y18" s="15" t="n"/>
      <c r="Z18" s="16" t="n">
        <v>75</v>
      </c>
      <c r="AA18" s="16" t="n">
        <v>450</v>
      </c>
      <c r="AC18" s="24" t="n"/>
      <c r="AD18" s="24" t="n"/>
      <c r="AE18" s="24" t="n"/>
      <c r="AF18" s="24" t="n"/>
      <c r="AG18" s="24" t="n"/>
      <c r="AH18" s="24" t="n"/>
      <c r="AI18" s="24" t="n"/>
      <c r="AJ18" s="24" t="n"/>
      <c r="AK18" s="24" t="n"/>
      <c r="AL18" s="24" t="n"/>
      <c r="AM18" s="24" t="n"/>
      <c r="AN18" s="24" t="n"/>
      <c r="AO18" s="24" t="n"/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n"/>
      <c r="BB18" s="24" t="n"/>
      <c r="BC18" s="24" t="n"/>
      <c r="BD18" s="24" t="n"/>
      <c r="BE18" s="24" t="n"/>
      <c r="BF18" s="24" t="n"/>
      <c r="BG18" s="24" t="n"/>
      <c r="BH18" s="24" t="n"/>
      <c r="BI18" s="24" t="n"/>
      <c r="BJ18" s="24" t="n"/>
      <c r="BK18" s="24" t="n"/>
      <c r="BL18" s="24" t="n"/>
      <c r="BM18" s="24" t="n"/>
      <c r="BN18" s="24" t="n"/>
      <c r="BO18" s="24" t="n"/>
      <c r="BP18" s="24" t="n"/>
      <c r="BQ18" s="24" t="n"/>
      <c r="BR18" s="24" t="n"/>
      <c r="BS18" s="24" t="n"/>
      <c r="BT18" s="24" t="n"/>
      <c r="BU18" s="24" t="n"/>
      <c r="BV18" s="24" t="n"/>
      <c r="BW18" s="24" t="n"/>
      <c r="BX18" s="24" t="n"/>
      <c r="BY18" s="24" t="n"/>
      <c r="BZ18" s="24" t="n"/>
      <c r="CA18" s="24" t="n"/>
      <c r="CB18" s="24" t="n"/>
      <c r="CC18" s="24" t="n"/>
      <c r="CD18" s="24" t="n"/>
      <c r="CE18" s="24" t="n"/>
      <c r="CF18" s="24" t="n"/>
      <c r="CG18" s="24" t="n"/>
      <c r="CH18" s="37">
        <f>+SUM(AC18:CG18)</f>
        <v/>
      </c>
      <c r="CJ18" s="27">
        <f>CH18</f>
        <v/>
      </c>
      <c r="CK18" s="22" t="n">
        <v>0</v>
      </c>
      <c r="CL18" s="22">
        <f>CJ18+CK18</f>
        <v/>
      </c>
      <c r="CM18" s="42" t="n"/>
      <c r="CN18" s="78" t="n"/>
      <c r="CO18" s="14">
        <f>DC18</f>
        <v/>
      </c>
      <c r="CP18" s="14">
        <f>CO18</f>
        <v/>
      </c>
      <c r="CQ18" s="14">
        <f>CP18-CJ18</f>
        <v/>
      </c>
      <c r="CR18" s="79" t="n"/>
      <c r="CS18" s="17" t="n"/>
      <c r="DC18" s="14">
        <f>SUM(CS18:DB18)</f>
        <v/>
      </c>
    </row>
    <row r="19" ht="15" customHeight="1">
      <c r="A19" s="33" t="inlineStr">
        <is>
          <t>AAA</t>
        </is>
      </c>
      <c r="B19" s="48" t="n"/>
      <c r="C19" s="56" t="inlineStr">
        <is>
          <t>LOMAS</t>
        </is>
      </c>
      <c r="D19" s="33" t="inlineStr">
        <is>
          <t>EULEN</t>
        </is>
      </c>
      <c r="E19" s="13" t="n">
        <v>23</v>
      </c>
      <c r="F19" s="13" t="n">
        <v>15</v>
      </c>
      <c r="G19" s="13" t="n">
        <v>151</v>
      </c>
      <c r="H19" s="13" t="n">
        <v>61</v>
      </c>
      <c r="I19" s="13" t="n">
        <v>2</v>
      </c>
      <c r="J19" s="13" t="n">
        <v>395</v>
      </c>
      <c r="K19" s="13" t="n">
        <v>749</v>
      </c>
      <c r="L19" s="13" t="n">
        <v>66</v>
      </c>
      <c r="M19" s="13" t="n">
        <v>81</v>
      </c>
      <c r="N19" s="13" t="n">
        <v>438</v>
      </c>
      <c r="O19" s="13" t="n"/>
      <c r="P19" s="13" t="n">
        <v>1981</v>
      </c>
      <c r="R19" s="3" t="n"/>
      <c r="S19" s="3" t="n"/>
      <c r="T19" s="3" t="n"/>
      <c r="U19" s="3" t="n"/>
      <c r="V19" s="3" t="n"/>
      <c r="X19" s="3" t="n">
        <v>6</v>
      </c>
      <c r="Y19" s="15" t="n"/>
      <c r="Z19" s="16" t="n">
        <v>90</v>
      </c>
      <c r="AA19" s="16" t="n">
        <v>540</v>
      </c>
      <c r="AC19" s="24" t="n"/>
      <c r="AD19" s="24" t="n"/>
      <c r="AE19" s="24" t="n"/>
      <c r="AF19" s="24" t="n"/>
      <c r="AG19" s="24" t="n"/>
      <c r="AH19" s="24" t="n"/>
      <c r="AI19" s="24" t="n"/>
      <c r="AJ19" s="24" t="n"/>
      <c r="AK19" s="24" t="n"/>
      <c r="AL19" s="24" t="n"/>
      <c r="AM19" s="24" t="n"/>
      <c r="AN19" s="24" t="n"/>
      <c r="AO19" s="24" t="n"/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n"/>
      <c r="BB19" s="24" t="n"/>
      <c r="BC19" s="24" t="n"/>
      <c r="BD19" s="24" t="n"/>
      <c r="BE19" s="24" t="n"/>
      <c r="BF19" s="24" t="n"/>
      <c r="BG19" s="24" t="n"/>
      <c r="BH19" s="24" t="n"/>
      <c r="BI19" s="24" t="n"/>
      <c r="BJ19" s="24" t="n"/>
      <c r="BK19" s="24" t="n"/>
      <c r="BL19" s="24" t="n"/>
      <c r="BM19" s="24" t="n"/>
      <c r="BN19" s="24" t="n"/>
      <c r="BO19" s="24" t="n"/>
      <c r="BP19" s="24" t="n"/>
      <c r="BQ19" s="24" t="n"/>
      <c r="BR19" s="24" t="n"/>
      <c r="BS19" s="24" t="n"/>
      <c r="BT19" s="24" t="n"/>
      <c r="BU19" s="24" t="n"/>
      <c r="BV19" s="24" t="n"/>
      <c r="BW19" s="24" t="n"/>
      <c r="BX19" s="24" t="n"/>
      <c r="BY19" s="24" t="n"/>
      <c r="BZ19" s="24" t="n"/>
      <c r="CA19" s="24" t="n"/>
      <c r="CB19" s="24" t="n"/>
      <c r="CC19" s="24" t="n"/>
      <c r="CD19" s="24" t="n"/>
      <c r="CE19" s="24" t="n"/>
      <c r="CF19" s="24" t="n"/>
      <c r="CG19" s="24" t="n"/>
      <c r="CH19" s="37">
        <f>+SUM(AC19:CG19)</f>
        <v/>
      </c>
      <c r="CJ19" s="27">
        <f>CH19</f>
        <v/>
      </c>
      <c r="CK19" s="22" t="n">
        <v>0</v>
      </c>
      <c r="CL19" s="22">
        <f>CJ19+CK19</f>
        <v/>
      </c>
      <c r="CM19" s="42" t="n"/>
      <c r="CN19" s="78" t="n"/>
      <c r="CO19" s="14">
        <f>DC19</f>
        <v/>
      </c>
      <c r="CP19" s="14">
        <f>CO19</f>
        <v/>
      </c>
      <c r="CQ19" s="14">
        <f>CP19-CJ19</f>
        <v/>
      </c>
      <c r="CR19" s="79" t="n"/>
      <c r="CS19" s="17" t="n"/>
      <c r="DC19" s="14">
        <f>SUM(CS19:DB19)</f>
        <v/>
      </c>
    </row>
    <row r="20">
      <c r="A20" s="33" t="inlineStr">
        <is>
          <t>AAA</t>
        </is>
      </c>
      <c r="B20" s="48" t="n"/>
      <c r="C20" s="56" t="inlineStr">
        <is>
          <t>MIXCOAC</t>
        </is>
      </c>
      <c r="D20" s="33" t="inlineStr">
        <is>
          <t>EULEN</t>
        </is>
      </c>
      <c r="E20" s="13" t="n">
        <v>16</v>
      </c>
      <c r="F20" s="13" t="n">
        <v>46</v>
      </c>
      <c r="G20" s="13" t="n">
        <v>87</v>
      </c>
      <c r="H20" s="13" t="n">
        <v>77</v>
      </c>
      <c r="I20" s="13" t="n">
        <v>2</v>
      </c>
      <c r="J20" s="13" t="n">
        <v>399</v>
      </c>
      <c r="K20" s="13" t="n">
        <v>655</v>
      </c>
      <c r="L20" s="13" t="n">
        <v>82</v>
      </c>
      <c r="M20" s="13" t="n">
        <v>54</v>
      </c>
      <c r="N20" s="13" t="n">
        <v>116</v>
      </c>
      <c r="O20" s="13" t="n"/>
      <c r="P20" s="13" t="n">
        <v>1534</v>
      </c>
      <c r="R20" s="3" t="n"/>
      <c r="S20" s="3" t="n"/>
      <c r="T20" s="3" t="n"/>
      <c r="U20" s="3" t="n"/>
      <c r="V20" s="3" t="n"/>
      <c r="X20" s="3" t="n">
        <v>5</v>
      </c>
      <c r="Y20" s="15" t="n"/>
      <c r="Z20" s="16" t="n">
        <v>75</v>
      </c>
      <c r="AA20" s="16" t="n">
        <v>450</v>
      </c>
      <c r="AC20" s="24" t="n"/>
      <c r="AD20" s="24" t="n"/>
      <c r="AE20" s="24" t="n"/>
      <c r="AF20" s="24" t="n"/>
      <c r="AG20" s="24" t="n"/>
      <c r="AH20" s="24" t="n"/>
      <c r="AI20" s="24" t="n"/>
      <c r="AJ20" s="24" t="n"/>
      <c r="AK20" s="24" t="n"/>
      <c r="AL20" s="24" t="n"/>
      <c r="AM20" s="24" t="n"/>
      <c r="AN20" s="24" t="n"/>
      <c r="AO20" s="24" t="n"/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n"/>
      <c r="BB20" s="24" t="n"/>
      <c r="BC20" s="24" t="n"/>
      <c r="BD20" s="24" t="n"/>
      <c r="BE20" s="24" t="n"/>
      <c r="BF20" s="24" t="n"/>
      <c r="BG20" s="24" t="n"/>
      <c r="BH20" s="24" t="n"/>
      <c r="BI20" s="24" t="n"/>
      <c r="BJ20" s="24" t="n"/>
      <c r="BK20" s="24" t="n"/>
      <c r="BL20" s="24" t="n"/>
      <c r="BM20" s="24" t="n"/>
      <c r="BN20" s="24" t="n"/>
      <c r="BO20" s="24" t="n"/>
      <c r="BP20" s="24" t="n"/>
      <c r="BQ20" s="24" t="n"/>
      <c r="BR20" s="24" t="n"/>
      <c r="BS20" s="24" t="n"/>
      <c r="BT20" s="24" t="n"/>
      <c r="BU20" s="24" t="n"/>
      <c r="BV20" s="24" t="n"/>
      <c r="BW20" s="24" t="n"/>
      <c r="BX20" s="24" t="n"/>
      <c r="BY20" s="24" t="n"/>
      <c r="BZ20" s="24" t="n"/>
      <c r="CA20" s="24" t="n"/>
      <c r="CB20" s="24" t="n"/>
      <c r="CC20" s="24" t="n"/>
      <c r="CD20" s="24" t="n"/>
      <c r="CE20" s="24" t="n"/>
      <c r="CF20" s="24" t="n"/>
      <c r="CG20" s="24" t="n"/>
      <c r="CH20" s="37">
        <f>+SUM(AC20:CG20)</f>
        <v/>
      </c>
      <c r="CJ20" s="27">
        <f>CH20</f>
        <v/>
      </c>
      <c r="CK20" s="22" t="n">
        <v>0</v>
      </c>
      <c r="CL20" s="22">
        <f>CJ20+CK20</f>
        <v/>
      </c>
      <c r="CM20" s="42" t="n"/>
      <c r="CN20" s="78" t="n"/>
      <c r="CO20" s="14">
        <f>DC20</f>
        <v/>
      </c>
      <c r="CP20" s="14">
        <f>CO20</f>
        <v/>
      </c>
      <c r="CQ20" s="14">
        <f>CP20-CJ20</f>
        <v/>
      </c>
      <c r="CR20" s="79" t="n"/>
      <c r="CS20" s="17" t="n"/>
      <c r="DC20" s="14">
        <f>SUM(CS20:DB20)</f>
        <v/>
      </c>
    </row>
    <row r="21">
      <c r="A21" s="33" t="inlineStr">
        <is>
          <t>AAA</t>
        </is>
      </c>
      <c r="B21" s="48" t="n"/>
      <c r="C21" s="56" t="inlineStr">
        <is>
          <t>SATELITE</t>
        </is>
      </c>
      <c r="D21" s="33" t="inlineStr">
        <is>
          <t>EULEN</t>
        </is>
      </c>
      <c r="E21" s="13" t="n">
        <v>91</v>
      </c>
      <c r="F21" s="13" t="n">
        <v>49</v>
      </c>
      <c r="G21" s="13" t="n">
        <v>40</v>
      </c>
      <c r="H21" s="13" t="n">
        <v>49</v>
      </c>
      <c r="I21" s="13" t="n"/>
      <c r="J21" s="13" t="n">
        <v>454</v>
      </c>
      <c r="K21" s="13" t="n">
        <v>1235</v>
      </c>
      <c r="L21" s="13" t="n">
        <v>34</v>
      </c>
      <c r="M21" s="13" t="n">
        <v>32</v>
      </c>
      <c r="N21" s="13" t="n">
        <v>106</v>
      </c>
      <c r="O21" s="13" t="n"/>
      <c r="P21" s="13" t="n">
        <v>2090</v>
      </c>
      <c r="R21" s="3" t="n"/>
      <c r="S21" s="3" t="n"/>
      <c r="T21" s="3" t="n"/>
      <c r="U21" s="3" t="n"/>
      <c r="V21" s="3" t="n"/>
      <c r="X21" s="3" t="n">
        <v>6</v>
      </c>
      <c r="Y21" s="15" t="n"/>
      <c r="Z21" s="16" t="n">
        <v>90</v>
      </c>
      <c r="AA21" s="16" t="n">
        <v>540</v>
      </c>
      <c r="AC21" s="24" t="n"/>
      <c r="AD21" s="24" t="n"/>
      <c r="AE21" s="24" t="n"/>
      <c r="AF21" s="24" t="n"/>
      <c r="AG21" s="24" t="n"/>
      <c r="AH21" s="24" t="n"/>
      <c r="AI21" s="24" t="n"/>
      <c r="AJ21" s="24" t="n"/>
      <c r="AK21" s="24" t="n"/>
      <c r="AL21" s="24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n"/>
      <c r="BI21" s="24" t="n"/>
      <c r="BJ21" s="24" t="n"/>
      <c r="BK21" s="24" t="n"/>
      <c r="BL21" s="24" t="n"/>
      <c r="BM21" s="24" t="n"/>
      <c r="BN21" s="24" t="n"/>
      <c r="BO21" s="24" t="n"/>
      <c r="BP21" s="24" t="n"/>
      <c r="BQ21" s="24" t="n"/>
      <c r="BR21" s="24" t="n"/>
      <c r="BS21" s="24" t="n"/>
      <c r="BT21" s="24" t="n"/>
      <c r="BU21" s="24" t="n"/>
      <c r="BV21" s="24" t="n"/>
      <c r="BW21" s="24" t="n"/>
      <c r="BX21" s="24" t="n"/>
      <c r="BY21" s="24" t="n"/>
      <c r="BZ21" s="24" t="n"/>
      <c r="CA21" s="24" t="n"/>
      <c r="CB21" s="24" t="n"/>
      <c r="CC21" s="24" t="n"/>
      <c r="CD21" s="24" t="n"/>
      <c r="CE21" s="24" t="n"/>
      <c r="CF21" s="24" t="n"/>
      <c r="CG21" s="24" t="n"/>
      <c r="CH21" s="37">
        <f>+SUM(AC21:CG21)</f>
        <v/>
      </c>
      <c r="CJ21" s="27">
        <f>CH21</f>
        <v/>
      </c>
      <c r="CK21" s="22" t="n">
        <v>0</v>
      </c>
      <c r="CL21" s="22">
        <f>CJ21+CK21</f>
        <v/>
      </c>
      <c r="CM21" s="42" t="n"/>
      <c r="CN21" s="78" t="n"/>
      <c r="CO21" s="14">
        <f>DC21</f>
        <v/>
      </c>
      <c r="CP21" s="14">
        <f>CO21</f>
        <v/>
      </c>
      <c r="CQ21" s="14">
        <f>CP21-CJ21</f>
        <v/>
      </c>
      <c r="CR21" s="79" t="n"/>
      <c r="CS21" s="17" t="n"/>
      <c r="DC21" s="14">
        <f>SUM(CS21:DB21)</f>
        <v/>
      </c>
    </row>
    <row r="22">
      <c r="A22" s="33" t="inlineStr">
        <is>
          <t>AAA</t>
        </is>
      </c>
      <c r="B22" s="48" t="n"/>
      <c r="C22" s="56" t="inlineStr">
        <is>
          <t>SOTELO</t>
        </is>
      </c>
      <c r="D22" s="33" t="inlineStr">
        <is>
          <t>EULEN</t>
        </is>
      </c>
      <c r="E22" s="13" t="n">
        <v>56</v>
      </c>
      <c r="F22" s="13" t="n">
        <v>5</v>
      </c>
      <c r="G22" s="13" t="n">
        <v>11</v>
      </c>
      <c r="H22" s="13" t="n">
        <v>10</v>
      </c>
      <c r="I22" s="13" t="n">
        <v>7</v>
      </c>
      <c r="J22" s="13" t="n">
        <v>286</v>
      </c>
      <c r="K22" s="13" t="n">
        <v>389</v>
      </c>
      <c r="L22" s="13" t="n">
        <v>4</v>
      </c>
      <c r="M22" s="13" t="n">
        <v>16</v>
      </c>
      <c r="N22" s="13" t="n">
        <v>19</v>
      </c>
      <c r="O22" s="13" t="n"/>
      <c r="P22" s="13" t="n">
        <v>803</v>
      </c>
      <c r="R22" s="3" t="n"/>
      <c r="S22" s="3" t="n"/>
      <c r="T22" s="3" t="n"/>
      <c r="U22" s="3" t="n"/>
      <c r="V22" s="3" t="n"/>
      <c r="X22" s="3" t="n">
        <v>3</v>
      </c>
      <c r="Y22" s="15" t="n"/>
      <c r="Z22" s="16" t="n">
        <v>45</v>
      </c>
      <c r="AA22" s="16" t="n">
        <v>270</v>
      </c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4" t="n"/>
      <c r="AL22" s="24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n"/>
      <c r="BI22" s="24" t="n"/>
      <c r="BJ22" s="24" t="n"/>
      <c r="BK22" s="24" t="n"/>
      <c r="BL22" s="24" t="n"/>
      <c r="BM22" s="24" t="n"/>
      <c r="BN22" s="24" t="n"/>
      <c r="BO22" s="24" t="n"/>
      <c r="BP22" s="24" t="n"/>
      <c r="BQ22" s="24" t="n"/>
      <c r="BR22" s="24" t="n"/>
      <c r="BS22" s="24" t="n"/>
      <c r="BT22" s="24" t="n"/>
      <c r="BU22" s="24" t="n"/>
      <c r="BV22" s="24" t="n"/>
      <c r="BW22" s="24" t="n"/>
      <c r="BX22" s="24" t="n"/>
      <c r="BY22" s="24" t="n"/>
      <c r="BZ22" s="24" t="n"/>
      <c r="CA22" s="24" t="n"/>
      <c r="CB22" s="24" t="n"/>
      <c r="CC22" s="24" t="n"/>
      <c r="CD22" s="24" t="n"/>
      <c r="CE22" s="24" t="n"/>
      <c r="CF22" s="24" t="n"/>
      <c r="CG22" s="24" t="n"/>
      <c r="CH22" s="37">
        <f>+SUM(AC22:CG22)</f>
        <v/>
      </c>
      <c r="CJ22" s="27">
        <f>CH22</f>
        <v/>
      </c>
      <c r="CK22" s="22" t="n">
        <v>0</v>
      </c>
      <c r="CL22" s="22">
        <f>CJ22+CK22</f>
        <v/>
      </c>
      <c r="CM22" s="42" t="n"/>
      <c r="CN22" s="78" t="n"/>
      <c r="CO22" s="14">
        <f>DC22</f>
        <v/>
      </c>
      <c r="CP22" s="14">
        <f>CO22</f>
        <v/>
      </c>
      <c r="CQ22" s="14">
        <f>CP22-CJ22</f>
        <v/>
      </c>
      <c r="CR22" s="79" t="n"/>
      <c r="CS22" s="17" t="n"/>
      <c r="DC22" s="14">
        <f>SUM(CS22:DB22)</f>
        <v/>
      </c>
    </row>
    <row r="23">
      <c r="A23" s="33" t="inlineStr">
        <is>
          <t>AAA</t>
        </is>
      </c>
      <c r="B23" s="48" t="n"/>
      <c r="C23" s="56" t="inlineStr">
        <is>
          <t>TECAMAC</t>
        </is>
      </c>
      <c r="D23" s="33" t="inlineStr">
        <is>
          <t>EULEN</t>
        </is>
      </c>
      <c r="E23" s="13" t="n">
        <v>60</v>
      </c>
      <c r="F23" s="13" t="n">
        <v>52</v>
      </c>
      <c r="G23" s="13" t="n"/>
      <c r="H23" s="13" t="n">
        <v>5</v>
      </c>
      <c r="I23" s="13" t="n">
        <v>22</v>
      </c>
      <c r="J23" s="13" t="n">
        <v>139</v>
      </c>
      <c r="K23" s="13" t="n">
        <v>364</v>
      </c>
      <c r="L23" s="13" t="n">
        <v>3</v>
      </c>
      <c r="M23" s="13" t="n">
        <v>13</v>
      </c>
      <c r="N23" s="13" t="n">
        <v>38</v>
      </c>
      <c r="O23" s="13" t="n"/>
      <c r="P23" s="13" t="n">
        <v>696</v>
      </c>
      <c r="R23" s="3" t="n"/>
      <c r="S23" s="3" t="n"/>
      <c r="T23" s="3" t="n"/>
      <c r="U23" s="3" t="n"/>
      <c r="V23" s="3" t="n"/>
      <c r="X23" s="3" t="n">
        <v>2</v>
      </c>
      <c r="Y23" s="15" t="n"/>
      <c r="Z23" s="16" t="n">
        <v>30</v>
      </c>
      <c r="AA23" s="16" t="n">
        <v>180</v>
      </c>
      <c r="AC23" s="24" t="n"/>
      <c r="AD23" s="24" t="n"/>
      <c r="AE23" s="24" t="n"/>
      <c r="AF23" s="24" t="n"/>
      <c r="AG23" s="24" t="n"/>
      <c r="AH23" s="24" t="n"/>
      <c r="AI23" s="24" t="n"/>
      <c r="AJ23" s="24" t="n"/>
      <c r="AK23" s="24" t="n"/>
      <c r="AL23" s="24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n"/>
      <c r="BI23" s="24" t="n"/>
      <c r="BJ23" s="24" t="n"/>
      <c r="BK23" s="24" t="n"/>
      <c r="BL23" s="24" t="n"/>
      <c r="BM23" s="24" t="n"/>
      <c r="BN23" s="24" t="n"/>
      <c r="BO23" s="24" t="n"/>
      <c r="BP23" s="24" t="n"/>
      <c r="BQ23" s="24" t="n"/>
      <c r="BR23" s="24" t="n"/>
      <c r="BS23" s="24" t="n"/>
      <c r="BT23" s="24" t="n"/>
      <c r="BU23" s="24" t="n"/>
      <c r="BV23" s="24" t="n"/>
      <c r="BW23" s="24" t="n"/>
      <c r="BX23" s="24" t="n"/>
      <c r="BY23" s="24" t="n"/>
      <c r="BZ23" s="24" t="n"/>
      <c r="CA23" s="24" t="n"/>
      <c r="CB23" s="24" t="n"/>
      <c r="CC23" s="24" t="n"/>
      <c r="CD23" s="24" t="n"/>
      <c r="CE23" s="24" t="n"/>
      <c r="CF23" s="24" t="n"/>
      <c r="CG23" s="24" t="n"/>
      <c r="CH23" s="37">
        <f>+SUM(AC23:CG23)</f>
        <v/>
      </c>
      <c r="CJ23" s="27">
        <f>CH23</f>
        <v/>
      </c>
      <c r="CK23" s="22" t="n">
        <v>0</v>
      </c>
      <c r="CL23" s="22">
        <f>CJ23+CK23</f>
        <v/>
      </c>
      <c r="CM23" s="42" t="n"/>
      <c r="CN23" s="78" t="n"/>
      <c r="CO23" s="14">
        <f>DC23</f>
        <v/>
      </c>
      <c r="CP23" s="14">
        <f>CO23</f>
        <v/>
      </c>
      <c r="CQ23" s="14">
        <f>CP23-CJ23</f>
        <v/>
      </c>
      <c r="CR23" s="79" t="n"/>
      <c r="CS23" s="17" t="n"/>
      <c r="DC23" s="14">
        <f>SUM(CS23:DB23)</f>
        <v/>
      </c>
    </row>
    <row r="24">
      <c r="A24" s="33" t="inlineStr">
        <is>
          <t>AAA</t>
        </is>
      </c>
      <c r="B24" s="48" t="n"/>
      <c r="C24" s="56" t="inlineStr">
        <is>
          <t>TEXCOCO-ZARAGOZA</t>
        </is>
      </c>
      <c r="D24" s="33" t="inlineStr">
        <is>
          <t>EULEN</t>
        </is>
      </c>
      <c r="E24" s="13" t="n">
        <v>80</v>
      </c>
      <c r="F24" s="13" t="n">
        <v>43</v>
      </c>
      <c r="G24" s="13" t="n">
        <v>19</v>
      </c>
      <c r="H24" s="13" t="n">
        <v>4</v>
      </c>
      <c r="I24" s="13" t="n"/>
      <c r="J24" s="13" t="n">
        <v>607</v>
      </c>
      <c r="K24" s="13" t="n">
        <v>815</v>
      </c>
      <c r="L24" s="13" t="n">
        <v>105</v>
      </c>
      <c r="M24" s="13" t="n">
        <v>86</v>
      </c>
      <c r="N24" s="13" t="n">
        <v>77</v>
      </c>
      <c r="O24" s="13" t="n"/>
      <c r="P24" s="13" t="n">
        <v>1836</v>
      </c>
      <c r="R24" s="3" t="n"/>
      <c r="S24" s="3" t="n"/>
      <c r="T24" s="3" t="n"/>
      <c r="U24" s="3" t="n"/>
      <c r="V24" s="3" t="n"/>
      <c r="X24" s="3" t="n">
        <v>6</v>
      </c>
      <c r="Y24" s="15" t="n"/>
      <c r="Z24" s="16" t="n">
        <v>90</v>
      </c>
      <c r="AA24" s="16" t="n">
        <v>540</v>
      </c>
      <c r="AC24" s="24" t="n"/>
      <c r="AD24" s="24" t="n"/>
      <c r="AE24" s="24" t="n"/>
      <c r="AF24" s="24" t="n"/>
      <c r="AG24" s="24" t="n"/>
      <c r="AH24" s="24" t="n"/>
      <c r="AI24" s="24" t="n"/>
      <c r="AJ24" s="24" t="n"/>
      <c r="AK24" s="24" t="n"/>
      <c r="AL24" s="24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n"/>
      <c r="BI24" s="24" t="n"/>
      <c r="BJ24" s="24" t="n"/>
      <c r="BK24" s="24" t="n"/>
      <c r="BL24" s="24" t="n"/>
      <c r="BM24" s="24" t="n"/>
      <c r="BN24" s="24" t="n"/>
      <c r="BO24" s="24" t="n"/>
      <c r="BP24" s="24" t="n"/>
      <c r="BQ24" s="24" t="n"/>
      <c r="BR24" s="24" t="n"/>
      <c r="BS24" s="24" t="n"/>
      <c r="BT24" s="24" t="n"/>
      <c r="BU24" s="24" t="n"/>
      <c r="BV24" s="24" t="n"/>
      <c r="BW24" s="24" t="n"/>
      <c r="BX24" s="24" t="n"/>
      <c r="BY24" s="24" t="n"/>
      <c r="BZ24" s="24" t="n"/>
      <c r="CA24" s="24" t="n"/>
      <c r="CB24" s="24" t="n"/>
      <c r="CC24" s="24" t="n"/>
      <c r="CD24" s="24" t="n"/>
      <c r="CE24" s="24" t="n"/>
      <c r="CF24" s="24" t="n"/>
      <c r="CG24" s="24" t="n"/>
      <c r="CH24" s="37">
        <f>+SUM(AC24:CG24)</f>
        <v/>
      </c>
      <c r="CJ24" s="27">
        <f>CH24</f>
        <v/>
      </c>
      <c r="CK24" s="22" t="n">
        <v>0</v>
      </c>
      <c r="CL24" s="22">
        <f>CJ24+CK24</f>
        <v/>
      </c>
      <c r="CM24" s="42" t="n"/>
      <c r="CN24" s="78" t="n"/>
      <c r="CO24" s="14">
        <f>DC24</f>
        <v/>
      </c>
      <c r="CP24" s="14">
        <f>CO24</f>
        <v/>
      </c>
      <c r="CQ24" s="14">
        <f>CP24-CJ24</f>
        <v/>
      </c>
      <c r="CR24" s="79" t="n"/>
      <c r="CS24" s="17" t="n"/>
      <c r="DC24" s="14">
        <f>SUM(CS24:DB24)</f>
        <v/>
      </c>
    </row>
    <row r="25" ht="15" customHeight="1">
      <c r="A25" s="33" t="inlineStr">
        <is>
          <t>AAA</t>
        </is>
      </c>
      <c r="B25" s="48" t="n"/>
      <c r="C25" s="56" t="inlineStr">
        <is>
          <t>UNIVERSIDAD</t>
        </is>
      </c>
      <c r="D25" s="33" t="inlineStr">
        <is>
          <t>EULEN</t>
        </is>
      </c>
      <c r="E25" s="13" t="n">
        <v>35</v>
      </c>
      <c r="F25" s="13" t="n">
        <v>29</v>
      </c>
      <c r="G25" s="13" t="n">
        <v>68</v>
      </c>
      <c r="H25" s="13" t="n">
        <v>82</v>
      </c>
      <c r="I25" s="13" t="n">
        <v>3</v>
      </c>
      <c r="J25" s="13" t="n">
        <v>392</v>
      </c>
      <c r="K25" s="13" t="n">
        <v>624</v>
      </c>
      <c r="L25" s="13" t="n">
        <v>95</v>
      </c>
      <c r="M25" s="13" t="n">
        <v>85</v>
      </c>
      <c r="N25" s="13" t="n">
        <v>142</v>
      </c>
      <c r="O25" s="13" t="n"/>
      <c r="P25" s="13" t="n">
        <v>1555</v>
      </c>
      <c r="R25" s="3" t="n"/>
      <c r="S25" s="3" t="n"/>
      <c r="T25" s="3" t="n"/>
      <c r="U25" s="3" t="n"/>
      <c r="V25" s="3" t="n"/>
      <c r="X25" s="3" t="n">
        <v>5</v>
      </c>
      <c r="Y25" s="15" t="n"/>
      <c r="Z25" s="16" t="n">
        <v>75</v>
      </c>
      <c r="AA25" s="16" t="n">
        <v>450</v>
      </c>
      <c r="AC25" s="24" t="n"/>
      <c r="AD25" s="24" t="n"/>
      <c r="AE25" s="24" t="n"/>
      <c r="AF25" s="24" t="n"/>
      <c r="AG25" s="24" t="n"/>
      <c r="AH25" s="24" t="n"/>
      <c r="AI25" s="24" t="n"/>
      <c r="AJ25" s="24" t="n"/>
      <c r="AK25" s="24" t="n"/>
      <c r="AL25" s="24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n"/>
      <c r="BI25" s="24" t="n"/>
      <c r="BJ25" s="24" t="n"/>
      <c r="BK25" s="24" t="n"/>
      <c r="BL25" s="24" t="n"/>
      <c r="BM25" s="24" t="n"/>
      <c r="BN25" s="24" t="n"/>
      <c r="BO25" s="24" t="n"/>
      <c r="BP25" s="24" t="n"/>
      <c r="BQ25" s="24" t="n"/>
      <c r="BR25" s="24" t="n"/>
      <c r="BS25" s="24" t="n"/>
      <c r="BT25" s="24" t="n"/>
      <c r="BU25" s="24" t="n"/>
      <c r="BV25" s="24" t="n"/>
      <c r="BW25" s="24" t="n"/>
      <c r="BX25" s="24" t="n"/>
      <c r="BY25" s="24" t="n"/>
      <c r="BZ25" s="24" t="n"/>
      <c r="CA25" s="24" t="n"/>
      <c r="CB25" s="24" t="n"/>
      <c r="CC25" s="24" t="n"/>
      <c r="CD25" s="24" t="n"/>
      <c r="CE25" s="24" t="n"/>
      <c r="CF25" s="24" t="n"/>
      <c r="CG25" s="24" t="n"/>
      <c r="CH25" s="37">
        <f>+SUM(AC25:CG25)</f>
        <v/>
      </c>
      <c r="CJ25" s="27">
        <f>CH25</f>
        <v/>
      </c>
      <c r="CK25" s="22" t="n">
        <v>0</v>
      </c>
      <c r="CL25" s="22">
        <f>CJ25+CK25</f>
        <v/>
      </c>
      <c r="CM25" s="42" t="n"/>
      <c r="CN25" s="78" t="n"/>
      <c r="CO25" s="14">
        <f>DC25</f>
        <v/>
      </c>
      <c r="CP25" s="14">
        <f>CO25</f>
        <v/>
      </c>
      <c r="CQ25" s="14">
        <f>CP25-CJ25</f>
        <v/>
      </c>
      <c r="CR25" s="79" t="n"/>
      <c r="CS25" s="17" t="n"/>
      <c r="DC25" s="14">
        <f>SUM(CS25:DB25)</f>
        <v/>
      </c>
    </row>
    <row r="26">
      <c r="A26" s="33" t="inlineStr">
        <is>
          <t>AAA</t>
        </is>
      </c>
      <c r="B26" s="49" t="n"/>
      <c r="C26" s="56" t="inlineStr">
        <is>
          <t>VALLE-SAN JUAN</t>
        </is>
      </c>
      <c r="D26" s="33" t="inlineStr">
        <is>
          <t>EULEN</t>
        </is>
      </c>
      <c r="E26" s="13" t="n">
        <v>31</v>
      </c>
      <c r="F26" s="13" t="n">
        <v>19</v>
      </c>
      <c r="G26" s="13" t="n">
        <v>83</v>
      </c>
      <c r="H26" s="13" t="n">
        <v>64</v>
      </c>
      <c r="I26" s="13" t="n">
        <v>2</v>
      </c>
      <c r="J26" s="13" t="n">
        <v>476</v>
      </c>
      <c r="K26" s="13" t="n">
        <v>496</v>
      </c>
      <c r="L26" s="13" t="n">
        <v>121</v>
      </c>
      <c r="M26" s="13" t="n">
        <v>52</v>
      </c>
      <c r="N26" s="13" t="n">
        <v>158</v>
      </c>
      <c r="O26" s="13" t="n"/>
      <c r="P26" s="13" t="n">
        <v>1502</v>
      </c>
      <c r="R26" s="3" t="n"/>
      <c r="S26" s="3" t="n"/>
      <c r="T26" s="3" t="n"/>
      <c r="U26" s="3" t="n"/>
      <c r="V26" s="3" t="n"/>
      <c r="X26" s="3" t="n">
        <v>5</v>
      </c>
      <c r="Z26" s="16" t="n">
        <v>75</v>
      </c>
      <c r="AA26" s="16" t="n">
        <v>450</v>
      </c>
      <c r="AC26" s="24" t="n"/>
      <c r="AD26" s="24" t="n"/>
      <c r="AE26" s="24" t="n"/>
      <c r="AF26" s="24" t="n"/>
      <c r="AG26" s="24" t="n"/>
      <c r="AH26" s="24" t="n"/>
      <c r="AI26" s="24" t="n"/>
      <c r="AJ26" s="24" t="n"/>
      <c r="AK26" s="24" t="n"/>
      <c r="AL26" s="24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n"/>
      <c r="BI26" s="24" t="n"/>
      <c r="BJ26" s="24" t="n"/>
      <c r="BK26" s="24" t="n"/>
      <c r="BL26" s="24" t="n"/>
      <c r="BM26" s="24" t="n"/>
      <c r="BN26" s="24" t="n"/>
      <c r="BO26" s="24" t="n"/>
      <c r="BP26" s="24" t="n"/>
      <c r="BQ26" s="24" t="n"/>
      <c r="BR26" s="24" t="n"/>
      <c r="BS26" s="24" t="n"/>
      <c r="BT26" s="24" t="n"/>
      <c r="BU26" s="24" t="n"/>
      <c r="BV26" s="24" t="n"/>
      <c r="BW26" s="24" t="n"/>
      <c r="BX26" s="24" t="n"/>
      <c r="BY26" s="24" t="n"/>
      <c r="BZ26" s="24" t="n"/>
      <c r="CA26" s="24" t="n"/>
      <c r="CB26" s="24" t="n"/>
      <c r="CC26" s="24" t="n"/>
      <c r="CD26" s="24" t="n"/>
      <c r="CE26" s="24" t="n"/>
      <c r="CF26" s="24" t="n"/>
      <c r="CG26" s="24" t="n"/>
      <c r="CH26" s="37">
        <f>+SUM(AC26:CG26)</f>
        <v/>
      </c>
      <c r="CJ26" s="27">
        <f>CH26</f>
        <v/>
      </c>
      <c r="CK26" s="22" t="n">
        <v>0</v>
      </c>
      <c r="CL26" s="22">
        <f>CJ26+CK26</f>
        <v/>
      </c>
      <c r="CM26" s="42" t="n"/>
      <c r="CN26" s="78" t="n"/>
      <c r="CO26" s="14">
        <f>DC26</f>
        <v/>
      </c>
      <c r="CP26" s="14">
        <f>CO26</f>
        <v/>
      </c>
      <c r="CQ26" s="14">
        <f>CP26-CJ26</f>
        <v/>
      </c>
      <c r="CR26" s="79" t="n"/>
      <c r="CS26" s="17" t="n"/>
      <c r="DC26" s="14">
        <f>SUM(CS26:DB26)</f>
        <v/>
      </c>
    </row>
    <row r="27">
      <c r="A27" s="33" t="inlineStr">
        <is>
          <t>AAA</t>
        </is>
      </c>
      <c r="B27" s="50" t="inlineStr">
        <is>
          <t>MORELOS</t>
        </is>
      </c>
      <c r="C27" s="56" t="inlineStr">
        <is>
          <t>MORELOS</t>
        </is>
      </c>
      <c r="D27" s="33" t="inlineStr">
        <is>
          <t>IASA</t>
        </is>
      </c>
      <c r="E27" s="13" t="n">
        <v>74</v>
      </c>
      <c r="F27" s="13" t="n">
        <v>91</v>
      </c>
      <c r="G27" s="13" t="n"/>
      <c r="H27" s="13" t="n">
        <v>11</v>
      </c>
      <c r="I27" s="13" t="n">
        <v>12</v>
      </c>
      <c r="J27" s="13" t="n">
        <v>581</v>
      </c>
      <c r="K27" s="13" t="n">
        <v>816</v>
      </c>
      <c r="L27" s="13" t="n">
        <v>53</v>
      </c>
      <c r="M27" s="13" t="n">
        <v>35</v>
      </c>
      <c r="N27" s="13" t="n">
        <v>219</v>
      </c>
      <c r="O27" s="13" t="n"/>
      <c r="P27" s="13" t="n">
        <v>1892</v>
      </c>
      <c r="R27" s="3" t="n"/>
      <c r="S27" s="3" t="n"/>
      <c r="T27" s="3" t="n"/>
      <c r="U27" s="3" t="n"/>
      <c r="V27" s="3" t="n"/>
      <c r="X27" s="3" t="n">
        <v>6</v>
      </c>
      <c r="Y27" s="15" t="n"/>
      <c r="Z27" s="16" t="n">
        <v>90</v>
      </c>
      <c r="AA27" s="16" t="n">
        <v>540</v>
      </c>
      <c r="AC27" s="24" t="n"/>
      <c r="AD27" s="24" t="n"/>
      <c r="AE27" s="24" t="n"/>
      <c r="AF27" s="24" t="n"/>
      <c r="AG27" s="24" t="n"/>
      <c r="AH27" s="24" t="n">
        <v>52</v>
      </c>
      <c r="AI27" s="24" t="n"/>
      <c r="AJ27" s="24" t="n">
        <v>11</v>
      </c>
      <c r="AK27" s="24" t="n">
        <v>19</v>
      </c>
      <c r="AL27" s="24" t="n">
        <v>22</v>
      </c>
      <c r="AM27" s="24" t="n">
        <v>26</v>
      </c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n"/>
      <c r="BI27" s="24" t="n"/>
      <c r="BJ27" s="24" t="n"/>
      <c r="BK27" s="24" t="n"/>
      <c r="BL27" s="24" t="n"/>
      <c r="BM27" s="24" t="n"/>
      <c r="BN27" s="24" t="n"/>
      <c r="BO27" s="24" t="n"/>
      <c r="BP27" s="24" t="n"/>
      <c r="BQ27" s="24" t="n"/>
      <c r="BR27" s="24" t="n"/>
      <c r="BS27" s="24" t="n"/>
      <c r="BT27" s="24" t="n"/>
      <c r="BU27" s="24" t="n"/>
      <c r="BV27" s="24" t="n"/>
      <c r="BW27" s="24" t="n"/>
      <c r="BX27" s="24" t="n"/>
      <c r="BY27" s="24" t="n"/>
      <c r="BZ27" s="24" t="n"/>
      <c r="CA27" s="24" t="n"/>
      <c r="CB27" s="24" t="n"/>
      <c r="CC27" s="24" t="n"/>
      <c r="CD27" s="24" t="n"/>
      <c r="CE27" s="24" t="n"/>
      <c r="CF27" s="24" t="n"/>
      <c r="CG27" s="24" t="n"/>
      <c r="CH27" s="37">
        <f>+SUM(AC27:CG27)</f>
        <v/>
      </c>
      <c r="CJ27" s="27">
        <f>CH27</f>
        <v/>
      </c>
      <c r="CK27" s="22" t="n">
        <v>0</v>
      </c>
      <c r="CL27" s="22">
        <f>CJ27+CK27</f>
        <v/>
      </c>
      <c r="CM27" s="42" t="n"/>
      <c r="CN27" s="78" t="n"/>
      <c r="CO27" s="14">
        <f>DC27</f>
        <v/>
      </c>
      <c r="CP27" s="14">
        <f>CO27</f>
        <v/>
      </c>
      <c r="CQ27" s="14">
        <f>CP27-CJ27</f>
        <v/>
      </c>
      <c r="CR27" s="79" t="n"/>
      <c r="CS27" s="17" t="n"/>
      <c r="CX27" t="n">
        <v>198</v>
      </c>
      <c r="CZ27" t="n">
        <v>210</v>
      </c>
      <c r="DA27" t="n">
        <v>34</v>
      </c>
      <c r="DB27" t="n">
        <v>344</v>
      </c>
      <c r="DC27" s="14">
        <f>SUM(CS27:DB27)</f>
        <v/>
      </c>
    </row>
    <row r="28" ht="15" customHeight="1">
      <c r="A28" s="33" t="inlineStr">
        <is>
          <t>AAA</t>
        </is>
      </c>
      <c r="B28" s="50" t="inlineStr">
        <is>
          <t>TOLUCA</t>
        </is>
      </c>
      <c r="C28" s="56" t="inlineStr">
        <is>
          <t>TOLUCA</t>
        </is>
      </c>
      <c r="D28" s="33" t="inlineStr">
        <is>
          <t>IASA</t>
        </is>
      </c>
      <c r="E28" s="13" t="n">
        <v>67</v>
      </c>
      <c r="F28" s="13" t="n">
        <v>38</v>
      </c>
      <c r="G28" s="13" t="n"/>
      <c r="H28" s="13" t="n">
        <v>5</v>
      </c>
      <c r="I28" s="13" t="n">
        <v>2</v>
      </c>
      <c r="J28" s="13" t="n">
        <v>642</v>
      </c>
      <c r="K28" s="13" t="n">
        <v>1135</v>
      </c>
      <c r="L28" s="13" t="n">
        <v>17</v>
      </c>
      <c r="M28" s="13" t="n">
        <v>27</v>
      </c>
      <c r="N28" s="13" t="n">
        <v>97</v>
      </c>
      <c r="O28" s="13" t="n"/>
      <c r="P28" s="13" t="n">
        <v>2030</v>
      </c>
      <c r="R28" s="3" t="n"/>
      <c r="S28" s="3" t="n"/>
      <c r="T28" s="3" t="n"/>
      <c r="U28" s="3" t="n"/>
      <c r="V28" s="3" t="n"/>
      <c r="X28" s="3" t="n">
        <v>6</v>
      </c>
      <c r="Y28" s="15" t="n"/>
      <c r="Z28" s="16" t="n">
        <v>90</v>
      </c>
      <c r="AA28" s="16" t="n">
        <v>540</v>
      </c>
      <c r="AC28" s="24" t="n"/>
      <c r="AD28" s="24" t="n"/>
      <c r="AE28" s="24" t="n"/>
      <c r="AF28" s="24" t="n"/>
      <c r="AG28" s="24" t="n"/>
      <c r="AH28" s="24" t="n"/>
      <c r="AI28" s="24" t="n"/>
      <c r="AJ28" s="24" t="n">
        <v>13</v>
      </c>
      <c r="AK28" s="24" t="n">
        <v>15</v>
      </c>
      <c r="AL28" s="24" t="n">
        <v>12</v>
      </c>
      <c r="AM28" s="24" t="n">
        <v>7</v>
      </c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n"/>
      <c r="BI28" s="24" t="n"/>
      <c r="BJ28" s="24" t="n"/>
      <c r="BK28" s="24" t="n"/>
      <c r="BL28" s="24" t="n"/>
      <c r="BM28" s="24" t="n"/>
      <c r="BN28" s="24" t="n"/>
      <c r="BO28" s="24" t="n"/>
      <c r="BP28" s="24" t="n"/>
      <c r="BQ28" s="24" t="n"/>
      <c r="BR28" s="24" t="n"/>
      <c r="BS28" s="24" t="n"/>
      <c r="BT28" s="24" t="n"/>
      <c r="BU28" s="24" t="n"/>
      <c r="BV28" s="24" t="n"/>
      <c r="BW28" s="24" t="n"/>
      <c r="BX28" s="24" t="n"/>
      <c r="BY28" s="24" t="n"/>
      <c r="BZ28" s="24" t="n"/>
      <c r="CA28" s="24" t="n"/>
      <c r="CB28" s="24" t="n"/>
      <c r="CC28" s="24" t="n"/>
      <c r="CD28" s="24" t="n"/>
      <c r="CE28" s="24" t="n"/>
      <c r="CF28" s="24" t="n"/>
      <c r="CG28" s="24" t="n"/>
      <c r="CH28" s="37">
        <f>+SUM(AC28:CG28)</f>
        <v/>
      </c>
      <c r="CJ28" s="27">
        <f>CH28</f>
        <v/>
      </c>
      <c r="CK28" s="22" t="n">
        <v>0</v>
      </c>
      <c r="CL28" s="22">
        <f>CJ28+CK28</f>
        <v/>
      </c>
      <c r="CM28" s="42" t="n"/>
      <c r="CN28" s="78" t="n"/>
      <c r="CO28" s="14">
        <f>DC28</f>
        <v/>
      </c>
      <c r="CP28" s="14">
        <f>CO28</f>
        <v/>
      </c>
      <c r="CQ28" s="14">
        <f>CP28-CJ28</f>
        <v/>
      </c>
      <c r="CR28" s="79" t="n"/>
      <c r="CS28" s="17" t="n">
        <v>67</v>
      </c>
      <c r="CT28" t="n">
        <v>38</v>
      </c>
      <c r="CV28" t="n">
        <v>5</v>
      </c>
      <c r="CX28" t="n">
        <v>8</v>
      </c>
      <c r="CY28" t="n">
        <v>16</v>
      </c>
      <c r="CZ28" t="n">
        <v>17</v>
      </c>
      <c r="DA28" t="n">
        <v>27</v>
      </c>
      <c r="DC28" s="14">
        <f>SUM(CS28:DB28)</f>
        <v/>
      </c>
    </row>
    <row r="29" ht="15" customHeight="1">
      <c r="A29" s="33" t="n">
        <v>1</v>
      </c>
      <c r="B29" s="58" t="inlineStr">
        <is>
          <t>GUADALAJARA</t>
        </is>
      </c>
      <c r="C29" s="56" t="inlineStr">
        <is>
          <t>GUADALAJARA CENTRO</t>
        </is>
      </c>
      <c r="D29" s="33" t="inlineStr">
        <is>
          <t>IASA</t>
        </is>
      </c>
      <c r="E29" s="13" t="n">
        <v>22</v>
      </c>
      <c r="F29" s="13" t="n">
        <v>240</v>
      </c>
      <c r="G29" s="13" t="n">
        <v>3</v>
      </c>
      <c r="H29" s="13" t="n">
        <v>92</v>
      </c>
      <c r="I29" s="13" t="n">
        <v>4</v>
      </c>
      <c r="J29" s="13" t="n">
        <v>134</v>
      </c>
      <c r="K29" s="13" t="n">
        <v>851</v>
      </c>
      <c r="L29" s="13" t="n">
        <v>954</v>
      </c>
      <c r="M29" s="13" t="n">
        <v>1</v>
      </c>
      <c r="N29" s="13" t="n">
        <v>116</v>
      </c>
      <c r="O29" s="13" t="n"/>
      <c r="P29" s="13" t="n">
        <v>2417</v>
      </c>
      <c r="R29" s="3" t="n"/>
      <c r="S29" s="3" t="n"/>
      <c r="T29" s="3" t="n"/>
      <c r="U29" s="3" t="n"/>
      <c r="V29" s="3" t="n"/>
      <c r="X29" s="3" t="n">
        <v>7</v>
      </c>
      <c r="Y29" s="2" t="n"/>
      <c r="Z29" s="16" t="n">
        <v>105</v>
      </c>
      <c r="AA29" s="16" t="n">
        <v>630</v>
      </c>
      <c r="AC29" s="24" t="n"/>
      <c r="AD29" s="24" t="n"/>
      <c r="AE29" s="24" t="n"/>
      <c r="AF29" s="24" t="n"/>
      <c r="AG29" s="24" t="n"/>
      <c r="AH29" s="24" t="n"/>
      <c r="AI29" s="24" t="n"/>
      <c r="AJ29" s="24" t="n"/>
      <c r="AK29" s="24" t="n">
        <v>3</v>
      </c>
      <c r="AL29" s="24" t="n"/>
      <c r="AM29" s="24" t="n">
        <v>17</v>
      </c>
      <c r="AN29" s="24" t="n"/>
      <c r="AO29" s="24" t="n"/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n"/>
      <c r="AY29" s="24" t="n"/>
      <c r="AZ29" s="24" t="n"/>
      <c r="BA29" s="24" t="n"/>
      <c r="BB29" s="24" t="n"/>
      <c r="BC29" s="24" t="n"/>
      <c r="BD29" s="24" t="n"/>
      <c r="BE29" s="24" t="n"/>
      <c r="BF29" s="24" t="n"/>
      <c r="BG29" s="24" t="n"/>
      <c r="BH29" s="24" t="n"/>
      <c r="BI29" s="24" t="n"/>
      <c r="BJ29" s="24" t="n"/>
      <c r="BK29" s="24" t="n"/>
      <c r="BL29" s="24" t="n"/>
      <c r="BM29" s="24" t="n"/>
      <c r="BN29" s="24" t="n"/>
      <c r="BO29" s="24" t="n"/>
      <c r="BP29" s="24" t="n"/>
      <c r="BQ29" s="24" t="n"/>
      <c r="BR29" s="24" t="n"/>
      <c r="BS29" s="24" t="n"/>
      <c r="BT29" s="24" t="n"/>
      <c r="BU29" s="24" t="n"/>
      <c r="BV29" s="24" t="n"/>
      <c r="BW29" s="24" t="n"/>
      <c r="BX29" s="24" t="n"/>
      <c r="BY29" s="24" t="n"/>
      <c r="BZ29" s="24" t="n"/>
      <c r="CA29" s="24" t="n"/>
      <c r="CB29" s="24" t="n"/>
      <c r="CC29" s="24" t="n"/>
      <c r="CD29" s="24" t="n"/>
      <c r="CE29" s="24" t="n"/>
      <c r="CF29" s="24" t="n"/>
      <c r="CG29" s="24" t="n"/>
      <c r="CH29" s="37">
        <f>+SUM(AC29:CG29)</f>
        <v/>
      </c>
      <c r="CJ29" s="27">
        <f>CH29</f>
        <v/>
      </c>
      <c r="CK29" s="22" t="n">
        <v>0</v>
      </c>
      <c r="CL29" s="22">
        <f>CJ29+CK29</f>
        <v/>
      </c>
      <c r="CM29" s="42" t="n"/>
      <c r="CN29" s="78" t="n"/>
      <c r="CO29" s="14">
        <f>DC29</f>
        <v/>
      </c>
      <c r="CP29" s="14">
        <f>CO29</f>
        <v/>
      </c>
      <c r="CQ29" s="14">
        <f>CP29-CJ29</f>
        <v/>
      </c>
      <c r="CR29" s="79" t="n"/>
      <c r="CS29" s="17" t="n"/>
      <c r="CT29" t="n">
        <v>80</v>
      </c>
      <c r="DB29" t="n">
        <v>6</v>
      </c>
      <c r="DC29" s="14">
        <f>SUM(CS29:DB29)</f>
        <v/>
      </c>
    </row>
    <row r="30" ht="15" customHeight="1">
      <c r="A30" s="33" t="n">
        <v>1</v>
      </c>
      <c r="B30" s="60" t="n"/>
      <c r="C30" s="56" t="inlineStr">
        <is>
          <t>GUADALAJARA ORIENTE</t>
        </is>
      </c>
      <c r="D30" s="33" t="inlineStr">
        <is>
          <t>IASA</t>
        </is>
      </c>
      <c r="E30" s="13" t="n">
        <v>38</v>
      </c>
      <c r="F30" s="13" t="n">
        <v>156</v>
      </c>
      <c r="G30" s="13" t="n">
        <v>2</v>
      </c>
      <c r="H30" s="13" t="n">
        <v>28</v>
      </c>
      <c r="I30" s="13" t="n">
        <v>13</v>
      </c>
      <c r="J30" s="13" t="n">
        <v>64</v>
      </c>
      <c r="K30" s="13" t="n">
        <v>795</v>
      </c>
      <c r="L30" s="13" t="n">
        <v>573</v>
      </c>
      <c r="M30" s="13" t="n"/>
      <c r="N30" s="13" t="n">
        <v>40</v>
      </c>
      <c r="O30" s="13" t="n"/>
      <c r="P30" s="13" t="n">
        <v>1709</v>
      </c>
      <c r="R30" s="3" t="n"/>
      <c r="S30" s="3" t="n"/>
      <c r="T30" s="3" t="n"/>
      <c r="U30" s="3" t="n"/>
      <c r="V30" s="3" t="n"/>
      <c r="X30" s="3" t="n">
        <v>5</v>
      </c>
      <c r="Y30" s="15" t="n"/>
      <c r="Z30" s="16" t="n">
        <v>75</v>
      </c>
      <c r="AA30" s="16" t="n">
        <v>450</v>
      </c>
      <c r="AC30" s="24" t="n"/>
      <c r="AD30" s="24" t="n"/>
      <c r="AE30" s="24" t="n"/>
      <c r="AF30" s="24" t="n"/>
      <c r="AG30" s="24" t="n"/>
      <c r="AH30" s="24" t="n"/>
      <c r="AI30" s="24" t="n"/>
      <c r="AJ30" s="24" t="n"/>
      <c r="AK30" s="24" t="n"/>
      <c r="AL30" s="24" t="n"/>
      <c r="AM30" s="24" t="n"/>
      <c r="AN30" s="24" t="n"/>
      <c r="AO30" s="24" t="n"/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n"/>
      <c r="AY30" s="24" t="n"/>
      <c r="AZ30" s="24" t="n"/>
      <c r="BA30" s="24" t="n"/>
      <c r="BB30" s="24" t="n"/>
      <c r="BC30" s="24" t="n"/>
      <c r="BD30" s="24" t="n"/>
      <c r="BE30" s="24" t="n"/>
      <c r="BF30" s="24" t="n"/>
      <c r="BG30" s="24" t="n"/>
      <c r="BH30" s="24" t="n"/>
      <c r="BI30" s="24" t="n"/>
      <c r="BJ30" s="24" t="n"/>
      <c r="BK30" s="24" t="n"/>
      <c r="BL30" s="24" t="n"/>
      <c r="BM30" s="24" t="n"/>
      <c r="BN30" s="24" t="n"/>
      <c r="BO30" s="24" t="n"/>
      <c r="BP30" s="24" t="n"/>
      <c r="BQ30" s="24" t="n"/>
      <c r="BR30" s="24" t="n"/>
      <c r="BS30" s="24" t="n"/>
      <c r="BT30" s="24" t="n"/>
      <c r="BU30" s="24" t="n"/>
      <c r="BV30" s="24" t="n"/>
      <c r="BW30" s="24" t="n"/>
      <c r="BX30" s="24" t="n"/>
      <c r="BY30" s="24" t="n"/>
      <c r="BZ30" s="24" t="n"/>
      <c r="CA30" s="24" t="n"/>
      <c r="CB30" s="24" t="n"/>
      <c r="CC30" s="24" t="n"/>
      <c r="CD30" s="24" t="n"/>
      <c r="CE30" s="24" t="n"/>
      <c r="CF30" s="24" t="n"/>
      <c r="CG30" s="24" t="n"/>
      <c r="CH30" s="37">
        <f>+SUM(AC30:CG30)</f>
        <v/>
      </c>
      <c r="CJ30" s="27">
        <f>CH30</f>
        <v/>
      </c>
      <c r="CK30" s="22" t="n">
        <v>0</v>
      </c>
      <c r="CL30" s="22">
        <f>CJ30+CK30</f>
        <v/>
      </c>
      <c r="CM30" s="42" t="n"/>
      <c r="CN30" s="78" t="n"/>
      <c r="CO30" s="14">
        <f>DC30</f>
        <v/>
      </c>
      <c r="CP30" s="14">
        <f>CO30</f>
        <v/>
      </c>
      <c r="CQ30" s="14">
        <f>CP30-CJ30</f>
        <v/>
      </c>
      <c r="CR30" s="79" t="n"/>
      <c r="CS30" s="17" t="n"/>
      <c r="DB30" t="n">
        <v>40</v>
      </c>
      <c r="DC30" s="14">
        <f>SUM(CS30:DB30)</f>
        <v/>
      </c>
    </row>
    <row r="31">
      <c r="A31" s="33" t="n">
        <v>1</v>
      </c>
      <c r="B31" s="59" t="n"/>
      <c r="C31" s="56" t="inlineStr">
        <is>
          <t>GUADALAJARA PONIENTE</t>
        </is>
      </c>
      <c r="D31" s="33" t="inlineStr">
        <is>
          <t>EULEN</t>
        </is>
      </c>
      <c r="E31" s="13" t="n">
        <v>65</v>
      </c>
      <c r="F31" s="13" t="n">
        <v>277</v>
      </c>
      <c r="G31" s="13" t="n">
        <v>5</v>
      </c>
      <c r="H31" s="13" t="n">
        <v>372</v>
      </c>
      <c r="I31" s="13" t="n">
        <v>3</v>
      </c>
      <c r="J31" s="13" t="n">
        <v>120</v>
      </c>
      <c r="K31" s="13" t="n">
        <v>811</v>
      </c>
      <c r="L31" s="13" t="n">
        <v>636</v>
      </c>
      <c r="M31" s="13" t="n">
        <v>2</v>
      </c>
      <c r="N31" s="13" t="n">
        <v>35</v>
      </c>
      <c r="O31" s="13" t="n"/>
      <c r="P31" s="13" t="n">
        <v>2326</v>
      </c>
      <c r="R31" s="3" t="n"/>
      <c r="S31" s="3" t="n"/>
      <c r="T31" s="3" t="n"/>
      <c r="U31" s="3" t="n"/>
      <c r="V31" s="3" t="n"/>
      <c r="X31" s="3" t="n">
        <v>7</v>
      </c>
      <c r="Z31" s="16" t="n">
        <v>105</v>
      </c>
      <c r="AA31" s="16" t="n">
        <v>630</v>
      </c>
      <c r="AC31" s="24" t="n"/>
      <c r="AD31" s="24" t="n"/>
      <c r="AE31" s="24" t="n"/>
      <c r="AF31" s="24" t="n"/>
      <c r="AG31" s="24" t="n"/>
      <c r="AH31" s="24" t="n"/>
      <c r="AI31" s="24" t="n"/>
      <c r="AJ31" s="24" t="n"/>
      <c r="AK31" s="24" t="n"/>
      <c r="AL31" s="24" t="n"/>
      <c r="AM31" s="24" t="n"/>
      <c r="AN31" s="24" t="n"/>
      <c r="AO31" s="24" t="n"/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n"/>
      <c r="AY31" s="24" t="n"/>
      <c r="AZ31" s="24" t="n"/>
      <c r="BA31" s="24" t="n"/>
      <c r="BB31" s="24" t="n"/>
      <c r="BC31" s="24" t="n"/>
      <c r="BD31" s="24" t="n"/>
      <c r="BE31" s="24" t="n"/>
      <c r="BF31" s="24" t="n"/>
      <c r="BG31" s="24" t="n"/>
      <c r="BH31" s="24" t="n"/>
      <c r="BI31" s="24" t="n"/>
      <c r="BJ31" s="24" t="n"/>
      <c r="BK31" s="24" t="n"/>
      <c r="BL31" s="24" t="n"/>
      <c r="BM31" s="24" t="n"/>
      <c r="BN31" s="24" t="n"/>
      <c r="BO31" s="24" t="n"/>
      <c r="BP31" s="24" t="n"/>
      <c r="BQ31" s="24" t="n"/>
      <c r="BR31" s="24" t="n"/>
      <c r="BS31" s="24" t="n"/>
      <c r="BT31" s="24" t="n"/>
      <c r="BU31" s="24" t="n"/>
      <c r="BV31" s="24" t="n"/>
      <c r="BW31" s="24" t="n"/>
      <c r="BX31" s="24" t="n"/>
      <c r="BY31" s="24" t="n"/>
      <c r="BZ31" s="24" t="n"/>
      <c r="CA31" s="24" t="n"/>
      <c r="CB31" s="24" t="n"/>
      <c r="CC31" s="24" t="n"/>
      <c r="CD31" s="24" t="n"/>
      <c r="CE31" s="24" t="n"/>
      <c r="CF31" s="24" t="n"/>
      <c r="CG31" s="24" t="n"/>
      <c r="CH31" s="37">
        <f>+SUM(AC31:CG31)</f>
        <v/>
      </c>
      <c r="CJ31" s="27">
        <f>CH31</f>
        <v/>
      </c>
      <c r="CK31" s="22" t="n">
        <v>0</v>
      </c>
      <c r="CL31" s="22">
        <f>CJ31+CK31</f>
        <v/>
      </c>
      <c r="CM31" s="42" t="n"/>
      <c r="CN31" s="78" t="n"/>
      <c r="CO31" s="14">
        <f>DC31</f>
        <v/>
      </c>
      <c r="CP31" s="14">
        <f>CO31</f>
        <v/>
      </c>
      <c r="CQ31" s="14">
        <f>CP31-CJ31</f>
        <v/>
      </c>
      <c r="CR31" s="79" t="n"/>
      <c r="CS31" s="17" t="n"/>
      <c r="DC31" s="14">
        <f>SUM(CS31:DB31)</f>
        <v/>
      </c>
    </row>
    <row r="32">
      <c r="A32" s="33" t="n">
        <v>2</v>
      </c>
      <c r="B32" s="58" t="inlineStr">
        <is>
          <t>MONTERREY</t>
        </is>
      </c>
      <c r="C32" s="56" t="inlineStr">
        <is>
          <t>MONTERREY 1</t>
        </is>
      </c>
      <c r="D32" s="33" t="inlineStr">
        <is>
          <t>IASA</t>
        </is>
      </c>
      <c r="E32" s="13" t="n">
        <v>25</v>
      </c>
      <c r="F32" s="13" t="n">
        <v>177</v>
      </c>
      <c r="G32" s="13" t="n">
        <v>1</v>
      </c>
      <c r="H32" s="13" t="n">
        <v>12</v>
      </c>
      <c r="I32" s="13" t="n">
        <v>12</v>
      </c>
      <c r="J32" s="13" t="n">
        <v>176</v>
      </c>
      <c r="K32" s="13" t="n">
        <v>1607</v>
      </c>
      <c r="L32" s="13" t="n">
        <v>102</v>
      </c>
      <c r="M32" s="13" t="n">
        <v>14</v>
      </c>
      <c r="N32" s="13" t="n">
        <v>88</v>
      </c>
      <c r="O32" s="13" t="n"/>
      <c r="P32" s="13" t="n">
        <v>2214</v>
      </c>
      <c r="R32" s="3" t="n"/>
      <c r="S32" s="3" t="n"/>
      <c r="T32" s="3" t="n"/>
      <c r="U32" s="3" t="n"/>
      <c r="V32" s="3" t="n"/>
      <c r="X32" s="3" t="n">
        <v>7</v>
      </c>
      <c r="Y32" s="15" t="n"/>
      <c r="Z32" s="16" t="n">
        <v>105</v>
      </c>
      <c r="AA32" s="16" t="n">
        <v>630</v>
      </c>
      <c r="AC32" s="24" t="n"/>
      <c r="AD32" s="24" t="n"/>
      <c r="AE32" s="24" t="n"/>
      <c r="AF32" s="24" t="n"/>
      <c r="AG32" s="24" t="n"/>
      <c r="AH32" s="24" t="n"/>
      <c r="AI32" s="24" t="n"/>
      <c r="AJ32" s="24" t="n"/>
      <c r="AK32" s="24" t="n"/>
      <c r="AL32" s="24" t="n"/>
      <c r="AM32" s="24" t="n"/>
      <c r="AN32" s="24" t="n"/>
      <c r="AO32" s="24" t="n"/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n"/>
      <c r="AY32" s="24" t="n"/>
      <c r="AZ32" s="24" t="n"/>
      <c r="BA32" s="24" t="n"/>
      <c r="BB32" s="24" t="n"/>
      <c r="BC32" s="24" t="n"/>
      <c r="BD32" s="24" t="n"/>
      <c r="BE32" s="24" t="n"/>
      <c r="BF32" s="24" t="n"/>
      <c r="BG32" s="24" t="n"/>
      <c r="BH32" s="24" t="n"/>
      <c r="BI32" s="24" t="n"/>
      <c r="BJ32" s="24" t="n"/>
      <c r="BK32" s="24" t="n"/>
      <c r="BL32" s="24" t="n"/>
      <c r="BM32" s="24" t="n"/>
      <c r="BN32" s="24" t="n"/>
      <c r="BO32" s="24" t="n"/>
      <c r="BP32" s="24" t="n"/>
      <c r="BQ32" s="24" t="n"/>
      <c r="BR32" s="24" t="n"/>
      <c r="BS32" s="24" t="n"/>
      <c r="BT32" s="24" t="n"/>
      <c r="BU32" s="24" t="n"/>
      <c r="BV32" s="24" t="n"/>
      <c r="BW32" s="24" t="n"/>
      <c r="BX32" s="24" t="n"/>
      <c r="BY32" s="24" t="n"/>
      <c r="BZ32" s="24" t="n"/>
      <c r="CA32" s="24" t="n"/>
      <c r="CB32" s="24" t="n"/>
      <c r="CC32" s="24" t="n"/>
      <c r="CD32" s="24" t="n"/>
      <c r="CE32" s="24" t="n"/>
      <c r="CF32" s="24" t="n"/>
      <c r="CG32" s="24" t="n"/>
      <c r="CH32" s="37">
        <f>+SUM(AC32:CG32)</f>
        <v/>
      </c>
      <c r="CJ32" s="27">
        <f>CH32</f>
        <v/>
      </c>
      <c r="CK32" s="22" t="n">
        <v>0</v>
      </c>
      <c r="CL32" s="22">
        <f>CJ32+CK32</f>
        <v/>
      </c>
      <c r="CM32" s="42" t="n"/>
      <c r="CN32" s="78" t="n"/>
      <c r="CO32" s="14">
        <f>DC32</f>
        <v/>
      </c>
      <c r="CP32" s="14">
        <f>CO32</f>
        <v/>
      </c>
      <c r="CQ32" s="14">
        <f>CP32-CJ32</f>
        <v/>
      </c>
      <c r="CR32" s="79" t="n"/>
      <c r="CS32" s="17" t="n"/>
      <c r="CT32" t="n">
        <v>12</v>
      </c>
      <c r="DB32" t="n">
        <v>88</v>
      </c>
      <c r="DC32" s="14">
        <f>SUM(CS32:DB32)</f>
        <v/>
      </c>
    </row>
    <row r="33">
      <c r="A33" s="33" t="n">
        <v>2</v>
      </c>
      <c r="B33" s="60" t="n"/>
      <c r="C33" s="56" t="inlineStr">
        <is>
          <t>MONTERREY 2</t>
        </is>
      </c>
      <c r="D33" s="33" t="inlineStr">
        <is>
          <t>IASA</t>
        </is>
      </c>
      <c r="E33" s="13" t="n">
        <v>11</v>
      </c>
      <c r="F33" s="13" t="n">
        <v>116</v>
      </c>
      <c r="G33" s="13" t="n">
        <v>8</v>
      </c>
      <c r="H33" s="13" t="n">
        <v>56</v>
      </c>
      <c r="I33" s="13" t="n">
        <v>4</v>
      </c>
      <c r="J33" s="13" t="n">
        <v>195</v>
      </c>
      <c r="K33" s="13" t="n">
        <v>1290</v>
      </c>
      <c r="L33" s="13" t="n">
        <v>512</v>
      </c>
      <c r="M33" s="13" t="n">
        <v>6</v>
      </c>
      <c r="N33" s="13" t="n">
        <v>68</v>
      </c>
      <c r="O33" s="13" t="n"/>
      <c r="P33" s="13" t="n">
        <v>2266</v>
      </c>
      <c r="R33" s="3" t="n"/>
      <c r="S33" s="3" t="n"/>
      <c r="T33" s="3" t="n"/>
      <c r="U33" s="3" t="n"/>
      <c r="V33" s="3" t="n"/>
      <c r="X33" s="3" t="n">
        <v>7</v>
      </c>
      <c r="Z33" s="16" t="n">
        <v>105</v>
      </c>
      <c r="AA33" s="16" t="n">
        <v>630</v>
      </c>
      <c r="AC33" s="24" t="n"/>
      <c r="AD33" s="24" t="n"/>
      <c r="AE33" s="24" t="n"/>
      <c r="AF33" s="24" t="n"/>
      <c r="AG33" s="24" t="n"/>
      <c r="AH33" s="24" t="n"/>
      <c r="AI33" s="24" t="n"/>
      <c r="AJ33" s="24" t="n"/>
      <c r="AK33" s="24" t="n"/>
      <c r="AL33" s="24" t="n"/>
      <c r="AM33" s="24" t="n"/>
      <c r="AN33" s="24" t="n"/>
      <c r="AO33" s="24" t="n"/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n"/>
      <c r="AY33" s="24" t="n"/>
      <c r="AZ33" s="24" t="n"/>
      <c r="BA33" s="24" t="n"/>
      <c r="BB33" s="24" t="n"/>
      <c r="BC33" s="24" t="n"/>
      <c r="BD33" s="24" t="n"/>
      <c r="BE33" s="24" t="n"/>
      <c r="BF33" s="24" t="n"/>
      <c r="BG33" s="24" t="n"/>
      <c r="BH33" s="24" t="n"/>
      <c r="BI33" s="24" t="n"/>
      <c r="BJ33" s="24" t="n"/>
      <c r="BK33" s="24" t="n"/>
      <c r="BL33" s="24" t="n"/>
      <c r="BM33" s="24" t="n"/>
      <c r="BN33" s="24" t="n"/>
      <c r="BO33" s="24" t="n"/>
      <c r="BP33" s="24" t="n"/>
      <c r="BQ33" s="24" t="n"/>
      <c r="BR33" s="24" t="n"/>
      <c r="BS33" s="24" t="n"/>
      <c r="BT33" s="24" t="n"/>
      <c r="BU33" s="24" t="n"/>
      <c r="BV33" s="24" t="n"/>
      <c r="BW33" s="24" t="n"/>
      <c r="BX33" s="24" t="n"/>
      <c r="BY33" s="24" t="n"/>
      <c r="BZ33" s="24" t="n"/>
      <c r="CA33" s="24" t="n"/>
      <c r="CB33" s="24" t="n"/>
      <c r="CC33" s="24" t="n"/>
      <c r="CD33" s="24" t="n"/>
      <c r="CE33" s="24" t="n"/>
      <c r="CF33" s="24" t="n"/>
      <c r="CG33" s="24" t="n"/>
      <c r="CH33" s="37">
        <f>+SUM(AC33:CG33)</f>
        <v/>
      </c>
      <c r="CJ33" s="27">
        <f>CH33</f>
        <v/>
      </c>
      <c r="CK33" s="22" t="n">
        <v>0</v>
      </c>
      <c r="CL33" s="22">
        <f>CJ33+CK33</f>
        <v/>
      </c>
      <c r="CM33" s="42" t="n"/>
      <c r="CN33" s="78" t="n"/>
      <c r="CO33" s="14">
        <f>DC33</f>
        <v/>
      </c>
      <c r="CP33" s="14">
        <f>CO33</f>
        <v/>
      </c>
      <c r="CQ33" s="14">
        <f>CP33-CJ33</f>
        <v/>
      </c>
      <c r="CR33" s="79" t="n"/>
      <c r="CS33" s="17" t="n"/>
      <c r="DC33" s="14">
        <f>SUM(CS33:DB33)</f>
        <v/>
      </c>
    </row>
    <row r="34">
      <c r="A34" s="33" t="n">
        <v>2</v>
      </c>
      <c r="B34" s="59" t="n"/>
      <c r="C34" s="56" t="inlineStr">
        <is>
          <t>MONTERREY 3</t>
        </is>
      </c>
      <c r="D34" s="33" t="inlineStr">
        <is>
          <t>IASA</t>
        </is>
      </c>
      <c r="E34" s="13" t="n">
        <v>3</v>
      </c>
      <c r="F34" s="13" t="n">
        <v>75</v>
      </c>
      <c r="G34" s="13" t="n">
        <v>67</v>
      </c>
      <c r="H34" s="13" t="n">
        <v>12</v>
      </c>
      <c r="I34" s="13" t="n"/>
      <c r="J34" s="13" t="n">
        <v>77</v>
      </c>
      <c r="K34" s="13" t="n">
        <v>456</v>
      </c>
      <c r="L34" s="13" t="n">
        <v>630</v>
      </c>
      <c r="M34" s="13" t="n">
        <v>1</v>
      </c>
      <c r="N34" s="13" t="n">
        <v>22</v>
      </c>
      <c r="O34" s="13" t="n"/>
      <c r="P34" s="13" t="n">
        <v>1343</v>
      </c>
      <c r="R34" s="3" t="n"/>
      <c r="S34" s="3" t="n"/>
      <c r="T34" s="3" t="n"/>
      <c r="U34" s="3" t="n"/>
      <c r="V34" s="3" t="n"/>
      <c r="X34" s="3" t="n">
        <v>4</v>
      </c>
      <c r="Y34" s="15" t="n"/>
      <c r="Z34" s="16" t="n">
        <v>60</v>
      </c>
      <c r="AA34" s="16" t="n">
        <v>360</v>
      </c>
      <c r="AC34" s="24" t="n"/>
      <c r="AD34" s="24" t="n"/>
      <c r="AE34" s="24" t="n"/>
      <c r="AF34" s="24" t="n"/>
      <c r="AG34" s="24" t="n"/>
      <c r="AH34" s="24" t="n"/>
      <c r="AI34" s="24" t="n"/>
      <c r="AJ34" s="24" t="n"/>
      <c r="AK34" s="24" t="n"/>
      <c r="AL34" s="24" t="n"/>
      <c r="AM34" s="24" t="n"/>
      <c r="AN34" s="24" t="n"/>
      <c r="AO34" s="24" t="n"/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n"/>
      <c r="AY34" s="24" t="n"/>
      <c r="AZ34" s="24" t="n"/>
      <c r="BA34" s="24" t="n"/>
      <c r="BB34" s="24" t="n"/>
      <c r="BC34" s="24" t="n"/>
      <c r="BD34" s="24" t="n"/>
      <c r="BE34" s="24" t="n"/>
      <c r="BF34" s="24" t="n"/>
      <c r="BG34" s="24" t="n"/>
      <c r="BH34" s="24" t="n"/>
      <c r="BI34" s="24" t="n"/>
      <c r="BJ34" s="24" t="n"/>
      <c r="BK34" s="24" t="n"/>
      <c r="BL34" s="24" t="n"/>
      <c r="BM34" s="24" t="n"/>
      <c r="BN34" s="24" t="n"/>
      <c r="BO34" s="24" t="n"/>
      <c r="BP34" s="24" t="n"/>
      <c r="BQ34" s="24" t="n"/>
      <c r="BR34" s="24" t="n"/>
      <c r="BS34" s="24" t="n"/>
      <c r="BT34" s="24" t="n"/>
      <c r="BU34" s="24" t="n"/>
      <c r="BV34" s="24" t="n"/>
      <c r="BW34" s="24" t="n"/>
      <c r="BX34" s="24" t="n"/>
      <c r="BY34" s="24" t="n"/>
      <c r="BZ34" s="24" t="n"/>
      <c r="CA34" s="24" t="n"/>
      <c r="CB34" s="24" t="n"/>
      <c r="CC34" s="24" t="n"/>
      <c r="CD34" s="24" t="n"/>
      <c r="CE34" s="24" t="n"/>
      <c r="CF34" s="24" t="n"/>
      <c r="CG34" s="24" t="n"/>
      <c r="CH34" s="37">
        <f>+SUM(AC34:CG34)</f>
        <v/>
      </c>
      <c r="CJ34" s="27">
        <f>CH34</f>
        <v/>
      </c>
      <c r="CK34" s="22" t="n">
        <v>0</v>
      </c>
      <c r="CL34" s="22">
        <f>CJ34+CK34</f>
        <v/>
      </c>
      <c r="CM34" s="42" t="n"/>
      <c r="CN34" s="78" t="n"/>
      <c r="CO34" s="14">
        <f>DC34</f>
        <v/>
      </c>
      <c r="CP34" s="14">
        <f>CO34</f>
        <v/>
      </c>
      <c r="CQ34" s="14">
        <f>CP34-CJ34</f>
        <v/>
      </c>
      <c r="CR34" s="79" t="n"/>
      <c r="CS34" s="17" t="n"/>
      <c r="DC34" s="14">
        <f>SUM(CS34:DB34)</f>
        <v/>
      </c>
    </row>
    <row r="35">
      <c r="A35" s="33" t="n">
        <v>3</v>
      </c>
      <c r="B35" s="50" t="inlineStr">
        <is>
          <t>QUERETARO</t>
        </is>
      </c>
      <c r="C35" s="56" t="inlineStr">
        <is>
          <t>QUERETARO</t>
        </is>
      </c>
      <c r="D35" s="33" t="inlineStr">
        <is>
          <t>IASA</t>
        </is>
      </c>
      <c r="E35" s="13" t="n">
        <v>71</v>
      </c>
      <c r="F35" s="13" t="n">
        <v>252</v>
      </c>
      <c r="G35" s="13" t="n">
        <v>44</v>
      </c>
      <c r="H35" s="13" t="n">
        <v>38</v>
      </c>
      <c r="I35" s="13" t="n">
        <v>28</v>
      </c>
      <c r="J35" s="13" t="n">
        <v>459</v>
      </c>
      <c r="K35" s="13" t="n">
        <v>1106</v>
      </c>
      <c r="L35" s="13" t="n">
        <v>109</v>
      </c>
      <c r="M35" s="13" t="n">
        <v>1</v>
      </c>
      <c r="N35" s="13" t="n">
        <v>56</v>
      </c>
      <c r="O35" s="13" t="n"/>
      <c r="P35" s="13" t="n">
        <v>2164</v>
      </c>
      <c r="R35" s="3" t="n"/>
      <c r="S35" s="3" t="n"/>
      <c r="T35" s="3" t="n"/>
      <c r="U35" s="3" t="n"/>
      <c r="V35" s="3" t="n"/>
      <c r="X35" s="3" t="n">
        <v>7</v>
      </c>
      <c r="Y35" s="15" t="n"/>
      <c r="Z35" s="16" t="n">
        <v>105</v>
      </c>
      <c r="AA35" s="16" t="n">
        <v>630</v>
      </c>
      <c r="AC35" s="24" t="n"/>
      <c r="AD35" s="24" t="n"/>
      <c r="AE35" s="24" t="n"/>
      <c r="AF35" s="24" t="n"/>
      <c r="AG35" s="24" t="n"/>
      <c r="AH35" s="24" t="n"/>
      <c r="AI35" s="24" t="n"/>
      <c r="AJ35" s="24" t="n"/>
      <c r="AK35" s="24" t="n"/>
      <c r="AL35" s="24" t="n"/>
      <c r="AM35" s="24" t="n"/>
      <c r="AN35" s="24" t="n"/>
      <c r="AO35" s="24" t="n"/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n"/>
      <c r="AY35" s="24" t="n"/>
      <c r="AZ35" s="24" t="n"/>
      <c r="BA35" s="24" t="n"/>
      <c r="BB35" s="24" t="n"/>
      <c r="BC35" s="24" t="n"/>
      <c r="BD35" s="24" t="n"/>
      <c r="BE35" s="24" t="n"/>
      <c r="BF35" s="24" t="n"/>
      <c r="BG35" s="24" t="n"/>
      <c r="BH35" s="24" t="n"/>
      <c r="BI35" s="24" t="n"/>
      <c r="BJ35" s="24" t="n"/>
      <c r="BK35" s="24" t="n"/>
      <c r="BL35" s="24" t="n"/>
      <c r="BM35" s="24" t="n"/>
      <c r="BN35" s="24" t="n"/>
      <c r="BO35" s="24" t="n"/>
      <c r="BP35" s="24" t="n"/>
      <c r="BQ35" s="24" t="n"/>
      <c r="BR35" s="24" t="n"/>
      <c r="BS35" s="24" t="n"/>
      <c r="BT35" s="24" t="n"/>
      <c r="BU35" s="24" t="n"/>
      <c r="BV35" s="24" t="n"/>
      <c r="BW35" s="24" t="n"/>
      <c r="BX35" s="24" t="n"/>
      <c r="BY35" s="24" t="n"/>
      <c r="BZ35" s="24" t="n"/>
      <c r="CA35" s="24" t="n"/>
      <c r="CB35" s="24" t="n"/>
      <c r="CC35" s="24" t="n"/>
      <c r="CD35" s="24" t="n"/>
      <c r="CE35" s="24" t="n"/>
      <c r="CF35" s="24" t="n"/>
      <c r="CG35" s="24" t="n"/>
      <c r="CH35" s="37">
        <f>+SUM(AC35:CG35)</f>
        <v/>
      </c>
      <c r="CJ35" s="27">
        <f>CH35</f>
        <v/>
      </c>
      <c r="CK35" s="22" t="n">
        <v>0</v>
      </c>
      <c r="CL35" s="22">
        <f>CJ35+CK35</f>
        <v/>
      </c>
      <c r="CM35" s="42" t="n"/>
      <c r="CN35" s="78" t="n"/>
      <c r="CO35" s="14">
        <f>DC35</f>
        <v/>
      </c>
      <c r="CP35" s="14">
        <f>CO35</f>
        <v/>
      </c>
      <c r="CQ35" s="14">
        <f>CP35-CJ35</f>
        <v/>
      </c>
      <c r="CR35" s="79" t="n"/>
      <c r="CS35" s="17" t="n">
        <v>21</v>
      </c>
      <c r="CT35" t="n">
        <v>20</v>
      </c>
      <c r="CU35" t="n">
        <v>16</v>
      </c>
      <c r="CV35" t="n">
        <v>18</v>
      </c>
      <c r="DB35" t="n">
        <v>24</v>
      </c>
      <c r="DC35" s="14">
        <f>SUM(CS35:DB35)</f>
        <v/>
      </c>
    </row>
    <row r="36" ht="15.75" customHeight="1">
      <c r="A36" s="33" t="n">
        <v>5</v>
      </c>
      <c r="B36" s="50" t="inlineStr">
        <is>
          <t>ESTADO DE MEXICO SUR</t>
        </is>
      </c>
      <c r="C36" s="56" t="inlineStr">
        <is>
          <t>ESTADO DE MEXICO SUR</t>
        </is>
      </c>
      <c r="D36" s="33" t="inlineStr">
        <is>
          <t>IASA</t>
        </is>
      </c>
      <c r="E36" s="13" t="n">
        <v>2</v>
      </c>
      <c r="F36" s="13" t="n">
        <v>4</v>
      </c>
      <c r="G36" s="13" t="n"/>
      <c r="H36" s="13" t="n"/>
      <c r="I36" s="13" t="n"/>
      <c r="J36" s="13" t="n">
        <v>42</v>
      </c>
      <c r="K36" s="13" t="n">
        <v>82</v>
      </c>
      <c r="L36" s="13" t="n">
        <v>4</v>
      </c>
      <c r="M36" s="13" t="n">
        <v>2</v>
      </c>
      <c r="N36" s="13" t="n">
        <v>8</v>
      </c>
      <c r="O36" s="13" t="n"/>
      <c r="P36" s="13" t="n">
        <v>144</v>
      </c>
      <c r="R36" s="3" t="n"/>
      <c r="S36" s="3" t="n"/>
      <c r="T36" s="3" t="n"/>
      <c r="U36" s="3" t="n"/>
      <c r="V36" s="3" t="n"/>
      <c r="X36" s="3" t="n">
        <v>1</v>
      </c>
      <c r="Y36" s="15" t="n"/>
      <c r="Z36" s="16" t="n">
        <v>15</v>
      </c>
      <c r="AA36" s="16" t="n">
        <v>90</v>
      </c>
      <c r="AC36" s="24" t="n"/>
      <c r="AD36" s="24" t="n"/>
      <c r="AE36" s="24" t="n"/>
      <c r="AF36" s="24" t="n"/>
      <c r="AG36" s="24" t="n"/>
      <c r="AH36" s="24" t="n"/>
      <c r="AI36" s="24" t="n"/>
      <c r="AJ36" s="24" t="n"/>
      <c r="AK36" s="24" t="n">
        <v>11</v>
      </c>
      <c r="AL36" s="24" t="n">
        <v>9</v>
      </c>
      <c r="AM36" s="24" t="n"/>
      <c r="AN36" s="24" t="n"/>
      <c r="AO36" s="24" t="n"/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n"/>
      <c r="AY36" s="24" t="n"/>
      <c r="AZ36" s="24" t="n"/>
      <c r="BA36" s="24" t="n"/>
      <c r="BB36" s="24" t="n"/>
      <c r="BC36" s="24" t="n"/>
      <c r="BD36" s="24" t="n"/>
      <c r="BE36" s="24" t="n"/>
      <c r="BF36" s="24" t="n"/>
      <c r="BG36" s="24" t="n"/>
      <c r="BH36" s="24" t="n"/>
      <c r="BI36" s="24" t="n"/>
      <c r="BJ36" s="24" t="n"/>
      <c r="BK36" s="24" t="n"/>
      <c r="BL36" s="24" t="n"/>
      <c r="BM36" s="24" t="n"/>
      <c r="BN36" s="24" t="n"/>
      <c r="BO36" s="24" t="n"/>
      <c r="BP36" s="24" t="n"/>
      <c r="BQ36" s="24" t="n"/>
      <c r="BR36" s="24" t="n"/>
      <c r="BS36" s="24" t="n"/>
      <c r="BT36" s="24" t="n"/>
      <c r="BU36" s="24" t="n"/>
      <c r="BV36" s="24" t="n"/>
      <c r="BW36" s="24" t="n"/>
      <c r="BX36" s="24" t="n"/>
      <c r="BY36" s="24" t="n"/>
      <c r="BZ36" s="24" t="n"/>
      <c r="CA36" s="24" t="n"/>
      <c r="CB36" s="24" t="n"/>
      <c r="CC36" s="24" t="n"/>
      <c r="CD36" s="24" t="n"/>
      <c r="CE36" s="24" t="n"/>
      <c r="CF36" s="24" t="n"/>
      <c r="CG36" s="24" t="n"/>
      <c r="CH36" s="37">
        <f>+SUM(AC36:CG36)</f>
        <v/>
      </c>
      <c r="CJ36" s="27">
        <f>CH36</f>
        <v/>
      </c>
      <c r="CK36" s="22" t="n">
        <v>0</v>
      </c>
      <c r="CL36" s="22">
        <f>CJ36+CK36</f>
        <v/>
      </c>
      <c r="CM36" s="42" t="n"/>
      <c r="CN36" s="78" t="n"/>
      <c r="CO36" s="14">
        <f>DC36</f>
        <v/>
      </c>
      <c r="CP36" s="14">
        <f>CO36</f>
        <v/>
      </c>
      <c r="CQ36" s="14">
        <f>CP36-CJ36</f>
        <v/>
      </c>
      <c r="CR36" s="79" t="n"/>
      <c r="CS36" s="17" t="n"/>
      <c r="DC36" s="14">
        <f>SUM(CS36:DB36)</f>
        <v/>
      </c>
    </row>
    <row r="37">
      <c r="A37" s="33" t="n">
        <v>6</v>
      </c>
      <c r="B37" s="50" t="inlineStr">
        <is>
          <t>PUEBLA</t>
        </is>
      </c>
      <c r="C37" s="56" t="inlineStr">
        <is>
          <t>PUEBLA</t>
        </is>
      </c>
      <c r="D37" s="33" t="inlineStr">
        <is>
          <t>IASA</t>
        </is>
      </c>
      <c r="E37" s="13" t="n">
        <v>163</v>
      </c>
      <c r="F37" s="13" t="n">
        <v>436</v>
      </c>
      <c r="G37" s="13" t="n">
        <v>1</v>
      </c>
      <c r="H37" s="13" t="n">
        <v>38</v>
      </c>
      <c r="I37" s="13" t="n">
        <v>87</v>
      </c>
      <c r="J37" s="13" t="n">
        <v>153</v>
      </c>
      <c r="K37" s="13" t="n">
        <v>1212</v>
      </c>
      <c r="L37" s="13" t="n"/>
      <c r="M37" s="13" t="n">
        <v>3</v>
      </c>
      <c r="N37" s="13" t="n">
        <v>384</v>
      </c>
      <c r="O37" s="13" t="n"/>
      <c r="P37" s="13" t="n">
        <v>2477</v>
      </c>
      <c r="R37" s="3" t="n"/>
      <c r="S37" s="3" t="n"/>
      <c r="T37" s="3" t="n"/>
      <c r="U37" s="3" t="n"/>
      <c r="V37" s="3" t="n"/>
      <c r="X37" s="3" t="n">
        <v>7</v>
      </c>
      <c r="Y37" s="15" t="n"/>
      <c r="Z37" s="16" t="n">
        <v>105</v>
      </c>
      <c r="AA37" s="16" t="n">
        <v>630</v>
      </c>
      <c r="AC37" s="24" t="n"/>
      <c r="AD37" s="24" t="n"/>
      <c r="AE37" s="24" t="n"/>
      <c r="AF37" s="24" t="n"/>
      <c r="AG37" s="24" t="n"/>
      <c r="AH37" s="24" t="n"/>
      <c r="AI37" s="24" t="n"/>
      <c r="AJ37" s="24" t="n"/>
      <c r="AK37" s="24" t="n"/>
      <c r="AL37" s="24" t="n"/>
      <c r="AM37" s="24" t="n"/>
      <c r="AN37" s="24" t="n"/>
      <c r="AO37" s="24" t="n"/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n"/>
      <c r="AY37" s="24" t="n"/>
      <c r="AZ37" s="24" t="n"/>
      <c r="BA37" s="24" t="n"/>
      <c r="BB37" s="24" t="n"/>
      <c r="BC37" s="24" t="n"/>
      <c r="BD37" s="24" t="n"/>
      <c r="BE37" s="24" t="n"/>
      <c r="BF37" s="24" t="n"/>
      <c r="BG37" s="24" t="n"/>
      <c r="BH37" s="24" t="n"/>
      <c r="BI37" s="24" t="n"/>
      <c r="BJ37" s="24" t="n"/>
      <c r="BK37" s="24" t="n"/>
      <c r="BL37" s="24" t="n"/>
      <c r="BM37" s="24" t="n"/>
      <c r="BN37" s="24" t="n"/>
      <c r="BO37" s="24" t="n"/>
      <c r="BP37" s="24" t="n"/>
      <c r="BQ37" s="24" t="n"/>
      <c r="BR37" s="24" t="n"/>
      <c r="BS37" s="24" t="n"/>
      <c r="BT37" s="24" t="n"/>
      <c r="BU37" s="24" t="n"/>
      <c r="BV37" s="24" t="n"/>
      <c r="BW37" s="24" t="n"/>
      <c r="BX37" s="24" t="n"/>
      <c r="BY37" s="24" t="n"/>
      <c r="BZ37" s="24" t="n"/>
      <c r="CA37" s="24" t="n"/>
      <c r="CB37" s="24" t="n"/>
      <c r="CC37" s="24" t="n"/>
      <c r="CD37" s="24" t="n"/>
      <c r="CE37" s="24" t="n"/>
      <c r="CF37" s="24" t="n"/>
      <c r="CG37" s="24" t="n"/>
      <c r="CH37" s="37">
        <f>+SUM(AC37:CG37)</f>
        <v/>
      </c>
      <c r="CJ37" s="27">
        <f>CH37</f>
        <v/>
      </c>
      <c r="CK37" s="22" t="n">
        <v>0</v>
      </c>
      <c r="CL37" s="22">
        <f>CJ37+CK37</f>
        <v/>
      </c>
      <c r="CM37" s="42" t="n"/>
      <c r="CN37" s="78" t="n"/>
      <c r="CO37" s="14">
        <f>DC37</f>
        <v/>
      </c>
      <c r="CP37" s="14">
        <f>CO37</f>
        <v/>
      </c>
      <c r="CQ37" s="14">
        <f>CP37-CJ37</f>
        <v/>
      </c>
      <c r="CR37" s="79" t="n"/>
      <c r="CS37" s="17" t="n"/>
      <c r="CU37" t="n">
        <v>1</v>
      </c>
      <c r="CV37" t="n">
        <v>38</v>
      </c>
      <c r="CW37" t="n">
        <v>33</v>
      </c>
      <c r="DC37" s="14">
        <f>SUM(CS37:DB37)</f>
        <v/>
      </c>
    </row>
    <row r="38" ht="15" customHeight="1">
      <c r="A38" s="33" t="n">
        <v>8</v>
      </c>
      <c r="B38" s="50" t="inlineStr">
        <is>
          <t>LEON</t>
        </is>
      </c>
      <c r="C38" s="56" t="inlineStr">
        <is>
          <t>LEON</t>
        </is>
      </c>
      <c r="D38" s="33" t="inlineStr">
        <is>
          <t>IASA</t>
        </is>
      </c>
      <c r="E38" s="13" t="n">
        <v>68</v>
      </c>
      <c r="F38" s="13" t="n">
        <v>236</v>
      </c>
      <c r="G38" s="13" t="n"/>
      <c r="H38" s="13" t="n">
        <v>2</v>
      </c>
      <c r="I38" s="13" t="n">
        <v>16</v>
      </c>
      <c r="J38" s="13" t="n">
        <v>228</v>
      </c>
      <c r="K38" s="13" t="n">
        <v>1259</v>
      </c>
      <c r="L38" s="13" t="n"/>
      <c r="M38" s="13" t="n">
        <v>11</v>
      </c>
      <c r="N38" s="13" t="n">
        <v>63</v>
      </c>
      <c r="O38" s="13" t="n"/>
      <c r="P38" s="13" t="n">
        <v>1883</v>
      </c>
      <c r="R38" s="3" t="n"/>
      <c r="S38" s="3" t="n"/>
      <c r="T38" s="3" t="n"/>
      <c r="U38" s="3" t="n"/>
      <c r="V38" s="3" t="n"/>
      <c r="X38" s="3" t="n">
        <v>6</v>
      </c>
      <c r="Y38" s="15" t="n"/>
      <c r="Z38" s="16" t="n">
        <v>90</v>
      </c>
      <c r="AA38" s="16" t="n">
        <v>540</v>
      </c>
      <c r="AC38" s="24" t="n"/>
      <c r="AD38" s="24" t="n"/>
      <c r="AE38" s="24" t="n"/>
      <c r="AF38" s="24" t="n"/>
      <c r="AG38" s="24" t="n"/>
      <c r="AH38" s="24" t="n"/>
      <c r="AI38" s="24" t="n"/>
      <c r="AJ38" s="24" t="n"/>
      <c r="AK38" s="24" t="n"/>
      <c r="AL38" s="24" t="n"/>
      <c r="AM38" s="24" t="n"/>
      <c r="AN38" s="24" t="n"/>
      <c r="AO38" s="24" t="n"/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n"/>
      <c r="AY38" s="24" t="n"/>
      <c r="AZ38" s="24" t="n"/>
      <c r="BA38" s="24" t="n"/>
      <c r="BB38" s="24" t="n"/>
      <c r="BC38" s="24" t="n"/>
      <c r="BD38" s="24" t="n"/>
      <c r="BE38" s="24" t="n"/>
      <c r="BF38" s="24" t="n"/>
      <c r="BG38" s="24" t="n"/>
      <c r="BH38" s="24" t="n"/>
      <c r="BI38" s="24" t="n"/>
      <c r="BJ38" s="24" t="n"/>
      <c r="BK38" s="24" t="n"/>
      <c r="BL38" s="24" t="n"/>
      <c r="BM38" s="24" t="n"/>
      <c r="BN38" s="24" t="n"/>
      <c r="BO38" s="24" t="n"/>
      <c r="BP38" s="24" t="n"/>
      <c r="BQ38" s="24" t="n"/>
      <c r="BR38" s="24" t="n"/>
      <c r="BS38" s="24" t="n"/>
      <c r="BT38" s="24" t="n"/>
      <c r="BU38" s="24" t="n"/>
      <c r="BV38" s="24" t="n"/>
      <c r="BW38" s="24" t="n"/>
      <c r="BX38" s="24" t="n"/>
      <c r="BY38" s="24" t="n"/>
      <c r="BZ38" s="24" t="n"/>
      <c r="CA38" s="24" t="n"/>
      <c r="CB38" s="24" t="n"/>
      <c r="CC38" s="24" t="n"/>
      <c r="CD38" s="24" t="n"/>
      <c r="CE38" s="24" t="n"/>
      <c r="CF38" s="24" t="n"/>
      <c r="CG38" s="24" t="n"/>
      <c r="CH38" s="37">
        <f>+SUM(AC38:CG38)</f>
        <v/>
      </c>
      <c r="CJ38" s="27">
        <f>CH38</f>
        <v/>
      </c>
      <c r="CK38" s="22" t="n">
        <v>0</v>
      </c>
      <c r="CL38" s="22">
        <f>CJ38+CK38</f>
        <v/>
      </c>
      <c r="CM38" s="42" t="n"/>
      <c r="CN38" s="78" t="n"/>
      <c r="CO38" s="14">
        <f>DC38</f>
        <v/>
      </c>
      <c r="CP38" s="14">
        <f>CO38</f>
        <v/>
      </c>
      <c r="CQ38" s="14">
        <f>CP38-CJ38</f>
        <v/>
      </c>
      <c r="CR38" s="79" t="n"/>
      <c r="CS38" s="17" t="n"/>
      <c r="DC38" s="14">
        <f>SUM(CS38:DB38)</f>
        <v/>
      </c>
    </row>
    <row r="39">
      <c r="A39" s="33" t="n">
        <v>9</v>
      </c>
      <c r="B39" s="50" t="inlineStr">
        <is>
          <t>CIUDAD JUAREZ</t>
        </is>
      </c>
      <c r="C39" s="56" t="inlineStr">
        <is>
          <t>CIUDAD JUAREZ</t>
        </is>
      </c>
      <c r="D39" s="33" t="inlineStr">
        <is>
          <t>IASA</t>
        </is>
      </c>
      <c r="E39" s="13" t="n">
        <v>1</v>
      </c>
      <c r="F39" s="13" t="n">
        <v>5</v>
      </c>
      <c r="G39" s="13" t="n"/>
      <c r="H39" s="13" t="n"/>
      <c r="I39" s="13" t="n"/>
      <c r="J39" s="13" t="n">
        <v>2</v>
      </c>
      <c r="K39" s="13" t="n">
        <v>123</v>
      </c>
      <c r="L39" s="13" t="n"/>
      <c r="M39" s="13" t="n"/>
      <c r="N39" s="13" t="n">
        <v>32</v>
      </c>
      <c r="O39" s="13" t="n"/>
      <c r="P39" s="13" t="n">
        <v>163</v>
      </c>
      <c r="R39" s="3" t="n"/>
      <c r="S39" s="3" t="n"/>
      <c r="T39" s="3" t="n"/>
      <c r="U39" s="3" t="n"/>
      <c r="V39" s="3" t="n"/>
      <c r="X39" s="3" t="n">
        <v>1</v>
      </c>
      <c r="Y39" s="15" t="n"/>
      <c r="Z39" s="16" t="n">
        <v>15</v>
      </c>
      <c r="AA39" s="16" t="n">
        <v>90</v>
      </c>
      <c r="AC39" s="24" t="n"/>
      <c r="AD39" s="24" t="n"/>
      <c r="AE39" s="24" t="n"/>
      <c r="AF39" s="24" t="n"/>
      <c r="AG39" s="24" t="n"/>
      <c r="AH39" s="24" t="n"/>
      <c r="AI39" s="24" t="n"/>
      <c r="AJ39" s="24" t="n"/>
      <c r="AK39" s="24" t="n"/>
      <c r="AL39" s="24" t="n"/>
      <c r="AM39" s="24" t="n"/>
      <c r="AN39" s="24" t="n"/>
      <c r="AO39" s="24" t="n"/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n"/>
      <c r="AY39" s="24" t="n"/>
      <c r="AZ39" s="24" t="n"/>
      <c r="BA39" s="24" t="n"/>
      <c r="BB39" s="24" t="n"/>
      <c r="BC39" s="24" t="n"/>
      <c r="BD39" s="24" t="n"/>
      <c r="BE39" s="24" t="n"/>
      <c r="BF39" s="24" t="n"/>
      <c r="BG39" s="24" t="n"/>
      <c r="BH39" s="24" t="n"/>
      <c r="BI39" s="24" t="n"/>
      <c r="BJ39" s="24" t="n"/>
      <c r="BK39" s="24" t="n"/>
      <c r="BL39" s="24" t="n"/>
      <c r="BM39" s="24" t="n"/>
      <c r="BN39" s="24" t="n"/>
      <c r="BO39" s="24" t="n"/>
      <c r="BP39" s="24" t="n"/>
      <c r="BQ39" s="24" t="n"/>
      <c r="BR39" s="24" t="n"/>
      <c r="BS39" s="24" t="n"/>
      <c r="BT39" s="24" t="n"/>
      <c r="BU39" s="24" t="n"/>
      <c r="BV39" s="24" t="n"/>
      <c r="BW39" s="24" t="n"/>
      <c r="BX39" s="24" t="n"/>
      <c r="BY39" s="24" t="n"/>
      <c r="BZ39" s="24" t="n"/>
      <c r="CA39" s="24" t="n"/>
      <c r="CB39" s="24" t="n"/>
      <c r="CC39" s="24" t="n"/>
      <c r="CD39" s="24" t="n"/>
      <c r="CE39" s="24" t="n"/>
      <c r="CF39" s="24" t="n"/>
      <c r="CG39" s="24" t="n"/>
      <c r="CH39" s="37">
        <f>+SUM(AC39:CG39)</f>
        <v/>
      </c>
      <c r="CJ39" s="27">
        <f>CH39</f>
        <v/>
      </c>
      <c r="CK39" s="22" t="n">
        <v>0</v>
      </c>
      <c r="CL39" s="22">
        <f>CJ39+CK39</f>
        <v/>
      </c>
      <c r="CM39" s="42" t="n"/>
      <c r="CN39" s="78" t="n"/>
      <c r="CO39" s="14">
        <f>DC39</f>
        <v/>
      </c>
      <c r="CP39" s="14">
        <f>CO39</f>
        <v/>
      </c>
      <c r="CQ39" s="14">
        <f>CP39-CJ39</f>
        <v/>
      </c>
      <c r="CR39" s="79" t="n"/>
      <c r="CS39" s="17" t="n"/>
      <c r="DC39" s="14">
        <f>SUM(CS39:DB39)</f>
        <v/>
      </c>
    </row>
    <row r="40">
      <c r="A40" s="33" t="n">
        <v>12</v>
      </c>
      <c r="B40" s="50" t="inlineStr">
        <is>
          <t>HIDALGO</t>
        </is>
      </c>
      <c r="C40" s="56" t="inlineStr">
        <is>
          <t>HIDALGO</t>
        </is>
      </c>
      <c r="D40" s="33" t="inlineStr">
        <is>
          <t>EULEN</t>
        </is>
      </c>
      <c r="E40" s="13" t="n">
        <v>41</v>
      </c>
      <c r="F40" s="13" t="n">
        <v>189</v>
      </c>
      <c r="G40" s="13" t="n">
        <v>20</v>
      </c>
      <c r="H40" s="13" t="n">
        <v>28</v>
      </c>
      <c r="I40" s="13" t="n">
        <v>12</v>
      </c>
      <c r="J40" s="13" t="n">
        <v>124</v>
      </c>
      <c r="K40" s="13" t="n">
        <v>854</v>
      </c>
      <c r="L40" s="13" t="n">
        <v>128</v>
      </c>
      <c r="M40" s="13" t="n">
        <v>3</v>
      </c>
      <c r="N40" s="13" t="n">
        <v>92</v>
      </c>
      <c r="O40" s="13" t="n"/>
      <c r="P40" s="13" t="n">
        <v>1491</v>
      </c>
      <c r="R40" s="3" t="n"/>
      <c r="S40" s="3" t="n"/>
      <c r="T40" s="3" t="n"/>
      <c r="U40" s="3" t="n"/>
      <c r="V40" s="3" t="n"/>
      <c r="X40" s="3" t="n">
        <v>5</v>
      </c>
      <c r="Y40" s="15" t="n"/>
      <c r="Z40" s="16" t="n">
        <v>75</v>
      </c>
      <c r="AA40" s="16" t="n">
        <v>450</v>
      </c>
      <c r="AC40" s="24" t="n"/>
      <c r="AD40" s="24" t="n"/>
      <c r="AE40" s="24" t="n"/>
      <c r="AF40" s="24" t="n"/>
      <c r="AG40" s="24" t="n"/>
      <c r="AH40" s="24" t="n"/>
      <c r="AI40" s="24" t="n"/>
      <c r="AJ40" s="24" t="n"/>
      <c r="AK40" s="24" t="n"/>
      <c r="AL40" s="24" t="n"/>
      <c r="AM40" s="24" t="n"/>
      <c r="AN40" s="24" t="n"/>
      <c r="AO40" s="24" t="n"/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n"/>
      <c r="AY40" s="24" t="n"/>
      <c r="AZ40" s="24" t="n"/>
      <c r="BA40" s="24" t="n"/>
      <c r="BB40" s="24" t="n"/>
      <c r="BC40" s="24" t="n"/>
      <c r="BD40" s="24" t="n"/>
      <c r="BE40" s="24" t="n"/>
      <c r="BF40" s="24" t="n"/>
      <c r="BG40" s="24" t="n"/>
      <c r="BH40" s="24" t="n"/>
      <c r="BI40" s="24" t="n"/>
      <c r="BJ40" s="24" t="n"/>
      <c r="BK40" s="24" t="n"/>
      <c r="BL40" s="24" t="n"/>
      <c r="BM40" s="24" t="n"/>
      <c r="BN40" s="24" t="n"/>
      <c r="BO40" s="24" t="n"/>
      <c r="BP40" s="24" t="n"/>
      <c r="BQ40" s="24" t="n"/>
      <c r="BR40" s="24" t="n"/>
      <c r="BS40" s="24" t="n"/>
      <c r="BT40" s="24" t="n"/>
      <c r="BU40" s="24" t="n"/>
      <c r="BV40" s="24" t="n"/>
      <c r="BW40" s="24" t="n"/>
      <c r="BX40" s="24" t="n"/>
      <c r="BY40" s="24" t="n"/>
      <c r="BZ40" s="24" t="n"/>
      <c r="CA40" s="24" t="n"/>
      <c r="CB40" s="24" t="n"/>
      <c r="CC40" s="24" t="n"/>
      <c r="CD40" s="24" t="n"/>
      <c r="CE40" s="24" t="n"/>
      <c r="CF40" s="24" t="n"/>
      <c r="CG40" s="24" t="n"/>
      <c r="CH40" s="37">
        <f>+SUM(AC40:CG40)</f>
        <v/>
      </c>
      <c r="CJ40" s="27">
        <f>CH40</f>
        <v/>
      </c>
      <c r="CK40" s="22" t="n">
        <v>0</v>
      </c>
      <c r="CL40" s="22">
        <f>CJ40+CK40</f>
        <v/>
      </c>
      <c r="CM40" s="42" t="n"/>
      <c r="CN40" s="78" t="n"/>
      <c r="CO40" s="14">
        <f>DC40</f>
        <v/>
      </c>
      <c r="CP40" s="14">
        <f>CO40</f>
        <v/>
      </c>
      <c r="CQ40" s="14">
        <f>CP40-CJ40</f>
        <v/>
      </c>
      <c r="CR40" s="79" t="n"/>
      <c r="CS40" s="17" t="n"/>
      <c r="DC40" s="14">
        <f>SUM(CS40:DB40)</f>
        <v/>
      </c>
    </row>
    <row r="41" ht="15" customHeight="1">
      <c r="A41" s="33" t="n">
        <v>13</v>
      </c>
      <c r="B41" s="50" t="inlineStr">
        <is>
          <t>NAYARIT</t>
        </is>
      </c>
      <c r="C41" s="56" t="inlineStr">
        <is>
          <t>NAYARIT</t>
        </is>
      </c>
      <c r="D41" s="33" t="inlineStr">
        <is>
          <t>IASA</t>
        </is>
      </c>
      <c r="E41" s="13" t="n">
        <v>2</v>
      </c>
      <c r="F41" s="13" t="n">
        <v>44</v>
      </c>
      <c r="G41" s="13" t="n"/>
      <c r="H41" s="13" t="n">
        <v>9</v>
      </c>
      <c r="I41" s="13" t="n">
        <v>2</v>
      </c>
      <c r="J41" s="13" t="n">
        <v>337</v>
      </c>
      <c r="K41" s="13" t="n">
        <v>357</v>
      </c>
      <c r="L41" s="13" t="n">
        <v>162</v>
      </c>
      <c r="M41" s="13" t="n"/>
      <c r="N41" s="13" t="n">
        <v>66</v>
      </c>
      <c r="O41" s="13" t="n"/>
      <c r="P41" s="13" t="n">
        <v>979</v>
      </c>
      <c r="R41" s="3" t="n"/>
      <c r="S41" s="3" t="n"/>
      <c r="T41" s="3" t="n"/>
      <c r="U41" s="3" t="n"/>
      <c r="V41" s="3" t="n"/>
      <c r="X41" s="3" t="n">
        <v>3</v>
      </c>
      <c r="Y41" s="15" t="n"/>
      <c r="Z41" s="16" t="n">
        <v>45</v>
      </c>
      <c r="AA41" s="16" t="n">
        <v>270</v>
      </c>
      <c r="AC41" s="24" t="n"/>
      <c r="AD41" s="24" t="n"/>
      <c r="AE41" s="24" t="n"/>
      <c r="AF41" s="24" t="n"/>
      <c r="AG41" s="24" t="n"/>
      <c r="AH41" s="24" t="n"/>
      <c r="AI41" s="24" t="n"/>
      <c r="AJ41" s="24" t="n"/>
      <c r="AK41" s="24" t="n">
        <v>1</v>
      </c>
      <c r="AL41" s="24" t="n"/>
      <c r="AM41" s="24" t="n">
        <v>3</v>
      </c>
      <c r="AN41" s="24" t="n"/>
      <c r="AO41" s="24" t="n"/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n"/>
      <c r="AY41" s="24" t="n"/>
      <c r="AZ41" s="24" t="n"/>
      <c r="BA41" s="24" t="n"/>
      <c r="BB41" s="24" t="n"/>
      <c r="BC41" s="24" t="n"/>
      <c r="BD41" s="24" t="n"/>
      <c r="BE41" s="24" t="n"/>
      <c r="BF41" s="24" t="n"/>
      <c r="BG41" s="24" t="n"/>
      <c r="BH41" s="24" t="n"/>
      <c r="BI41" s="24" t="n"/>
      <c r="BJ41" s="24" t="n"/>
      <c r="BK41" s="24" t="n"/>
      <c r="BL41" s="24" t="n"/>
      <c r="BM41" s="24" t="n"/>
      <c r="BN41" s="24" t="n"/>
      <c r="BO41" s="24" t="n"/>
      <c r="BP41" s="24" t="n"/>
      <c r="BQ41" s="24" t="n"/>
      <c r="BR41" s="24" t="n"/>
      <c r="BS41" s="24" t="n"/>
      <c r="BT41" s="24" t="n"/>
      <c r="BU41" s="24" t="n"/>
      <c r="BV41" s="24" t="n"/>
      <c r="BW41" s="24" t="n"/>
      <c r="BX41" s="24" t="n"/>
      <c r="BY41" s="24" t="n"/>
      <c r="BZ41" s="24" t="n"/>
      <c r="CA41" s="24" t="n"/>
      <c r="CB41" s="24" t="n"/>
      <c r="CC41" s="24" t="n"/>
      <c r="CD41" s="24" t="n"/>
      <c r="CE41" s="24" t="n"/>
      <c r="CF41" s="24" t="n"/>
      <c r="CG41" s="24" t="n"/>
      <c r="CH41" s="37">
        <f>+SUM(AC41:CG41)</f>
        <v/>
      </c>
      <c r="CJ41" s="27">
        <f>CH41</f>
        <v/>
      </c>
      <c r="CK41" s="22" t="n">
        <v>0</v>
      </c>
      <c r="CL41" s="22">
        <f>CJ41+CK41</f>
        <v/>
      </c>
      <c r="CM41" s="42" t="n"/>
      <c r="CN41" s="78" t="n"/>
      <c r="CO41" s="14">
        <f>DC41</f>
        <v/>
      </c>
      <c r="CP41" s="14">
        <f>CO41</f>
        <v/>
      </c>
      <c r="CQ41" s="14">
        <f>CP41-CJ41</f>
        <v/>
      </c>
      <c r="CR41" s="79" t="n"/>
      <c r="CS41" s="17" t="n">
        <v>2</v>
      </c>
      <c r="CV41" t="n">
        <v>9</v>
      </c>
      <c r="CW41" t="n">
        <v>2</v>
      </c>
      <c r="DC41" s="14">
        <f>SUM(CS41:DB41)</f>
        <v/>
      </c>
    </row>
    <row r="42">
      <c r="A42" s="33" t="n">
        <v>14</v>
      </c>
      <c r="B42" s="50" t="inlineStr">
        <is>
          <t>CIUDAD OBREGON-LOS MOCH</t>
        </is>
      </c>
      <c r="C42" s="56" t="inlineStr">
        <is>
          <t>CIUDAD OBREGON-LOS MOCH</t>
        </is>
      </c>
      <c r="D42" s="33" t="inlineStr">
        <is>
          <t>IASA</t>
        </is>
      </c>
      <c r="E42" s="13" t="n">
        <v>32</v>
      </c>
      <c r="F42" s="13" t="n">
        <v>151</v>
      </c>
      <c r="G42" s="13" t="n">
        <v>22</v>
      </c>
      <c r="H42" s="13" t="n">
        <v>9</v>
      </c>
      <c r="I42" s="13" t="n"/>
      <c r="J42" s="13" t="n">
        <v>42</v>
      </c>
      <c r="K42" s="13" t="n">
        <v>775</v>
      </c>
      <c r="L42" s="13" t="n">
        <v>342</v>
      </c>
      <c r="M42" s="13" t="n">
        <v>2</v>
      </c>
      <c r="N42" s="13" t="n">
        <v>108</v>
      </c>
      <c r="O42" s="13" t="n"/>
      <c r="P42" s="13" t="n">
        <v>1483</v>
      </c>
      <c r="R42" s="3" t="n"/>
      <c r="S42" s="3" t="n"/>
      <c r="T42" s="3" t="n"/>
      <c r="U42" s="3" t="n"/>
      <c r="V42" s="3" t="n"/>
      <c r="X42" s="3" t="n">
        <v>5</v>
      </c>
      <c r="Y42" s="15" t="n"/>
      <c r="Z42" s="16" t="n">
        <v>75</v>
      </c>
      <c r="AA42" s="16" t="n">
        <v>450</v>
      </c>
      <c r="AC42" s="24" t="n"/>
      <c r="AD42" s="24" t="n"/>
      <c r="AE42" s="24" t="n"/>
      <c r="AF42" s="24" t="n"/>
      <c r="AG42" s="24" t="n"/>
      <c r="AH42" s="24" t="n"/>
      <c r="AI42" s="24" t="n"/>
      <c r="AJ42" s="24" t="n"/>
      <c r="AK42" s="24" t="n"/>
      <c r="AL42" s="24" t="n"/>
      <c r="AM42" s="24" t="n"/>
      <c r="AN42" s="24" t="n"/>
      <c r="AO42" s="24" t="n"/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n"/>
      <c r="AY42" s="24" t="n"/>
      <c r="AZ42" s="24" t="n"/>
      <c r="BA42" s="24" t="n"/>
      <c r="BB42" s="24" t="n"/>
      <c r="BC42" s="24" t="n"/>
      <c r="BD42" s="24" t="n"/>
      <c r="BE42" s="24" t="n"/>
      <c r="BF42" s="24" t="n"/>
      <c r="BG42" s="24" t="n"/>
      <c r="BH42" s="24" t="n"/>
      <c r="BI42" s="24" t="n"/>
      <c r="BJ42" s="24" t="n"/>
      <c r="BK42" s="24" t="n"/>
      <c r="BL42" s="24" t="n"/>
      <c r="BM42" s="24" t="n"/>
      <c r="BN42" s="24" t="n"/>
      <c r="BO42" s="24" t="n"/>
      <c r="BP42" s="24" t="n"/>
      <c r="BQ42" s="24" t="n"/>
      <c r="BR42" s="24" t="n"/>
      <c r="BS42" s="24" t="n"/>
      <c r="BT42" s="24" t="n"/>
      <c r="BU42" s="24" t="n"/>
      <c r="BV42" s="24" t="n"/>
      <c r="BW42" s="24" t="n"/>
      <c r="BX42" s="24" t="n"/>
      <c r="BY42" s="24" t="n"/>
      <c r="BZ42" s="24" t="n"/>
      <c r="CA42" s="24" t="n"/>
      <c r="CB42" s="24" t="n"/>
      <c r="CC42" s="24" t="n"/>
      <c r="CD42" s="24" t="n"/>
      <c r="CE42" s="24" t="n"/>
      <c r="CF42" s="24" t="n"/>
      <c r="CG42" s="24" t="n"/>
      <c r="CH42" s="37">
        <f>+SUM(AC42:CG42)</f>
        <v/>
      </c>
      <c r="CJ42" s="27">
        <f>CH42</f>
        <v/>
      </c>
      <c r="CK42" s="22" t="n">
        <v>0</v>
      </c>
      <c r="CL42" s="22">
        <f>CJ42+CK42</f>
        <v/>
      </c>
      <c r="CM42" s="42" t="n"/>
      <c r="CN42" s="78" t="n"/>
      <c r="CO42" s="14">
        <f>DC42</f>
        <v/>
      </c>
      <c r="CP42" s="14">
        <f>CO42</f>
        <v/>
      </c>
      <c r="CQ42" s="14">
        <f>CP42-CJ42</f>
        <v/>
      </c>
      <c r="CR42" s="79" t="n"/>
      <c r="CS42" s="17" t="n"/>
      <c r="DC42" s="14">
        <f>SUM(CS42:DB42)</f>
        <v/>
      </c>
    </row>
    <row r="43">
      <c r="A43" s="33" t="n">
        <v>15</v>
      </c>
      <c r="B43" s="50" t="inlineStr">
        <is>
          <t>VERACRUZ</t>
        </is>
      </c>
      <c r="C43" s="56" t="inlineStr">
        <is>
          <t>VERACRUZ</t>
        </is>
      </c>
      <c r="D43" s="33" t="inlineStr">
        <is>
          <t>IASA</t>
        </is>
      </c>
      <c r="E43" s="13" t="n">
        <v>54</v>
      </c>
      <c r="F43" s="13" t="n">
        <v>172</v>
      </c>
      <c r="G43" s="13" t="n">
        <v>11</v>
      </c>
      <c r="H43" s="13" t="n">
        <v>28</v>
      </c>
      <c r="I43" s="13" t="n"/>
      <c r="J43" s="13" t="n">
        <v>90</v>
      </c>
      <c r="K43" s="13" t="n">
        <v>730</v>
      </c>
      <c r="L43" s="13" t="n">
        <v>64</v>
      </c>
      <c r="M43" s="13" t="n">
        <v>2</v>
      </c>
      <c r="N43" s="13" t="n">
        <v>169</v>
      </c>
      <c r="O43" s="13" t="n"/>
      <c r="P43" s="13" t="n">
        <v>1320</v>
      </c>
      <c r="R43" s="3" t="n"/>
      <c r="S43" s="3" t="n"/>
      <c r="T43" s="3" t="n"/>
      <c r="U43" s="3" t="n"/>
      <c r="V43" s="3" t="n"/>
      <c r="X43" s="3" t="n">
        <v>4</v>
      </c>
      <c r="Y43" s="15" t="n"/>
      <c r="Z43" s="16" t="n">
        <v>60</v>
      </c>
      <c r="AA43" s="16" t="n">
        <v>360</v>
      </c>
      <c r="AC43" s="24" t="n"/>
      <c r="AD43" s="24" t="n"/>
      <c r="AE43" s="24" t="n"/>
      <c r="AF43" s="24" t="n"/>
      <c r="AG43" s="24" t="n"/>
      <c r="AH43" s="24" t="n"/>
      <c r="AI43" s="24" t="n"/>
      <c r="AJ43" s="24" t="n"/>
      <c r="AK43" s="24" t="n"/>
      <c r="AL43" s="24" t="n"/>
      <c r="AM43" s="24" t="n">
        <v>13</v>
      </c>
      <c r="AN43" s="24" t="n"/>
      <c r="AO43" s="24" t="n"/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n"/>
      <c r="AY43" s="24" t="n"/>
      <c r="AZ43" s="24" t="n"/>
      <c r="BA43" s="24" t="n"/>
      <c r="BB43" s="24" t="n"/>
      <c r="BC43" s="24" t="n"/>
      <c r="BD43" s="24" t="n"/>
      <c r="BE43" s="24" t="n"/>
      <c r="BF43" s="24" t="n"/>
      <c r="BG43" s="24" t="n"/>
      <c r="BH43" s="24" t="n"/>
      <c r="BI43" s="24" t="n"/>
      <c r="BJ43" s="24" t="n"/>
      <c r="BK43" s="24" t="n"/>
      <c r="BL43" s="24" t="n"/>
      <c r="BM43" s="24" t="n"/>
      <c r="BN43" s="24" t="n"/>
      <c r="BO43" s="24" t="n"/>
      <c r="BP43" s="24" t="n"/>
      <c r="BQ43" s="24" t="n"/>
      <c r="BR43" s="24" t="n"/>
      <c r="BS43" s="24" t="n"/>
      <c r="BT43" s="24" t="n"/>
      <c r="BU43" s="24" t="n"/>
      <c r="BV43" s="24" t="n"/>
      <c r="BW43" s="24" t="n"/>
      <c r="BX43" s="24" t="n"/>
      <c r="BY43" s="24" t="n"/>
      <c r="BZ43" s="24" t="n"/>
      <c r="CA43" s="24" t="n"/>
      <c r="CB43" s="24" t="n"/>
      <c r="CC43" s="24" t="n"/>
      <c r="CD43" s="24" t="n"/>
      <c r="CE43" s="24" t="n"/>
      <c r="CF43" s="24" t="n"/>
      <c r="CG43" s="24" t="n"/>
      <c r="CH43" s="37">
        <f>+SUM(AC43:CG43)</f>
        <v/>
      </c>
      <c r="CJ43" s="27">
        <f>CH43</f>
        <v/>
      </c>
      <c r="CK43" s="22" t="n">
        <v>0</v>
      </c>
      <c r="CL43" s="22">
        <f>CJ43+CK43</f>
        <v/>
      </c>
      <c r="CM43" s="42" t="n"/>
      <c r="CN43" s="78" t="n"/>
      <c r="CO43" s="14" t="n">
        <v>20</v>
      </c>
      <c r="CP43" s="14">
        <f>CO43</f>
        <v/>
      </c>
      <c r="CQ43" s="14">
        <f>CP43-CJ43</f>
        <v/>
      </c>
      <c r="CR43" s="79" t="n"/>
      <c r="CS43" s="17" t="n"/>
      <c r="DC43" s="14">
        <f>SUM(CS43:DB43)</f>
        <v/>
      </c>
    </row>
    <row r="44">
      <c r="A44" s="33" t="n">
        <v>18</v>
      </c>
      <c r="B44" s="50" t="inlineStr">
        <is>
          <t>SAN LUIS POTOSI</t>
        </is>
      </c>
      <c r="C44" s="56" t="inlineStr">
        <is>
          <t>SAN LUIS POTOSI</t>
        </is>
      </c>
      <c r="D44" s="33" t="inlineStr">
        <is>
          <t>EULEN</t>
        </is>
      </c>
      <c r="E44" s="13" t="n">
        <v>4</v>
      </c>
      <c r="F44" s="13" t="n">
        <v>36</v>
      </c>
      <c r="G44" s="13" t="n"/>
      <c r="H44" s="13" t="n">
        <v>1</v>
      </c>
      <c r="I44" s="13" t="n"/>
      <c r="J44" s="13" t="n">
        <v>30</v>
      </c>
      <c r="K44" s="13" t="n">
        <v>178</v>
      </c>
      <c r="L44" s="13" t="n">
        <v>120</v>
      </c>
      <c r="M44" s="13" t="n">
        <v>1</v>
      </c>
      <c r="N44" s="13" t="n">
        <v>18</v>
      </c>
      <c r="O44" s="13" t="n"/>
      <c r="P44" s="13" t="n">
        <v>388</v>
      </c>
      <c r="R44" s="3" t="n"/>
      <c r="S44" s="3" t="n"/>
      <c r="T44" s="3" t="n"/>
      <c r="U44" s="3" t="n"/>
      <c r="V44" s="3" t="n"/>
      <c r="X44" s="3" t="n">
        <v>2</v>
      </c>
      <c r="Y44" s="15" t="n"/>
      <c r="Z44" s="16" t="n">
        <v>30</v>
      </c>
      <c r="AA44" s="16" t="n">
        <v>180</v>
      </c>
      <c r="AC44" s="24" t="n"/>
      <c r="AD44" s="24" t="n"/>
      <c r="AE44" s="24" t="n"/>
      <c r="AF44" s="24" t="n"/>
      <c r="AG44" s="24" t="n"/>
      <c r="AH44" s="24" t="n"/>
      <c r="AI44" s="24" t="n"/>
      <c r="AJ44" s="24" t="n"/>
      <c r="AK44" s="24" t="n"/>
      <c r="AL44" s="24" t="n"/>
      <c r="AM44" s="24" t="n"/>
      <c r="AN44" s="24" t="n"/>
      <c r="AO44" s="24" t="n"/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n"/>
      <c r="AY44" s="24" t="n"/>
      <c r="AZ44" s="24" t="n"/>
      <c r="BA44" s="24" t="n"/>
      <c r="BB44" s="24" t="n"/>
      <c r="BC44" s="24" t="n"/>
      <c r="BD44" s="24" t="n"/>
      <c r="BE44" s="24" t="n"/>
      <c r="BF44" s="24" t="n"/>
      <c r="BG44" s="24" t="n"/>
      <c r="BH44" s="24" t="n"/>
      <c r="BI44" s="24" t="n"/>
      <c r="BJ44" s="24" t="n"/>
      <c r="BK44" s="24" t="n"/>
      <c r="BL44" s="24" t="n"/>
      <c r="BM44" s="24" t="n"/>
      <c r="BN44" s="24" t="n"/>
      <c r="BO44" s="24" t="n"/>
      <c r="BP44" s="24" t="n"/>
      <c r="BQ44" s="24" t="n"/>
      <c r="BR44" s="24" t="n"/>
      <c r="BS44" s="24" t="n"/>
      <c r="BT44" s="24" t="n"/>
      <c r="BU44" s="24" t="n"/>
      <c r="BV44" s="24" t="n"/>
      <c r="BW44" s="24" t="n"/>
      <c r="BX44" s="24" t="n"/>
      <c r="BY44" s="24" t="n"/>
      <c r="BZ44" s="24" t="n"/>
      <c r="CA44" s="24" t="n"/>
      <c r="CB44" s="24" t="n"/>
      <c r="CC44" s="24" t="n"/>
      <c r="CD44" s="24" t="n"/>
      <c r="CE44" s="24" t="n"/>
      <c r="CF44" s="24" t="n"/>
      <c r="CG44" s="24" t="n"/>
      <c r="CH44" s="37">
        <f>+SUM(AC44:CG44)</f>
        <v/>
      </c>
      <c r="CJ44" s="27">
        <f>CH44</f>
        <v/>
      </c>
      <c r="CK44" s="22" t="n">
        <v>0</v>
      </c>
      <c r="CL44" s="22">
        <f>CJ44+CK44</f>
        <v/>
      </c>
      <c r="CM44" s="42" t="n"/>
      <c r="CN44" s="78" t="n"/>
      <c r="CO44" s="14">
        <f>DC44</f>
        <v/>
      </c>
      <c r="CP44" s="14">
        <f>CO44</f>
        <v/>
      </c>
      <c r="CQ44" s="14">
        <f>CP44-CJ44</f>
        <v/>
      </c>
      <c r="CR44" s="79" t="n"/>
      <c r="CS44" s="17" t="n"/>
      <c r="DC44" s="14">
        <f>SUM(CS44:DB44)</f>
        <v/>
      </c>
    </row>
    <row r="45">
      <c r="A45" s="33" t="n">
        <v>19</v>
      </c>
      <c r="B45" s="50" t="inlineStr">
        <is>
          <t>YUCATAN</t>
        </is>
      </c>
      <c r="C45" s="56" t="inlineStr">
        <is>
          <t>YUCATAN</t>
        </is>
      </c>
      <c r="D45" s="33" t="inlineStr">
        <is>
          <t>IASA</t>
        </is>
      </c>
      <c r="E45" s="13" t="n">
        <v>45</v>
      </c>
      <c r="F45" s="13" t="n">
        <v>139</v>
      </c>
      <c r="G45" s="13" t="n">
        <v>10</v>
      </c>
      <c r="H45" s="13" t="n">
        <v>12</v>
      </c>
      <c r="I45" s="13" t="n">
        <v>6</v>
      </c>
      <c r="J45" s="13" t="n">
        <v>61</v>
      </c>
      <c r="K45" s="13" t="n">
        <v>886</v>
      </c>
      <c r="L45" s="13" t="n">
        <v>16</v>
      </c>
      <c r="M45" s="13" t="n">
        <v>4</v>
      </c>
      <c r="N45" s="13" t="n">
        <v>67</v>
      </c>
      <c r="O45" s="13" t="n"/>
      <c r="P45" s="13" t="n">
        <v>1246</v>
      </c>
      <c r="R45" s="3" t="n"/>
      <c r="S45" s="3" t="n"/>
      <c r="T45" s="3" t="n"/>
      <c r="U45" s="3" t="n"/>
      <c r="V45" s="3" t="n"/>
      <c r="X45" s="3" t="n">
        <v>4</v>
      </c>
      <c r="Z45" s="16" t="n">
        <v>60</v>
      </c>
      <c r="AA45" s="16" t="n">
        <v>360</v>
      </c>
      <c r="AC45" s="24" t="n"/>
      <c r="AD45" s="24" t="n"/>
      <c r="AE45" s="24" t="n"/>
      <c r="AF45" s="24" t="n"/>
      <c r="AG45" s="24" t="n"/>
      <c r="AH45" s="24" t="n"/>
      <c r="AI45" s="24" t="n"/>
      <c r="AJ45" s="24" t="n"/>
      <c r="AK45" s="24" t="n"/>
      <c r="AL45" s="24" t="n"/>
      <c r="AM45" s="24" t="n"/>
      <c r="AN45" s="24" t="n"/>
      <c r="AO45" s="24" t="n"/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n"/>
      <c r="AY45" s="24" t="n"/>
      <c r="AZ45" s="24" t="n"/>
      <c r="BA45" s="24" t="n"/>
      <c r="BB45" s="24" t="n"/>
      <c r="BC45" s="24" t="n"/>
      <c r="BD45" s="24" t="n"/>
      <c r="BE45" s="24" t="n"/>
      <c r="BF45" s="24" t="n"/>
      <c r="BG45" s="24" t="n"/>
      <c r="BH45" s="24" t="n"/>
      <c r="BI45" s="24" t="n"/>
      <c r="BJ45" s="24" t="n"/>
      <c r="BK45" s="24" t="n"/>
      <c r="BL45" s="24" t="n"/>
      <c r="BM45" s="24" t="n"/>
      <c r="BN45" s="24" t="n"/>
      <c r="BO45" s="24" t="n"/>
      <c r="BP45" s="24" t="n"/>
      <c r="BQ45" s="24" t="n"/>
      <c r="BR45" s="24" t="n"/>
      <c r="BS45" s="24" t="n"/>
      <c r="BT45" s="24" t="n"/>
      <c r="BU45" s="24" t="n"/>
      <c r="BV45" s="24" t="n"/>
      <c r="BW45" s="24" t="n"/>
      <c r="BX45" s="24" t="n"/>
      <c r="BY45" s="24" t="n"/>
      <c r="BZ45" s="24" t="n"/>
      <c r="CA45" s="24" t="n"/>
      <c r="CB45" s="24" t="n"/>
      <c r="CC45" s="24" t="n"/>
      <c r="CD45" s="24" t="n"/>
      <c r="CE45" s="24" t="n"/>
      <c r="CF45" s="24" t="n"/>
      <c r="CG45" s="24" t="n"/>
      <c r="CH45" s="37">
        <f>+SUM(AC45:CG45)</f>
        <v/>
      </c>
      <c r="CJ45" s="27">
        <f>CH45</f>
        <v/>
      </c>
      <c r="CK45" s="22" t="n">
        <v>0</v>
      </c>
      <c r="CL45" s="22">
        <f>CJ45+CK45</f>
        <v/>
      </c>
      <c r="CM45" s="42" t="n"/>
      <c r="CN45" s="78" t="n"/>
      <c r="CO45" s="14">
        <f>DC45</f>
        <v/>
      </c>
      <c r="CP45" s="14">
        <f>CO45</f>
        <v/>
      </c>
      <c r="CQ45" s="14">
        <f>CP45-CJ45</f>
        <v/>
      </c>
      <c r="CR45" s="79" t="n"/>
      <c r="CS45" s="17" t="n"/>
      <c r="DC45" s="14">
        <f>SUM(CS45:DB45)</f>
        <v/>
      </c>
    </row>
    <row r="46">
      <c r="A46" s="33" t="n">
        <v>20</v>
      </c>
      <c r="B46" s="58" t="inlineStr">
        <is>
          <t>MICHOACÁN</t>
        </is>
      </c>
      <c r="C46" s="56" t="inlineStr">
        <is>
          <t>MICHOACAN-MORELIA</t>
        </is>
      </c>
      <c r="D46" s="33" t="inlineStr">
        <is>
          <t>IASA</t>
        </is>
      </c>
      <c r="E46" s="13" t="n">
        <v>47</v>
      </c>
      <c r="F46" s="13" t="n">
        <v>377</v>
      </c>
      <c r="G46" s="13" t="n">
        <v>14</v>
      </c>
      <c r="H46" s="13" t="n">
        <v>75</v>
      </c>
      <c r="I46" s="13" t="n">
        <v>58</v>
      </c>
      <c r="J46" s="13" t="n">
        <v>96</v>
      </c>
      <c r="K46" s="13" t="n">
        <v>564</v>
      </c>
      <c r="L46" s="13" t="n">
        <v>833</v>
      </c>
      <c r="M46" s="13" t="n">
        <v>2</v>
      </c>
      <c r="N46" s="13" t="n">
        <v>138</v>
      </c>
      <c r="O46" s="13" t="n"/>
      <c r="P46" s="13" t="n">
        <v>2204</v>
      </c>
      <c r="R46" s="3" t="n"/>
      <c r="S46" s="3" t="n"/>
      <c r="T46" s="3" t="n"/>
      <c r="U46" s="3" t="n"/>
      <c r="V46" s="3" t="n"/>
      <c r="X46" s="3" t="n">
        <v>7</v>
      </c>
      <c r="Y46" s="15" t="n"/>
      <c r="Z46" s="16" t="n">
        <v>105</v>
      </c>
      <c r="AA46" s="16" t="n">
        <v>630</v>
      </c>
      <c r="AC46" s="24" t="n"/>
      <c r="AD46" s="24" t="n"/>
      <c r="AE46" s="24" t="n"/>
      <c r="AF46" s="24" t="n"/>
      <c r="AG46" s="24" t="n"/>
      <c r="AH46" s="24" t="n"/>
      <c r="AI46" s="24" t="n"/>
      <c r="AJ46" s="24" t="n"/>
      <c r="AK46" s="24" t="n">
        <v>1</v>
      </c>
      <c r="AL46" s="24" t="n">
        <v>20</v>
      </c>
      <c r="AM46" s="24" t="n">
        <v>19</v>
      </c>
      <c r="AN46" s="24" t="n"/>
      <c r="AO46" s="24" t="n"/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n"/>
      <c r="BB46" s="24" t="n"/>
      <c r="BC46" s="24" t="n"/>
      <c r="BD46" s="24" t="n"/>
      <c r="BE46" s="24" t="n"/>
      <c r="BF46" s="24" t="n"/>
      <c r="BG46" s="24" t="n"/>
      <c r="BH46" s="24" t="n"/>
      <c r="BI46" s="24" t="n"/>
      <c r="BJ46" s="24" t="n"/>
      <c r="BK46" s="24" t="n"/>
      <c r="BL46" s="24" t="n"/>
      <c r="BM46" s="24" t="n"/>
      <c r="BN46" s="24" t="n"/>
      <c r="BO46" s="24" t="n"/>
      <c r="BP46" s="24" t="n"/>
      <c r="BQ46" s="24" t="n"/>
      <c r="BR46" s="24" t="n"/>
      <c r="BS46" s="24" t="n"/>
      <c r="BT46" s="24" t="n"/>
      <c r="BU46" s="24" t="n"/>
      <c r="BV46" s="24" t="n"/>
      <c r="BW46" s="24" t="n"/>
      <c r="BX46" s="24" t="n"/>
      <c r="BY46" s="24" t="n"/>
      <c r="BZ46" s="24" t="n"/>
      <c r="CA46" s="24" t="n"/>
      <c r="CB46" s="24" t="n"/>
      <c r="CC46" s="24" t="n"/>
      <c r="CD46" s="24" t="n"/>
      <c r="CE46" s="24" t="n"/>
      <c r="CF46" s="24" t="n"/>
      <c r="CG46" s="24" t="n"/>
      <c r="CH46" s="37">
        <f>+SUM(AC46:CG46)</f>
        <v/>
      </c>
      <c r="CJ46" s="27">
        <f>CH46</f>
        <v/>
      </c>
      <c r="CK46" s="22" t="n">
        <v>0</v>
      </c>
      <c r="CL46" s="22">
        <f>CJ46+CK46</f>
        <v/>
      </c>
      <c r="CM46" s="42" t="n"/>
      <c r="CN46" s="78" t="n"/>
      <c r="CO46" s="14">
        <f>DC46</f>
        <v/>
      </c>
      <c r="CP46" s="14">
        <f>CO46</f>
        <v/>
      </c>
      <c r="CQ46" s="14">
        <f>CP46-CJ46</f>
        <v/>
      </c>
      <c r="CR46" s="79" t="n"/>
      <c r="CS46" s="17" t="n"/>
      <c r="CT46" t="n">
        <v>289</v>
      </c>
      <c r="CV46" t="n">
        <v>42</v>
      </c>
      <c r="DC46" s="14">
        <f>SUM(CS46:DB46)</f>
        <v/>
      </c>
    </row>
    <row r="47">
      <c r="A47" s="33" t="n">
        <v>20</v>
      </c>
      <c r="B47" s="59" t="n"/>
      <c r="C47" s="56" t="inlineStr">
        <is>
          <t>MICHOACAN-ZAMORA</t>
        </is>
      </c>
      <c r="D47" s="33" t="inlineStr">
        <is>
          <t>EULEN</t>
        </is>
      </c>
      <c r="E47" s="13" t="n">
        <v>43</v>
      </c>
      <c r="F47" s="13" t="n">
        <v>73</v>
      </c>
      <c r="G47" s="13" t="n"/>
      <c r="H47" s="13" t="n">
        <v>4</v>
      </c>
      <c r="I47" s="13" t="n">
        <v>1</v>
      </c>
      <c r="J47" s="13" t="n">
        <v>9</v>
      </c>
      <c r="K47" s="13" t="n">
        <v>515</v>
      </c>
      <c r="L47" s="13" t="n">
        <v>243</v>
      </c>
      <c r="M47" s="13" t="n"/>
      <c r="N47" s="13" t="n">
        <v>31</v>
      </c>
      <c r="O47" s="13" t="n"/>
      <c r="P47" s="13" t="n">
        <v>919</v>
      </c>
      <c r="R47" s="3" t="n"/>
      <c r="S47" s="3" t="n"/>
      <c r="T47" s="3" t="n"/>
      <c r="U47" s="3" t="n"/>
      <c r="V47" s="3" t="n"/>
      <c r="X47" s="3" t="n">
        <v>3</v>
      </c>
      <c r="Y47" s="15" t="n"/>
      <c r="Z47" s="16" t="n">
        <v>45</v>
      </c>
      <c r="AA47" s="16" t="n">
        <v>270</v>
      </c>
      <c r="AC47" s="24" t="n"/>
      <c r="AD47" s="24" t="n"/>
      <c r="AE47" s="24" t="n"/>
      <c r="AF47" s="24" t="n"/>
      <c r="AG47" s="24" t="n"/>
      <c r="AH47" s="24" t="n"/>
      <c r="AI47" s="24" t="n"/>
      <c r="AJ47" s="24" t="n"/>
      <c r="AK47" s="24" t="n"/>
      <c r="AL47" s="24" t="n"/>
      <c r="AM47" s="24" t="n"/>
      <c r="AN47" s="24" t="n"/>
      <c r="AO47" s="24" t="n"/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n"/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24" t="n"/>
      <c r="BK47" s="24" t="n"/>
      <c r="BL47" s="24" t="n"/>
      <c r="BM47" s="24" t="n"/>
      <c r="BN47" s="24" t="n"/>
      <c r="BO47" s="24" t="n"/>
      <c r="BP47" s="24" t="n"/>
      <c r="BQ47" s="24" t="n"/>
      <c r="BR47" s="24" t="n"/>
      <c r="BS47" s="24" t="n"/>
      <c r="BT47" s="24" t="n"/>
      <c r="BU47" s="24" t="n"/>
      <c r="BV47" s="24" t="n"/>
      <c r="BW47" s="24" t="n"/>
      <c r="BX47" s="24" t="n"/>
      <c r="BY47" s="24" t="n"/>
      <c r="BZ47" s="24" t="n"/>
      <c r="CA47" s="24" t="n"/>
      <c r="CB47" s="24" t="n"/>
      <c r="CC47" s="24" t="n"/>
      <c r="CD47" s="24" t="n"/>
      <c r="CE47" s="24" t="n"/>
      <c r="CF47" s="24" t="n"/>
      <c r="CG47" s="24" t="n"/>
      <c r="CH47" s="37">
        <f>+SUM(AC47:CG47)</f>
        <v/>
      </c>
      <c r="CJ47" s="27">
        <f>CH47</f>
        <v/>
      </c>
      <c r="CK47" s="22" t="n">
        <v>0</v>
      </c>
      <c r="CL47" s="22">
        <f>CJ47+CK47</f>
        <v/>
      </c>
      <c r="CM47" s="42" t="n"/>
      <c r="CN47" s="78" t="n"/>
      <c r="CO47" s="14">
        <f>DC47</f>
        <v/>
      </c>
      <c r="CP47" s="14">
        <f>CO47</f>
        <v/>
      </c>
      <c r="CQ47" s="14">
        <f>CP47-CJ47</f>
        <v/>
      </c>
      <c r="CR47" s="79" t="n"/>
      <c r="CS47" s="17" t="n"/>
      <c r="DC47" s="14">
        <f>SUM(CS47:DB47)</f>
        <v/>
      </c>
    </row>
    <row r="48">
      <c r="A48" s="33" t="n">
        <v>21</v>
      </c>
      <c r="B48" s="50" t="inlineStr">
        <is>
          <t>AGUASCALIENTES</t>
        </is>
      </c>
      <c r="C48" s="56" t="inlineStr">
        <is>
          <t>AGUASCALIENTES</t>
        </is>
      </c>
      <c r="D48" s="33" t="inlineStr">
        <is>
          <t>IASA</t>
        </is>
      </c>
      <c r="E48" s="13" t="n">
        <v>55</v>
      </c>
      <c r="F48" s="13" t="n">
        <v>206</v>
      </c>
      <c r="G48" s="13" t="n"/>
      <c r="H48" s="13" t="n">
        <v>38</v>
      </c>
      <c r="I48" s="13" t="n">
        <v>9</v>
      </c>
      <c r="J48" s="13" t="n">
        <v>102</v>
      </c>
      <c r="K48" s="13" t="n">
        <v>720</v>
      </c>
      <c r="L48" s="13" t="n">
        <v>106</v>
      </c>
      <c r="M48" s="13" t="n">
        <v>25</v>
      </c>
      <c r="N48" s="13" t="n">
        <v>259</v>
      </c>
      <c r="O48" s="13" t="n"/>
      <c r="P48" s="13" t="n">
        <v>1520</v>
      </c>
      <c r="R48" s="3" t="n"/>
      <c r="S48" s="3" t="n"/>
      <c r="T48" s="3" t="n"/>
      <c r="U48" s="3" t="n"/>
      <c r="V48" s="3" t="n"/>
      <c r="X48" s="3" t="n">
        <v>5</v>
      </c>
      <c r="Z48" s="16" t="n">
        <v>75</v>
      </c>
      <c r="AA48" s="16" t="n">
        <v>450</v>
      </c>
      <c r="AC48" s="24" t="n"/>
      <c r="AD48" s="24" t="n"/>
      <c r="AE48" s="24" t="n"/>
      <c r="AF48" s="24" t="n"/>
      <c r="AG48" s="24" t="n"/>
      <c r="AH48" s="24" t="n"/>
      <c r="AI48" s="24" t="n"/>
      <c r="AJ48" s="24" t="n"/>
      <c r="AK48" s="24" t="n"/>
      <c r="AL48" s="24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n"/>
      <c r="BI48" s="24" t="n"/>
      <c r="BJ48" s="24" t="n"/>
      <c r="BK48" s="24" t="n"/>
      <c r="BL48" s="24" t="n"/>
      <c r="BM48" s="24" t="n"/>
      <c r="BN48" s="24" t="n"/>
      <c r="BO48" s="24" t="n"/>
      <c r="BP48" s="24" t="n"/>
      <c r="BQ48" s="24" t="n"/>
      <c r="BR48" s="24" t="n"/>
      <c r="BS48" s="24" t="n"/>
      <c r="BT48" s="24" t="n"/>
      <c r="BU48" s="24" t="n"/>
      <c r="BV48" s="24" t="n"/>
      <c r="BW48" s="24" t="n"/>
      <c r="BX48" s="24" t="n"/>
      <c r="BY48" s="24" t="n"/>
      <c r="BZ48" s="24" t="n"/>
      <c r="CA48" s="24" t="n"/>
      <c r="CB48" s="24" t="n"/>
      <c r="CC48" s="24" t="n"/>
      <c r="CD48" s="24" t="n"/>
      <c r="CE48" s="24" t="n"/>
      <c r="CF48" s="24" t="n"/>
      <c r="CG48" s="24" t="n"/>
      <c r="CH48" s="37">
        <f>+SUM(AC48:CG48)</f>
        <v/>
      </c>
      <c r="CJ48" s="27">
        <f>CH48</f>
        <v/>
      </c>
      <c r="CK48" s="22" t="n">
        <v>0</v>
      </c>
      <c r="CL48" s="22">
        <f>CJ48+CK48</f>
        <v/>
      </c>
      <c r="CM48" s="42" t="n"/>
      <c r="CN48" s="78" t="n"/>
      <c r="CO48" s="14">
        <f>DC48</f>
        <v/>
      </c>
      <c r="CP48" s="14">
        <f>CO48</f>
        <v/>
      </c>
      <c r="CQ48" s="14">
        <f>CP48-CJ48</f>
        <v/>
      </c>
      <c r="CR48" s="79" t="n"/>
      <c r="CS48" s="17" t="n"/>
      <c r="DC48" s="14">
        <f>SUM(CS48:DB48)</f>
        <v/>
      </c>
    </row>
    <row r="49">
      <c r="A49" s="33" t="n">
        <v>22</v>
      </c>
      <c r="B49" s="50" t="inlineStr">
        <is>
          <t>CHIAPAS</t>
        </is>
      </c>
      <c r="C49" s="56" t="inlineStr">
        <is>
          <t>CHIAPAS</t>
        </is>
      </c>
      <c r="D49" s="33" t="inlineStr">
        <is>
          <t>IASA</t>
        </is>
      </c>
      <c r="E49" s="13" t="n">
        <v>50</v>
      </c>
      <c r="F49" s="13" t="n">
        <v>313</v>
      </c>
      <c r="G49" s="13" t="n">
        <v>1</v>
      </c>
      <c r="H49" s="13" t="n">
        <v>21</v>
      </c>
      <c r="I49" s="13" t="n">
        <v>6</v>
      </c>
      <c r="J49" s="13" t="n">
        <v>227</v>
      </c>
      <c r="K49" s="13" t="n">
        <v>711</v>
      </c>
      <c r="L49" s="13" t="n">
        <v>9</v>
      </c>
      <c r="M49" s="13" t="n">
        <v>6</v>
      </c>
      <c r="N49" s="13" t="n">
        <v>72</v>
      </c>
      <c r="O49" s="13" t="n"/>
      <c r="P49" s="13" t="n">
        <v>1416</v>
      </c>
      <c r="R49" s="3" t="n"/>
      <c r="S49" s="3" t="n"/>
      <c r="T49" s="3" t="n"/>
      <c r="U49" s="3" t="n"/>
      <c r="V49" s="3" t="n"/>
      <c r="X49" s="3" t="n">
        <v>4</v>
      </c>
      <c r="Y49" s="15" t="n"/>
      <c r="Z49" s="16" t="n">
        <v>60</v>
      </c>
      <c r="AA49" s="16" t="n">
        <v>360</v>
      </c>
      <c r="AC49" s="24" t="n"/>
      <c r="AD49" s="24" t="n"/>
      <c r="AE49" s="24" t="n"/>
      <c r="AF49" s="24" t="n"/>
      <c r="AG49" s="24" t="n"/>
      <c r="AH49" s="24" t="n"/>
      <c r="AI49" s="24" t="n"/>
      <c r="AJ49" s="24" t="n"/>
      <c r="AK49" s="24" t="n"/>
      <c r="AL49" s="24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n"/>
      <c r="BI49" s="24" t="n"/>
      <c r="BJ49" s="24" t="n"/>
      <c r="BK49" s="24" t="n"/>
      <c r="BL49" s="24" t="n"/>
      <c r="BM49" s="24" t="n"/>
      <c r="BN49" s="24" t="n"/>
      <c r="BO49" s="24" t="n"/>
      <c r="BP49" s="24" t="n"/>
      <c r="BQ49" s="24" t="n"/>
      <c r="BR49" s="24" t="n"/>
      <c r="BS49" s="24" t="n"/>
      <c r="BT49" s="24" t="n"/>
      <c r="BU49" s="24" t="n"/>
      <c r="BV49" s="24" t="n"/>
      <c r="BW49" s="24" t="n"/>
      <c r="BX49" s="24" t="n"/>
      <c r="BY49" s="24" t="n"/>
      <c r="BZ49" s="24" t="n"/>
      <c r="CA49" s="24" t="n"/>
      <c r="CB49" s="24" t="n"/>
      <c r="CC49" s="24" t="n"/>
      <c r="CD49" s="24" t="n"/>
      <c r="CE49" s="24" t="n"/>
      <c r="CF49" s="24" t="n"/>
      <c r="CG49" s="24" t="n"/>
      <c r="CH49" s="37">
        <f>+SUM(AC49:CG49)</f>
        <v/>
      </c>
      <c r="CJ49" s="27">
        <f>CH49</f>
        <v/>
      </c>
      <c r="CK49" s="22" t="n">
        <v>0</v>
      </c>
      <c r="CL49" s="22">
        <f>CJ49+CK49</f>
        <v/>
      </c>
      <c r="CM49" s="42" t="n"/>
      <c r="CN49" s="78" t="n"/>
      <c r="CO49" s="14">
        <f>DC49</f>
        <v/>
      </c>
      <c r="CP49" s="14">
        <f>CO49</f>
        <v/>
      </c>
      <c r="CQ49" s="14">
        <f>CP49-CJ49</f>
        <v/>
      </c>
      <c r="CR49" s="79" t="n"/>
      <c r="CS49" s="17" t="n"/>
      <c r="DC49" s="14">
        <f>SUM(CS49:DB49)</f>
        <v/>
      </c>
    </row>
    <row r="50">
      <c r="A50" s="33" t="n">
        <v>23</v>
      </c>
      <c r="B50" s="50" t="inlineStr">
        <is>
          <t>CHIHUAHUA</t>
        </is>
      </c>
      <c r="C50" s="56" t="inlineStr">
        <is>
          <t>CHIHUAHUA</t>
        </is>
      </c>
      <c r="D50" s="33" t="inlineStr">
        <is>
          <t>IASA</t>
        </is>
      </c>
      <c r="E50" s="13" t="n">
        <v>56</v>
      </c>
      <c r="F50" s="13" t="n">
        <v>117</v>
      </c>
      <c r="G50" s="13" t="n">
        <v>2</v>
      </c>
      <c r="H50" s="13" t="n">
        <v>23</v>
      </c>
      <c r="I50" s="13" t="n">
        <v>9</v>
      </c>
      <c r="J50" s="13" t="n">
        <v>383</v>
      </c>
      <c r="K50" s="13" t="n">
        <v>559</v>
      </c>
      <c r="L50" s="13" t="n">
        <v>642</v>
      </c>
      <c r="M50" s="13" t="n">
        <v>8</v>
      </c>
      <c r="N50" s="13" t="n">
        <v>157</v>
      </c>
      <c r="O50" s="13" t="n"/>
      <c r="P50" s="13" t="n">
        <v>1956</v>
      </c>
      <c r="R50" s="3" t="n"/>
      <c r="S50" s="3" t="n"/>
      <c r="T50" s="3" t="n"/>
      <c r="U50" s="3" t="n"/>
      <c r="V50" s="3" t="n"/>
      <c r="X50" s="3" t="n">
        <v>6</v>
      </c>
      <c r="Y50" s="15" t="n"/>
      <c r="Z50" s="16" t="n">
        <v>90</v>
      </c>
      <c r="AA50" s="16" t="n">
        <v>540</v>
      </c>
      <c r="AC50" s="24" t="n"/>
      <c r="AD50" s="24" t="n"/>
      <c r="AE50" s="24" t="n"/>
      <c r="AF50" s="24" t="n"/>
      <c r="AG50" s="24" t="n"/>
      <c r="AH50" s="24" t="n"/>
      <c r="AI50" s="24" t="n"/>
      <c r="AJ50" s="24" t="n"/>
      <c r="AK50" s="24" t="n"/>
      <c r="AL50" s="24" t="n"/>
      <c r="AM50" s="24" t="n"/>
      <c r="AN50" s="24" t="n"/>
      <c r="AO50" s="24" t="n"/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n"/>
      <c r="BB50" s="24" t="n"/>
      <c r="BC50" s="24" t="n"/>
      <c r="BD50" s="24" t="n"/>
      <c r="BE50" s="24" t="n"/>
      <c r="BF50" s="24" t="n"/>
      <c r="BG50" s="24" t="n"/>
      <c r="BH50" s="24" t="n"/>
      <c r="BI50" s="24" t="n"/>
      <c r="BJ50" s="24" t="n"/>
      <c r="BK50" s="24" t="n"/>
      <c r="BL50" s="24" t="n"/>
      <c r="BM50" s="24" t="n"/>
      <c r="BN50" s="24" t="n"/>
      <c r="BO50" s="24" t="n"/>
      <c r="BP50" s="24" t="n"/>
      <c r="BQ50" s="24" t="n"/>
      <c r="BR50" s="24" t="n"/>
      <c r="BS50" s="24" t="n"/>
      <c r="BT50" s="24" t="n"/>
      <c r="BU50" s="24" t="n"/>
      <c r="BV50" s="24" t="n"/>
      <c r="BW50" s="24" t="n"/>
      <c r="BX50" s="24" t="n"/>
      <c r="BY50" s="24" t="n"/>
      <c r="BZ50" s="24" t="n"/>
      <c r="CA50" s="24" t="n"/>
      <c r="CB50" s="24" t="n"/>
      <c r="CC50" s="24" t="n"/>
      <c r="CD50" s="24" t="n"/>
      <c r="CE50" s="24" t="n"/>
      <c r="CF50" s="24" t="n"/>
      <c r="CG50" s="24" t="n"/>
      <c r="CH50" s="37">
        <f>+SUM(AC50:CG50)</f>
        <v/>
      </c>
      <c r="CJ50" s="27">
        <f>CH50</f>
        <v/>
      </c>
      <c r="CK50" s="22" t="n">
        <v>0</v>
      </c>
      <c r="CL50" s="22">
        <f>CJ50+CK50</f>
        <v/>
      </c>
      <c r="CM50" s="42" t="n"/>
      <c r="CN50" s="78" t="n"/>
      <c r="CO50" s="14" t="n">
        <v>11</v>
      </c>
      <c r="CP50" s="14">
        <f>CO50</f>
        <v/>
      </c>
      <c r="CQ50" s="14">
        <f>CP50-CJ50</f>
        <v/>
      </c>
      <c r="CR50" s="79" t="n"/>
      <c r="CS50" s="17" t="n"/>
      <c r="DC50" s="14">
        <f>SUM(CS50:DB50)</f>
        <v/>
      </c>
    </row>
    <row r="51">
      <c r="A51" s="33" t="n">
        <v>24</v>
      </c>
      <c r="B51" s="50" t="inlineStr">
        <is>
          <t>TABASCO</t>
        </is>
      </c>
      <c r="C51" s="56" t="inlineStr">
        <is>
          <t>TABASCO</t>
        </is>
      </c>
      <c r="D51" s="33" t="inlineStr">
        <is>
          <t>IASA</t>
        </is>
      </c>
      <c r="E51" s="13" t="n">
        <v>83</v>
      </c>
      <c r="F51" s="13" t="n">
        <v>173</v>
      </c>
      <c r="G51" s="13" t="n">
        <v>10</v>
      </c>
      <c r="H51" s="13" t="n">
        <v>14</v>
      </c>
      <c r="I51" s="13" t="n"/>
      <c r="J51" s="13" t="n">
        <v>198</v>
      </c>
      <c r="K51" s="13" t="n">
        <v>559</v>
      </c>
      <c r="L51" s="13" t="n">
        <v>63</v>
      </c>
      <c r="M51" s="13" t="n">
        <v>5</v>
      </c>
      <c r="N51" s="13" t="n">
        <v>38</v>
      </c>
      <c r="O51" s="13" t="n"/>
      <c r="P51" s="13" t="n">
        <v>1143</v>
      </c>
      <c r="R51" s="3" t="n"/>
      <c r="S51" s="3" t="n"/>
      <c r="T51" s="3" t="n"/>
      <c r="U51" s="3" t="n"/>
      <c r="V51" s="3" t="n"/>
      <c r="X51" s="3" t="n">
        <v>4</v>
      </c>
      <c r="Y51" s="15" t="n"/>
      <c r="Z51" s="16" t="n">
        <v>60</v>
      </c>
      <c r="AA51" s="16" t="n">
        <v>360</v>
      </c>
      <c r="AC51" s="24" t="n"/>
      <c r="AD51" s="24" t="n"/>
      <c r="AE51" s="24" t="n"/>
      <c r="AF51" s="24" t="n"/>
      <c r="AG51" s="24" t="n"/>
      <c r="AH51" s="24" t="n"/>
      <c r="AI51" s="24" t="n"/>
      <c r="AJ51" s="24" t="n"/>
      <c r="AK51" s="24" t="n"/>
      <c r="AL51" s="24" t="n"/>
      <c r="AM51" s="24" t="n"/>
      <c r="AN51" s="24" t="n"/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n"/>
      <c r="BB51" s="24" t="n"/>
      <c r="BC51" s="24" t="n"/>
      <c r="BD51" s="24" t="n"/>
      <c r="BE51" s="24" t="n"/>
      <c r="BF51" s="24" t="n"/>
      <c r="BG51" s="24" t="n"/>
      <c r="BH51" s="24" t="n"/>
      <c r="BI51" s="24" t="n"/>
      <c r="BJ51" s="24" t="n"/>
      <c r="BK51" s="24" t="n"/>
      <c r="BL51" s="24" t="n"/>
      <c r="BM51" s="24" t="n"/>
      <c r="BN51" s="24" t="n"/>
      <c r="BO51" s="24" t="n"/>
      <c r="BP51" s="24" t="n"/>
      <c r="BQ51" s="24" t="n"/>
      <c r="BR51" s="24" t="n"/>
      <c r="BS51" s="24" t="n"/>
      <c r="BT51" s="24" t="n"/>
      <c r="BU51" s="24" t="n"/>
      <c r="BV51" s="24" t="n"/>
      <c r="BW51" s="24" t="n"/>
      <c r="BX51" s="24" t="n"/>
      <c r="BY51" s="24" t="n"/>
      <c r="BZ51" s="24" t="n"/>
      <c r="CA51" s="24" t="n"/>
      <c r="CB51" s="24" t="n"/>
      <c r="CC51" s="24" t="n"/>
      <c r="CD51" s="24" t="n"/>
      <c r="CE51" s="24" t="n"/>
      <c r="CF51" s="24" t="n"/>
      <c r="CG51" s="24" t="n"/>
      <c r="CH51" s="37">
        <f>+SUM(AC51:CG51)</f>
        <v/>
      </c>
      <c r="CJ51" s="27">
        <f>CH51</f>
        <v/>
      </c>
      <c r="CK51" s="22" t="n">
        <v>0</v>
      </c>
      <c r="CL51" s="22">
        <f>CJ51+CK51</f>
        <v/>
      </c>
      <c r="CM51" s="42" t="n"/>
      <c r="CN51" s="78" t="n"/>
      <c r="CO51" s="14">
        <f>DC51</f>
        <v/>
      </c>
      <c r="CP51" s="14">
        <f>CO51</f>
        <v/>
      </c>
      <c r="CQ51" s="14">
        <f>CP51-CJ51</f>
        <v/>
      </c>
      <c r="CR51" s="79" t="n"/>
      <c r="CS51" s="17" t="n"/>
      <c r="DC51" s="14">
        <f>SUM(CS51:DB51)</f>
        <v/>
      </c>
    </row>
    <row r="52">
      <c r="A52" s="33" t="n">
        <v>26</v>
      </c>
      <c r="B52" s="50" t="inlineStr">
        <is>
          <t>CULIACAN</t>
        </is>
      </c>
      <c r="C52" s="56" t="inlineStr">
        <is>
          <t>CULIACAN</t>
        </is>
      </c>
      <c r="D52" s="33" t="inlineStr">
        <is>
          <t>IASA</t>
        </is>
      </c>
      <c r="E52" s="13" t="n">
        <v>52</v>
      </c>
      <c r="F52" s="13" t="n">
        <v>245</v>
      </c>
      <c r="G52" s="13" t="n">
        <v>3</v>
      </c>
      <c r="H52" s="13" t="n">
        <v>45</v>
      </c>
      <c r="I52" s="13" t="n"/>
      <c r="J52" s="13" t="n">
        <v>46</v>
      </c>
      <c r="K52" s="13" t="n">
        <v>367</v>
      </c>
      <c r="L52" s="13" t="n">
        <v>607</v>
      </c>
      <c r="M52" s="13" t="n"/>
      <c r="N52" s="13" t="n">
        <v>34</v>
      </c>
      <c r="O52" s="13" t="n"/>
      <c r="P52" s="13" t="n">
        <v>1399</v>
      </c>
      <c r="R52" s="3" t="n"/>
      <c r="S52" s="3" t="n"/>
      <c r="T52" s="3" t="n"/>
      <c r="U52" s="3" t="n"/>
      <c r="V52" s="3" t="n"/>
      <c r="X52" s="3" t="n">
        <v>4</v>
      </c>
      <c r="Y52" s="15" t="n"/>
      <c r="Z52" s="16" t="n">
        <v>60</v>
      </c>
      <c r="AA52" s="16" t="n">
        <v>360</v>
      </c>
      <c r="AC52" s="24" t="n"/>
      <c r="AD52" s="24" t="n"/>
      <c r="AE52" s="24" t="n"/>
      <c r="AF52" s="24" t="n"/>
      <c r="AG52" s="24" t="n"/>
      <c r="AH52" s="24" t="n"/>
      <c r="AI52" s="24" t="n"/>
      <c r="AJ52" s="24" t="n"/>
      <c r="AK52" s="24" t="n"/>
      <c r="AL52" s="24" t="n"/>
      <c r="AM52" s="24" t="n"/>
      <c r="AN52" s="24" t="n"/>
      <c r="AO52" s="24" t="n"/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n"/>
      <c r="BB52" s="24" t="n"/>
      <c r="BC52" s="24" t="n"/>
      <c r="BD52" s="24" t="n"/>
      <c r="BE52" s="24" t="n"/>
      <c r="BF52" s="24" t="n"/>
      <c r="BG52" s="24" t="n"/>
      <c r="BH52" s="24" t="n"/>
      <c r="BI52" s="24" t="n"/>
      <c r="BJ52" s="24" t="n"/>
      <c r="BK52" s="24" t="n"/>
      <c r="BL52" s="24" t="n"/>
      <c r="BM52" s="24" t="n"/>
      <c r="BN52" s="24" t="n"/>
      <c r="BO52" s="24" t="n"/>
      <c r="BP52" s="24" t="n"/>
      <c r="BQ52" s="24" t="n"/>
      <c r="BR52" s="24" t="n"/>
      <c r="BS52" s="24" t="n"/>
      <c r="BT52" s="24" t="n"/>
      <c r="BU52" s="24" t="n"/>
      <c r="BV52" s="24" t="n"/>
      <c r="BW52" s="24" t="n"/>
      <c r="BX52" s="24" t="n"/>
      <c r="BY52" s="24" t="n"/>
      <c r="BZ52" s="24" t="n"/>
      <c r="CA52" s="24" t="n"/>
      <c r="CB52" s="24" t="n"/>
      <c r="CC52" s="24" t="n"/>
      <c r="CD52" s="24" t="n"/>
      <c r="CE52" s="24" t="n"/>
      <c r="CF52" s="24" t="n"/>
      <c r="CG52" s="24" t="n"/>
      <c r="CH52" s="37">
        <f>+SUM(AC52:CG52)</f>
        <v/>
      </c>
      <c r="CJ52" s="27">
        <f>CH52</f>
        <v/>
      </c>
      <c r="CK52" s="22" t="n">
        <v>0</v>
      </c>
      <c r="CL52" s="22">
        <f>CJ52+CK52</f>
        <v/>
      </c>
      <c r="CM52" s="42" t="n"/>
      <c r="CN52" s="78" t="n"/>
      <c r="CO52" s="14">
        <f>DC52</f>
        <v/>
      </c>
      <c r="CP52" s="14">
        <f>CO52</f>
        <v/>
      </c>
      <c r="CQ52" s="14">
        <f>CP52-CJ52</f>
        <v/>
      </c>
      <c r="CR52" s="79" t="n"/>
      <c r="CS52" s="17" t="n"/>
      <c r="CU52" t="n">
        <v>3</v>
      </c>
      <c r="CV52" t="n">
        <v>45</v>
      </c>
      <c r="DC52" s="14">
        <f>SUM(CS52:DB52)</f>
        <v/>
      </c>
    </row>
    <row r="53">
      <c r="A53" s="33" t="n">
        <v>27</v>
      </c>
      <c r="B53" s="50" t="inlineStr">
        <is>
          <t>ACAPULCO</t>
        </is>
      </c>
      <c r="C53" s="56" t="inlineStr">
        <is>
          <t>ACAPULCO</t>
        </is>
      </c>
      <c r="D53" s="33" t="inlineStr">
        <is>
          <t>IASA</t>
        </is>
      </c>
      <c r="E53" s="13" t="n">
        <v>93</v>
      </c>
      <c r="F53" s="13" t="n">
        <v>93</v>
      </c>
      <c r="G53" s="13" t="n"/>
      <c r="H53" s="13" t="n">
        <v>5</v>
      </c>
      <c r="I53" s="13" t="n"/>
      <c r="J53" s="13" t="n">
        <v>283</v>
      </c>
      <c r="K53" s="13" t="n">
        <v>600</v>
      </c>
      <c r="L53" s="13" t="n">
        <v>12</v>
      </c>
      <c r="M53" s="13" t="n">
        <v>19</v>
      </c>
      <c r="N53" s="13" t="n">
        <v>70</v>
      </c>
      <c r="O53" s="13" t="n"/>
      <c r="P53" s="13" t="n">
        <v>1175</v>
      </c>
      <c r="R53" s="3" t="n"/>
      <c r="S53" s="3" t="n"/>
      <c r="T53" s="3" t="n"/>
      <c r="U53" s="3" t="n"/>
      <c r="V53" s="3" t="n"/>
      <c r="X53" s="3" t="n">
        <v>4</v>
      </c>
      <c r="Y53" s="15" t="n"/>
      <c r="Z53" s="16" t="n">
        <v>60</v>
      </c>
      <c r="AA53" s="16" t="n">
        <v>360</v>
      </c>
      <c r="AC53" s="24" t="n"/>
      <c r="AD53" s="24" t="n"/>
      <c r="AE53" s="24" t="n"/>
      <c r="AF53" s="24" t="n"/>
      <c r="AG53" s="24" t="n"/>
      <c r="AH53" s="24" t="n"/>
      <c r="AI53" s="24" t="n"/>
      <c r="AJ53" s="24" t="n"/>
      <c r="AK53" s="24" t="n"/>
      <c r="AL53" s="24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n"/>
      <c r="BI53" s="24" t="n"/>
      <c r="BJ53" s="24" t="n"/>
      <c r="BK53" s="24" t="n"/>
      <c r="BL53" s="24" t="n"/>
      <c r="BM53" s="24" t="n"/>
      <c r="BN53" s="24" t="n"/>
      <c r="BO53" s="24" t="n"/>
      <c r="BP53" s="24" t="n"/>
      <c r="BQ53" s="24" t="n"/>
      <c r="BR53" s="24" t="n"/>
      <c r="BS53" s="24" t="n"/>
      <c r="BT53" s="24" t="n"/>
      <c r="BU53" s="24" t="n"/>
      <c r="BV53" s="24" t="n"/>
      <c r="BW53" s="24" t="n"/>
      <c r="BX53" s="24" t="n"/>
      <c r="BY53" s="24" t="n"/>
      <c r="BZ53" s="24" t="n"/>
      <c r="CA53" s="24" t="n"/>
      <c r="CB53" s="24" t="n"/>
      <c r="CC53" s="24" t="n"/>
      <c r="CD53" s="24" t="n"/>
      <c r="CE53" s="24" t="n"/>
      <c r="CF53" s="24" t="n"/>
      <c r="CG53" s="24" t="n"/>
      <c r="CH53" s="37">
        <f>+SUM(AC53:CG53)</f>
        <v/>
      </c>
      <c r="CJ53" s="27">
        <f>CH53</f>
        <v/>
      </c>
      <c r="CK53" s="22" t="n">
        <v>0</v>
      </c>
      <c r="CL53" s="22">
        <f>CJ53+CK53</f>
        <v/>
      </c>
      <c r="CM53" s="42" t="n"/>
      <c r="CN53" s="78" t="n"/>
      <c r="CO53" s="14">
        <f>DC53</f>
        <v/>
      </c>
      <c r="CP53" s="14">
        <f>CO53</f>
        <v/>
      </c>
      <c r="CQ53" s="14">
        <f>CP53-CJ53</f>
        <v/>
      </c>
      <c r="CR53" s="79" t="n"/>
      <c r="CS53" s="17" t="n"/>
      <c r="DC53" s="14">
        <f>SUM(CS53:DB53)</f>
        <v/>
      </c>
    </row>
    <row r="54">
      <c r="A54" s="33" t="n">
        <v>28</v>
      </c>
      <c r="B54" s="50" t="inlineStr">
        <is>
          <t>HERMOSILLO</t>
        </is>
      </c>
      <c r="C54" s="56" t="inlineStr">
        <is>
          <t>HERMOSILLO</t>
        </is>
      </c>
      <c r="D54" s="33" t="inlineStr">
        <is>
          <t>IASA</t>
        </is>
      </c>
      <c r="E54" s="13" t="n">
        <v>44</v>
      </c>
      <c r="F54" s="13" t="n">
        <v>164</v>
      </c>
      <c r="G54" s="13" t="n"/>
      <c r="H54" s="13" t="n"/>
      <c r="I54" s="13" t="n"/>
      <c r="J54" s="13" t="n">
        <v>71</v>
      </c>
      <c r="K54" s="13" t="n">
        <v>804</v>
      </c>
      <c r="L54" s="13" t="n">
        <v>112</v>
      </c>
      <c r="M54" s="13" t="n">
        <v>8</v>
      </c>
      <c r="N54" s="13" t="n">
        <v>47</v>
      </c>
      <c r="O54" s="13" t="n"/>
      <c r="P54" s="13" t="n">
        <v>1250</v>
      </c>
      <c r="R54" s="3" t="n"/>
      <c r="S54" s="3" t="n"/>
      <c r="T54" s="3" t="n"/>
      <c r="U54" s="3" t="n"/>
      <c r="V54" s="3" t="n"/>
      <c r="X54" s="3" t="n">
        <v>4</v>
      </c>
      <c r="Y54" s="15" t="n"/>
      <c r="Z54" s="16" t="n">
        <v>60</v>
      </c>
      <c r="AA54" s="16" t="n">
        <v>360</v>
      </c>
      <c r="AC54" s="24" t="n"/>
      <c r="AD54" s="24" t="n"/>
      <c r="AE54" s="24" t="n"/>
      <c r="AF54" s="24" t="n"/>
      <c r="AG54" s="24" t="n"/>
      <c r="AH54" s="24" t="n"/>
      <c r="AI54" s="24" t="n"/>
      <c r="AJ54" s="24" t="n"/>
      <c r="AK54" s="24" t="n"/>
      <c r="AL54" s="24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n"/>
      <c r="BI54" s="24" t="n"/>
      <c r="BJ54" s="24" t="n"/>
      <c r="BK54" s="24" t="n"/>
      <c r="BL54" s="24" t="n"/>
      <c r="BM54" s="24" t="n"/>
      <c r="BN54" s="24" t="n"/>
      <c r="BO54" s="24" t="n"/>
      <c r="BP54" s="24" t="n"/>
      <c r="BQ54" s="24" t="n"/>
      <c r="BR54" s="24" t="n"/>
      <c r="BS54" s="24" t="n"/>
      <c r="BT54" s="24" t="n"/>
      <c r="BU54" s="24" t="n"/>
      <c r="BV54" s="24" t="n"/>
      <c r="BW54" s="24" t="n"/>
      <c r="BX54" s="24" t="n"/>
      <c r="BY54" s="24" t="n"/>
      <c r="BZ54" s="24" t="n"/>
      <c r="CA54" s="24" t="n"/>
      <c r="CB54" s="24" t="n"/>
      <c r="CC54" s="24" t="n"/>
      <c r="CD54" s="24" t="n"/>
      <c r="CE54" s="24" t="n"/>
      <c r="CF54" s="24" t="n"/>
      <c r="CG54" s="24" t="n"/>
      <c r="CH54" s="37">
        <f>+SUM(AC54:CG54)</f>
        <v/>
      </c>
      <c r="CJ54" s="27">
        <f>CH54</f>
        <v/>
      </c>
      <c r="CK54" s="22" t="n">
        <v>0</v>
      </c>
      <c r="CL54" s="22">
        <f>CJ54+CK54</f>
        <v/>
      </c>
      <c r="CM54" s="42" t="n"/>
      <c r="CN54" s="78" t="n"/>
      <c r="CO54" s="14">
        <f>DC54</f>
        <v/>
      </c>
      <c r="CP54" s="14">
        <f>CO54</f>
        <v/>
      </c>
      <c r="CQ54" s="14">
        <f>CP54-CJ54</f>
        <v/>
      </c>
      <c r="CR54" s="79" t="n"/>
      <c r="CS54" s="17" t="n"/>
      <c r="DC54" s="14">
        <f>SUM(CS54:DB54)</f>
        <v/>
      </c>
    </row>
    <row r="55">
      <c r="A55" s="33" t="n">
        <v>29</v>
      </c>
      <c r="B55" s="50" t="inlineStr">
        <is>
          <t>JALAPA</t>
        </is>
      </c>
      <c r="C55" s="56" t="inlineStr">
        <is>
          <t>JALAPA</t>
        </is>
      </c>
      <c r="D55" s="33" t="inlineStr">
        <is>
          <t>IASA</t>
        </is>
      </c>
      <c r="E55" s="13" t="n">
        <v>33</v>
      </c>
      <c r="F55" s="13" t="n">
        <v>106</v>
      </c>
      <c r="G55" s="13" t="n">
        <v>1</v>
      </c>
      <c r="H55" s="13" t="n">
        <v>93</v>
      </c>
      <c r="I55" s="13" t="n"/>
      <c r="J55" s="13" t="n">
        <v>60</v>
      </c>
      <c r="K55" s="13" t="n">
        <v>702</v>
      </c>
      <c r="L55" s="13" t="n">
        <v>92</v>
      </c>
      <c r="M55" s="13" t="n"/>
      <c r="N55" s="13" t="n">
        <v>103</v>
      </c>
      <c r="O55" s="13" t="n"/>
      <c r="P55" s="13" t="n">
        <v>1190</v>
      </c>
      <c r="R55" s="3" t="n"/>
      <c r="S55" s="3" t="n"/>
      <c r="T55" s="3" t="n"/>
      <c r="U55" s="3" t="n"/>
      <c r="V55" s="3" t="n"/>
      <c r="X55" s="3" t="n">
        <v>4</v>
      </c>
      <c r="Y55" s="15" t="n"/>
      <c r="Z55" s="16" t="n">
        <v>60</v>
      </c>
      <c r="AA55" s="16" t="n">
        <v>360</v>
      </c>
      <c r="AC55" s="24" t="n"/>
      <c r="AD55" s="24" t="n"/>
      <c r="AE55" s="24" t="n"/>
      <c r="AF55" s="24" t="n"/>
      <c r="AG55" s="24" t="n"/>
      <c r="AH55" s="24" t="n"/>
      <c r="AI55" s="24" t="n"/>
      <c r="AJ55" s="24" t="n"/>
      <c r="AK55" s="24" t="n"/>
      <c r="AL55" s="24" t="n"/>
      <c r="AM55" s="24" t="n">
        <v>14</v>
      </c>
      <c r="AN55" s="24" t="n"/>
      <c r="AO55" s="24" t="n"/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n"/>
      <c r="BI55" s="24" t="n"/>
      <c r="BJ55" s="24" t="n"/>
      <c r="BK55" s="24" t="n"/>
      <c r="BL55" s="24" t="n"/>
      <c r="BM55" s="24" t="n"/>
      <c r="BN55" s="24" t="n"/>
      <c r="BO55" s="24" t="n"/>
      <c r="BP55" s="24" t="n"/>
      <c r="BQ55" s="24" t="n"/>
      <c r="BR55" s="24" t="n"/>
      <c r="BS55" s="24" t="n"/>
      <c r="BT55" s="24" t="n"/>
      <c r="BU55" s="24" t="n"/>
      <c r="BV55" s="24" t="n"/>
      <c r="BW55" s="24" t="n"/>
      <c r="BX55" s="24" t="n"/>
      <c r="BY55" s="24" t="n"/>
      <c r="BZ55" s="24" t="n"/>
      <c r="CA55" s="24" t="n"/>
      <c r="CB55" s="24" t="n"/>
      <c r="CC55" s="24" t="n"/>
      <c r="CD55" s="24" t="n"/>
      <c r="CE55" s="24" t="n"/>
      <c r="CF55" s="24" t="n"/>
      <c r="CG55" s="24" t="n"/>
      <c r="CH55" s="37">
        <f>+SUM(AC55:CG55)</f>
        <v/>
      </c>
      <c r="CJ55" s="27">
        <f>CH55</f>
        <v/>
      </c>
      <c r="CK55" s="22" t="n">
        <v>0</v>
      </c>
      <c r="CL55" s="22">
        <f>CJ55+CK55</f>
        <v/>
      </c>
      <c r="CM55" s="42" t="n"/>
      <c r="CN55" s="78" t="n"/>
      <c r="CO55" s="14">
        <f>DC55</f>
        <v/>
      </c>
      <c r="CP55" s="14">
        <f>CO55</f>
        <v/>
      </c>
      <c r="CQ55" s="14">
        <f>CP55-CJ55</f>
        <v/>
      </c>
      <c r="CR55" s="79" t="n"/>
      <c r="CS55" s="17" t="n"/>
      <c r="CV55" t="n">
        <v>30</v>
      </c>
      <c r="DC55" s="14">
        <f>SUM(CS55:DB55)</f>
        <v/>
      </c>
    </row>
    <row r="56">
      <c r="A56" s="33" t="n">
        <v>30</v>
      </c>
      <c r="B56" s="50" t="inlineStr">
        <is>
          <t>TAMPICO</t>
        </is>
      </c>
      <c r="C56" s="56" t="inlineStr">
        <is>
          <t>TAMPICO</t>
        </is>
      </c>
      <c r="D56" s="33" t="inlineStr">
        <is>
          <t>EULEN</t>
        </is>
      </c>
      <c r="E56" s="13" t="n">
        <v>27</v>
      </c>
      <c r="F56" s="13" t="n">
        <v>41</v>
      </c>
      <c r="G56" s="13" t="n"/>
      <c r="H56" s="13" t="n">
        <v>2</v>
      </c>
      <c r="I56" s="13" t="n"/>
      <c r="J56" s="13" t="n">
        <v>100</v>
      </c>
      <c r="K56" s="13" t="n">
        <v>687</v>
      </c>
      <c r="L56" s="13" t="n"/>
      <c r="M56" s="13" t="n">
        <v>5</v>
      </c>
      <c r="N56" s="13" t="n">
        <v>61</v>
      </c>
      <c r="O56" s="13" t="n"/>
      <c r="P56" s="13" t="n">
        <v>923</v>
      </c>
      <c r="R56" s="3" t="n"/>
      <c r="S56" s="3" t="n"/>
      <c r="T56" s="3" t="n"/>
      <c r="U56" s="3" t="n"/>
      <c r="V56" s="3" t="n"/>
      <c r="X56" s="3" t="n">
        <v>3</v>
      </c>
      <c r="Y56" s="15" t="n"/>
      <c r="Z56" s="16" t="n">
        <v>45</v>
      </c>
      <c r="AA56" s="16" t="n">
        <v>270</v>
      </c>
      <c r="AC56" s="24" t="n"/>
      <c r="AD56" s="24" t="n"/>
      <c r="AE56" s="24" t="n"/>
      <c r="AF56" s="24" t="n"/>
      <c r="AG56" s="24" t="n"/>
      <c r="AH56" s="24" t="n"/>
      <c r="AI56" s="24" t="n"/>
      <c r="AJ56" s="24" t="n"/>
      <c r="AK56" s="24" t="n"/>
      <c r="AL56" s="24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n"/>
      <c r="BB56" s="24" t="n"/>
      <c r="BC56" s="24" t="n"/>
      <c r="BD56" s="24" t="n"/>
      <c r="BE56" s="24" t="n"/>
      <c r="BF56" s="24" t="n"/>
      <c r="BG56" s="24" t="n"/>
      <c r="BH56" s="24" t="n"/>
      <c r="BI56" s="24" t="n"/>
      <c r="BJ56" s="24" t="n"/>
      <c r="BK56" s="24" t="n"/>
      <c r="BL56" s="24" t="n"/>
      <c r="BM56" s="24" t="n"/>
      <c r="BN56" s="24" t="n"/>
      <c r="BO56" s="24" t="n"/>
      <c r="BP56" s="24" t="n"/>
      <c r="BQ56" s="24" t="n"/>
      <c r="BR56" s="24" t="n"/>
      <c r="BS56" s="24" t="n"/>
      <c r="BT56" s="24" t="n"/>
      <c r="BU56" s="24" t="n"/>
      <c r="BV56" s="24" t="n"/>
      <c r="BW56" s="24" t="n"/>
      <c r="BX56" s="24" t="n"/>
      <c r="BY56" s="24" t="n"/>
      <c r="BZ56" s="24" t="n"/>
      <c r="CA56" s="24" t="n"/>
      <c r="CB56" s="24" t="n"/>
      <c r="CC56" s="24" t="n"/>
      <c r="CD56" s="24" t="n"/>
      <c r="CE56" s="24" t="n"/>
      <c r="CF56" s="24" t="n"/>
      <c r="CG56" s="24" t="n"/>
      <c r="CH56" s="37">
        <f>+SUM(AC56:CG56)</f>
        <v/>
      </c>
      <c r="CJ56" s="27">
        <f>CH56</f>
        <v/>
      </c>
      <c r="CK56" s="22" t="n">
        <v>0</v>
      </c>
      <c r="CL56" s="22">
        <f>CJ56+CK56</f>
        <v/>
      </c>
      <c r="CM56" s="42" t="n"/>
      <c r="CN56" s="78" t="n"/>
      <c r="CO56" s="14">
        <f>DC56</f>
        <v/>
      </c>
      <c r="CP56" s="14">
        <f>CO56</f>
        <v/>
      </c>
      <c r="CQ56" s="14">
        <f>CP56-CJ56</f>
        <v/>
      </c>
      <c r="CR56" s="79" t="n"/>
      <c r="CS56" s="17" t="n"/>
      <c r="DC56" s="14">
        <f>SUM(CS56:DB56)</f>
        <v/>
      </c>
    </row>
    <row r="57">
      <c r="A57" s="33" t="n">
        <v>31</v>
      </c>
      <c r="B57" s="46" t="inlineStr">
        <is>
          <t>QUINTANA ROO NORTE</t>
        </is>
      </c>
      <c r="C57" s="56" t="inlineStr">
        <is>
          <t>QUINTANA ROO NORTE</t>
        </is>
      </c>
      <c r="D57" s="33" t="inlineStr">
        <is>
          <t>IASA</t>
        </is>
      </c>
      <c r="E57" s="13" t="n">
        <v>43</v>
      </c>
      <c r="F57" s="13" t="n">
        <v>141</v>
      </c>
      <c r="G57" s="13" t="n">
        <v>14</v>
      </c>
      <c r="H57" s="13" t="n">
        <v>45</v>
      </c>
      <c r="I57" s="13" t="n">
        <v>1</v>
      </c>
      <c r="J57" s="13" t="n">
        <v>107</v>
      </c>
      <c r="K57" s="13" t="n">
        <v>586</v>
      </c>
      <c r="L57" s="13" t="n">
        <v>132</v>
      </c>
      <c r="M57" s="13" t="n"/>
      <c r="N57" s="13" t="n">
        <v>20</v>
      </c>
      <c r="O57" s="13" t="n"/>
      <c r="P57" s="13" t="n">
        <v>1089</v>
      </c>
      <c r="R57" s="3" t="n"/>
      <c r="S57" s="3" t="n"/>
      <c r="T57" s="3" t="n"/>
      <c r="U57" s="3" t="n"/>
      <c r="V57" s="3" t="n"/>
      <c r="X57" s="3" t="n">
        <v>4</v>
      </c>
      <c r="Y57" s="15" t="n"/>
      <c r="Z57" s="16" t="n">
        <v>60</v>
      </c>
      <c r="AA57" s="16" t="n">
        <v>360</v>
      </c>
      <c r="AC57" s="24" t="n"/>
      <c r="AD57" s="24" t="n"/>
      <c r="AE57" s="24" t="n"/>
      <c r="AF57" s="24" t="n"/>
      <c r="AG57" s="24" t="n"/>
      <c r="AH57" s="24" t="n"/>
      <c r="AI57" s="24" t="n"/>
      <c r="AJ57" s="24" t="n"/>
      <c r="AK57" s="24" t="n">
        <v>4</v>
      </c>
      <c r="AL57" s="24" t="n">
        <v>10</v>
      </c>
      <c r="AM57" s="24" t="n">
        <v>5</v>
      </c>
      <c r="AN57" s="24" t="n"/>
      <c r="AO57" s="24" t="n"/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n"/>
      <c r="BB57" s="24" t="n"/>
      <c r="BC57" s="24" t="n"/>
      <c r="BD57" s="24" t="n"/>
      <c r="BE57" s="24" t="n"/>
      <c r="BF57" s="24" t="n"/>
      <c r="BG57" s="24" t="n"/>
      <c r="BH57" s="24" t="n"/>
      <c r="BI57" s="24" t="n"/>
      <c r="BJ57" s="24" t="n"/>
      <c r="BK57" s="24" t="n"/>
      <c r="BL57" s="24" t="n"/>
      <c r="BM57" s="24" t="n"/>
      <c r="BN57" s="24" t="n"/>
      <c r="BO57" s="24" t="n"/>
      <c r="BP57" s="24" t="n"/>
      <c r="BQ57" s="24" t="n"/>
      <c r="BR57" s="24" t="n"/>
      <c r="BS57" s="24" t="n"/>
      <c r="BT57" s="24" t="n"/>
      <c r="BU57" s="24" t="n"/>
      <c r="BV57" s="24" t="n"/>
      <c r="BW57" s="24" t="n"/>
      <c r="BX57" s="24" t="n"/>
      <c r="BY57" s="24" t="n"/>
      <c r="BZ57" s="24" t="n"/>
      <c r="CA57" s="24" t="n"/>
      <c r="CB57" s="24" t="n"/>
      <c r="CC57" s="24" t="n"/>
      <c r="CD57" s="24" t="n"/>
      <c r="CE57" s="24" t="n"/>
      <c r="CF57" s="24" t="n"/>
      <c r="CG57" s="24" t="n"/>
      <c r="CH57" s="37">
        <f>+SUM(AC57:CG57)</f>
        <v/>
      </c>
      <c r="CJ57" s="27">
        <f>CH57</f>
        <v/>
      </c>
      <c r="CK57" s="22" t="n">
        <v>0</v>
      </c>
      <c r="CL57" s="22">
        <f>CJ57+CK57</f>
        <v/>
      </c>
      <c r="CM57" s="42" t="n"/>
      <c r="CN57" s="78" t="n"/>
      <c r="CO57" s="14">
        <f>DC57</f>
        <v/>
      </c>
      <c r="CP57" s="14">
        <f>CO57</f>
        <v/>
      </c>
      <c r="CQ57" s="14">
        <f>CP57-CJ57</f>
        <v/>
      </c>
      <c r="CR57" s="79" t="n"/>
      <c r="CS57" s="17" t="n"/>
      <c r="CV57" t="n">
        <v>45</v>
      </c>
      <c r="CW57" t="n">
        <v>1</v>
      </c>
      <c r="DC57" s="14">
        <f>SUM(CS57:DB57)</f>
        <v/>
      </c>
    </row>
    <row r="58">
      <c r="A58" s="33" t="n">
        <v>31</v>
      </c>
      <c r="B58" s="49" t="inlineStr">
        <is>
          <t>QUINTANA ROO SUR</t>
        </is>
      </c>
      <c r="C58" s="56" t="inlineStr">
        <is>
          <t>QUINTANA ROO SUR</t>
        </is>
      </c>
      <c r="D58" s="33" t="inlineStr">
        <is>
          <t>IASA</t>
        </is>
      </c>
      <c r="E58" s="13" t="n">
        <v>46</v>
      </c>
      <c r="F58" s="13" t="n">
        <v>92</v>
      </c>
      <c r="G58" s="13" t="n">
        <v>32</v>
      </c>
      <c r="H58" s="13" t="n">
        <v>3</v>
      </c>
      <c r="I58" s="13" t="n">
        <v>1</v>
      </c>
      <c r="J58" s="13" t="n">
        <v>28</v>
      </c>
      <c r="K58" s="13" t="n">
        <v>297</v>
      </c>
      <c r="L58" s="13" t="n">
        <v>108</v>
      </c>
      <c r="M58" s="13" t="n"/>
      <c r="N58" s="13" t="n">
        <v>7</v>
      </c>
      <c r="O58" s="13" t="n"/>
      <c r="P58" s="13" t="n">
        <v>614</v>
      </c>
      <c r="R58" s="3" t="n"/>
      <c r="S58" s="3" t="n"/>
      <c r="T58" s="3" t="n"/>
      <c r="U58" s="3" t="n"/>
      <c r="V58" s="3" t="n"/>
      <c r="X58" s="3" t="n">
        <v>2</v>
      </c>
      <c r="Y58" s="15" t="n"/>
      <c r="Z58" s="16" t="n">
        <v>30</v>
      </c>
      <c r="AA58" s="16" t="n">
        <v>180</v>
      </c>
      <c r="AC58" s="24" t="n"/>
      <c r="AD58" s="24" t="n"/>
      <c r="AE58" s="24" t="n"/>
      <c r="AF58" s="24" t="n"/>
      <c r="AG58" s="24" t="n"/>
      <c r="AH58" s="24" t="n"/>
      <c r="AI58" s="24" t="n"/>
      <c r="AJ58" s="24" t="n"/>
      <c r="AK58" s="24" t="n"/>
      <c r="AL58" s="24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n"/>
      <c r="BB58" s="24" t="n"/>
      <c r="BC58" s="24" t="n"/>
      <c r="BD58" s="24" t="n"/>
      <c r="BE58" s="24" t="n"/>
      <c r="BF58" s="24" t="n"/>
      <c r="BG58" s="24" t="n"/>
      <c r="BH58" s="24" t="n"/>
      <c r="BI58" s="24" t="n"/>
      <c r="BJ58" s="24" t="n"/>
      <c r="BK58" s="24" t="n"/>
      <c r="BL58" s="24" t="n"/>
      <c r="BM58" s="24" t="n"/>
      <c r="BN58" s="24" t="n"/>
      <c r="BO58" s="24" t="n"/>
      <c r="BP58" s="24" t="n"/>
      <c r="BQ58" s="24" t="n"/>
      <c r="BR58" s="24" t="n"/>
      <c r="BS58" s="24" t="n"/>
      <c r="BT58" s="24" t="n"/>
      <c r="BU58" s="24" t="n"/>
      <c r="BV58" s="24" t="n"/>
      <c r="BW58" s="24" t="n"/>
      <c r="BX58" s="24" t="n"/>
      <c r="BY58" s="24" t="n"/>
      <c r="BZ58" s="24" t="n"/>
      <c r="CA58" s="24" t="n"/>
      <c r="CB58" s="24" t="n"/>
      <c r="CC58" s="24" t="n"/>
      <c r="CD58" s="24" t="n"/>
      <c r="CE58" s="24" t="n"/>
      <c r="CF58" s="24" t="n"/>
      <c r="CG58" s="24" t="n"/>
      <c r="CH58" s="37">
        <f>+SUM(AC58:CG58)</f>
        <v/>
      </c>
      <c r="CJ58" s="27">
        <f>CH58</f>
        <v/>
      </c>
      <c r="CK58" s="22" t="n">
        <v>0</v>
      </c>
      <c r="CL58" s="22">
        <f>CJ58+CK58</f>
        <v/>
      </c>
      <c r="CM58" s="42" t="n"/>
      <c r="CN58" s="78" t="n"/>
      <c r="CO58" s="14">
        <f>DC58</f>
        <v/>
      </c>
      <c r="CP58" s="14">
        <f>CO58</f>
        <v/>
      </c>
      <c r="CQ58" s="14">
        <f>CP58-CJ58</f>
        <v/>
      </c>
      <c r="CR58" s="79" t="n"/>
      <c r="CS58" s="17" t="n"/>
      <c r="DC58" s="14">
        <f>SUM(CS58:DB58)</f>
        <v/>
      </c>
    </row>
    <row r="59">
      <c r="A59" s="33" t="n">
        <v>32</v>
      </c>
      <c r="B59" s="50" t="inlineStr">
        <is>
          <t>MATAMOROS-REYNOSA</t>
        </is>
      </c>
      <c r="C59" s="56" t="inlineStr">
        <is>
          <t>MATAMOROS-REYNOSA</t>
        </is>
      </c>
      <c r="D59" s="33" t="inlineStr">
        <is>
          <t>EULEN</t>
        </is>
      </c>
      <c r="E59" s="13" t="n">
        <v>22</v>
      </c>
      <c r="F59" s="13" t="n">
        <v>35</v>
      </c>
      <c r="G59" s="13" t="n">
        <v>30</v>
      </c>
      <c r="H59" s="13" t="n">
        <v>32</v>
      </c>
      <c r="I59" s="13" t="n"/>
      <c r="J59" s="13" t="n">
        <v>211</v>
      </c>
      <c r="K59" s="13" t="n">
        <v>501</v>
      </c>
      <c r="L59" s="13" t="n">
        <v>715</v>
      </c>
      <c r="M59" s="13" t="n">
        <v>2</v>
      </c>
      <c r="N59" s="13" t="n">
        <v>19</v>
      </c>
      <c r="O59" s="13" t="n"/>
      <c r="P59" s="13" t="n">
        <v>1567</v>
      </c>
      <c r="R59" s="3" t="n"/>
      <c r="S59" s="3" t="n"/>
      <c r="T59" s="3" t="n"/>
      <c r="U59" s="3" t="n"/>
      <c r="V59" s="3" t="n"/>
      <c r="X59" s="3" t="n">
        <v>5</v>
      </c>
      <c r="Y59" s="15" t="n"/>
      <c r="Z59" s="16" t="n">
        <v>75</v>
      </c>
      <c r="AA59" s="16" t="n">
        <v>450</v>
      </c>
      <c r="AC59" s="24" t="n"/>
      <c r="AD59" s="24" t="n"/>
      <c r="AE59" s="24" t="n"/>
      <c r="AF59" s="24" t="n"/>
      <c r="AG59" s="24" t="n"/>
      <c r="AH59" s="24" t="n"/>
      <c r="AI59" s="24" t="n"/>
      <c r="AJ59" s="24" t="n"/>
      <c r="AK59" s="24" t="n"/>
      <c r="AL59" s="24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n"/>
      <c r="BB59" s="24" t="n"/>
      <c r="BC59" s="24" t="n"/>
      <c r="BD59" s="24" t="n"/>
      <c r="BE59" s="24" t="n"/>
      <c r="BF59" s="24" t="n"/>
      <c r="BG59" s="24" t="n"/>
      <c r="BH59" s="24" t="n"/>
      <c r="BI59" s="24" t="n"/>
      <c r="BJ59" s="24" t="n"/>
      <c r="BK59" s="24" t="n"/>
      <c r="BL59" s="24" t="n"/>
      <c r="BM59" s="24" t="n"/>
      <c r="BN59" s="24" t="n"/>
      <c r="BO59" s="24" t="n"/>
      <c r="BP59" s="24" t="n"/>
      <c r="BQ59" s="24" t="n"/>
      <c r="BR59" s="24" t="n"/>
      <c r="BS59" s="24" t="n"/>
      <c r="BT59" s="24" t="n"/>
      <c r="BU59" s="24" t="n"/>
      <c r="BV59" s="24" t="n"/>
      <c r="BW59" s="24" t="n"/>
      <c r="BX59" s="24" t="n"/>
      <c r="BY59" s="24" t="n"/>
      <c r="BZ59" s="24" t="n"/>
      <c r="CA59" s="24" t="n"/>
      <c r="CB59" s="24" t="n"/>
      <c r="CC59" s="24" t="n"/>
      <c r="CD59" s="24" t="n"/>
      <c r="CE59" s="24" t="n"/>
      <c r="CF59" s="24" t="n"/>
      <c r="CG59" s="24" t="n"/>
      <c r="CH59" s="37">
        <f>+SUM(AC59:CG59)</f>
        <v/>
      </c>
      <c r="CJ59" s="27">
        <f>CH59</f>
        <v/>
      </c>
      <c r="CK59" s="22" t="n">
        <v>0</v>
      </c>
      <c r="CL59" s="22">
        <f>CJ59+CK59</f>
        <v/>
      </c>
      <c r="CM59" s="42" t="n"/>
      <c r="CN59" s="78" t="n"/>
      <c r="CO59" s="14">
        <f>DC59</f>
        <v/>
      </c>
      <c r="CP59" s="14">
        <f>CO59</f>
        <v/>
      </c>
      <c r="CQ59" s="14">
        <f>CP59-CJ59</f>
        <v/>
      </c>
      <c r="CR59" s="79" t="n"/>
      <c r="CS59" s="17" t="n"/>
      <c r="DC59" s="14">
        <f>SUM(CS59:DB59)</f>
        <v/>
      </c>
    </row>
    <row r="60">
      <c r="A60" s="33" t="n">
        <v>33</v>
      </c>
      <c r="B60" s="50" t="inlineStr">
        <is>
          <t>DURANGO</t>
        </is>
      </c>
      <c r="C60" s="56" t="inlineStr">
        <is>
          <t>DURANGO</t>
        </is>
      </c>
      <c r="D60" s="33" t="inlineStr">
        <is>
          <t>IASA</t>
        </is>
      </c>
      <c r="E60" s="13" t="n">
        <v>4</v>
      </c>
      <c r="F60" s="13" t="n">
        <v>48</v>
      </c>
      <c r="G60" s="13" t="n"/>
      <c r="H60" s="13" t="n"/>
      <c r="I60" s="13" t="n">
        <v>1</v>
      </c>
      <c r="J60" s="13" t="n">
        <v>11</v>
      </c>
      <c r="K60" s="13" t="n">
        <v>50</v>
      </c>
      <c r="L60" s="13" t="n">
        <v>86</v>
      </c>
      <c r="M60" s="13" t="n"/>
      <c r="N60" s="13" t="n">
        <v>10</v>
      </c>
      <c r="O60" s="13" t="n"/>
      <c r="P60" s="13" t="n">
        <v>210</v>
      </c>
      <c r="R60" s="3" t="n"/>
      <c r="S60" s="3" t="n"/>
      <c r="T60" s="3" t="n"/>
      <c r="U60" s="3" t="n"/>
      <c r="V60" s="3" t="n"/>
      <c r="X60" s="3" t="n">
        <v>1</v>
      </c>
      <c r="Y60" s="15" t="n"/>
      <c r="Z60" s="16" t="n">
        <v>15</v>
      </c>
      <c r="AA60" s="16" t="n">
        <v>90</v>
      </c>
      <c r="AC60" s="24" t="n"/>
      <c r="AD60" s="24" t="n"/>
      <c r="AE60" s="24" t="n"/>
      <c r="AF60" s="24" t="n"/>
      <c r="AG60" s="24" t="n"/>
      <c r="AH60" s="24" t="n"/>
      <c r="AI60" s="24" t="n"/>
      <c r="AJ60" s="24" t="n"/>
      <c r="AK60" s="24" t="n"/>
      <c r="AL60" s="24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n"/>
      <c r="BI60" s="24" t="n"/>
      <c r="BJ60" s="24" t="n"/>
      <c r="BK60" s="24" t="n"/>
      <c r="BL60" s="24" t="n"/>
      <c r="BM60" s="24" t="n"/>
      <c r="BN60" s="24" t="n"/>
      <c r="BO60" s="24" t="n"/>
      <c r="BP60" s="24" t="n"/>
      <c r="BQ60" s="24" t="n"/>
      <c r="BR60" s="24" t="n"/>
      <c r="BS60" s="24" t="n"/>
      <c r="BT60" s="24" t="n"/>
      <c r="BU60" s="24" t="n"/>
      <c r="BV60" s="24" t="n"/>
      <c r="BW60" s="24" t="n"/>
      <c r="BX60" s="24" t="n"/>
      <c r="BY60" s="24" t="n"/>
      <c r="BZ60" s="24" t="n"/>
      <c r="CA60" s="24" t="n"/>
      <c r="CB60" s="24" t="n"/>
      <c r="CC60" s="24" t="n"/>
      <c r="CD60" s="24" t="n"/>
      <c r="CE60" s="24" t="n"/>
      <c r="CF60" s="24" t="n"/>
      <c r="CG60" s="24" t="n"/>
      <c r="CH60" s="37">
        <f>+SUM(AC60:CG60)</f>
        <v/>
      </c>
      <c r="CJ60" s="27">
        <f>CH60</f>
        <v/>
      </c>
      <c r="CK60" s="22" t="n">
        <v>0</v>
      </c>
      <c r="CL60" s="22">
        <f>CJ60+CK60</f>
        <v/>
      </c>
      <c r="CM60" s="42" t="n"/>
      <c r="CN60" s="78" t="n"/>
      <c r="CO60" s="14" t="n">
        <v>86</v>
      </c>
      <c r="CP60" s="14">
        <f>CO60</f>
        <v/>
      </c>
      <c r="CQ60" s="14">
        <f>CP60-CJ60</f>
        <v/>
      </c>
      <c r="CR60" s="79" t="n"/>
      <c r="CS60" s="17" t="n"/>
      <c r="DC60" s="14">
        <f>SUM(CS60:DB60)</f>
        <v/>
      </c>
    </row>
    <row r="61">
      <c r="A61" s="33" t="n">
        <v>34</v>
      </c>
      <c r="B61" s="50" t="inlineStr">
        <is>
          <t>OAXACA</t>
        </is>
      </c>
      <c r="C61" s="56" t="inlineStr">
        <is>
          <t>OAXACA</t>
        </is>
      </c>
      <c r="D61" s="33" t="inlineStr">
        <is>
          <t>IASA</t>
        </is>
      </c>
      <c r="E61" s="13" t="n">
        <v>44</v>
      </c>
      <c r="F61" s="13" t="n">
        <v>226</v>
      </c>
      <c r="G61" s="13" t="n">
        <v>31</v>
      </c>
      <c r="H61" s="13" t="n">
        <v>15</v>
      </c>
      <c r="I61" s="13" t="n">
        <v>1</v>
      </c>
      <c r="J61" s="13" t="n">
        <v>57</v>
      </c>
      <c r="K61" s="13" t="n">
        <v>394</v>
      </c>
      <c r="L61" s="13" t="n">
        <v>325</v>
      </c>
      <c r="M61" s="13" t="n">
        <v>7</v>
      </c>
      <c r="N61" s="13" t="n">
        <v>75</v>
      </c>
      <c r="O61" s="13" t="n"/>
      <c r="P61" s="13" t="n">
        <v>1175</v>
      </c>
      <c r="R61" s="3" t="n"/>
      <c r="S61" s="3" t="n"/>
      <c r="T61" s="3" t="n"/>
      <c r="U61" s="3" t="n"/>
      <c r="V61" s="3" t="n"/>
      <c r="X61" s="3" t="n">
        <v>4</v>
      </c>
      <c r="Y61" s="15" t="n"/>
      <c r="Z61" s="16" t="n">
        <v>60</v>
      </c>
      <c r="AA61" s="16" t="n">
        <v>360</v>
      </c>
      <c r="AC61" s="24" t="n"/>
      <c r="AD61" s="24" t="n"/>
      <c r="AE61" s="24" t="n"/>
      <c r="AF61" s="24" t="n"/>
      <c r="AG61" s="24" t="n"/>
      <c r="AH61" s="24" t="n"/>
      <c r="AI61" s="24" t="n"/>
      <c r="AJ61" s="24" t="n"/>
      <c r="AK61" s="24" t="n"/>
      <c r="AL61" s="24" t="n"/>
      <c r="AM61" s="24" t="n">
        <v>7</v>
      </c>
      <c r="AN61" s="24" t="n"/>
      <c r="AO61" s="24" t="n"/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n"/>
      <c r="BI61" s="24" t="n"/>
      <c r="BJ61" s="24" t="n"/>
      <c r="BK61" s="24" t="n"/>
      <c r="BL61" s="24" t="n"/>
      <c r="BM61" s="24" t="n"/>
      <c r="BN61" s="24" t="n"/>
      <c r="BO61" s="24" t="n"/>
      <c r="BP61" s="24" t="n"/>
      <c r="BQ61" s="24" t="n"/>
      <c r="BR61" s="24" t="n"/>
      <c r="BS61" s="24" t="n"/>
      <c r="BT61" s="24" t="n"/>
      <c r="BU61" s="24" t="n"/>
      <c r="BV61" s="24" t="n"/>
      <c r="BW61" s="24" t="n"/>
      <c r="BX61" s="24" t="n"/>
      <c r="BY61" s="24" t="n"/>
      <c r="BZ61" s="24" t="n"/>
      <c r="CA61" s="24" t="n"/>
      <c r="CB61" s="24" t="n"/>
      <c r="CC61" s="24" t="n"/>
      <c r="CD61" s="24" t="n"/>
      <c r="CE61" s="24" t="n"/>
      <c r="CF61" s="24" t="n"/>
      <c r="CG61" s="24" t="n"/>
      <c r="CH61" s="37">
        <f>+SUM(AC61:CG61)</f>
        <v/>
      </c>
      <c r="CJ61" s="27">
        <f>CH61</f>
        <v/>
      </c>
      <c r="CK61" s="22" t="n">
        <v>0</v>
      </c>
      <c r="CL61" s="22">
        <f>CJ61+CK61</f>
        <v/>
      </c>
      <c r="CM61" s="42" t="n"/>
      <c r="CN61" s="78" t="n"/>
      <c r="CO61" s="14">
        <f>DC61</f>
        <v/>
      </c>
      <c r="CP61" s="14">
        <f>CO61</f>
        <v/>
      </c>
      <c r="CQ61" s="14">
        <f>CP61-CJ61</f>
        <v/>
      </c>
      <c r="CR61" s="79" t="n"/>
      <c r="CS61" s="17" t="n"/>
      <c r="CU61" t="n">
        <v>31</v>
      </c>
      <c r="CW61" t="n">
        <v>1</v>
      </c>
      <c r="DC61" s="14">
        <f>SUM(CS61:DB61)</f>
        <v/>
      </c>
    </row>
    <row r="62">
      <c r="A62" s="33" t="n">
        <v>35</v>
      </c>
      <c r="B62" s="50" t="inlineStr">
        <is>
          <t>IRAPUATO</t>
        </is>
      </c>
      <c r="C62" s="56" t="inlineStr">
        <is>
          <t>IRAPUATO</t>
        </is>
      </c>
      <c r="D62" s="33" t="inlineStr">
        <is>
          <t>IASA</t>
        </is>
      </c>
      <c r="E62" s="13" t="n">
        <v>40</v>
      </c>
      <c r="F62" s="13" t="n">
        <v>114</v>
      </c>
      <c r="G62" s="13" t="n">
        <v>17</v>
      </c>
      <c r="H62" s="13" t="n">
        <v>12</v>
      </c>
      <c r="I62" s="13" t="n">
        <v>12</v>
      </c>
      <c r="J62" s="13" t="n">
        <v>88</v>
      </c>
      <c r="K62" s="13" t="n">
        <v>516</v>
      </c>
      <c r="L62" s="13" t="n">
        <v>25</v>
      </c>
      <c r="M62" s="13" t="n">
        <v>13</v>
      </c>
      <c r="N62" s="13" t="n">
        <v>94</v>
      </c>
      <c r="O62" s="13" t="n"/>
      <c r="P62" s="13" t="n">
        <v>931</v>
      </c>
      <c r="R62" s="3" t="n"/>
      <c r="S62" s="3" t="n"/>
      <c r="T62" s="3" t="n"/>
      <c r="U62" s="3" t="n"/>
      <c r="V62" s="3" t="n"/>
      <c r="X62" s="3" t="n">
        <v>3</v>
      </c>
      <c r="Y62" s="15" t="n"/>
      <c r="Z62" s="16" t="n">
        <v>45</v>
      </c>
      <c r="AA62" s="16" t="n">
        <v>270</v>
      </c>
      <c r="AC62" s="24" t="n"/>
      <c r="AD62" s="24" t="n"/>
      <c r="AE62" s="24" t="n"/>
      <c r="AF62" s="24" t="n"/>
      <c r="AG62" s="24" t="n"/>
      <c r="AH62" s="24" t="n"/>
      <c r="AI62" s="24" t="n"/>
      <c r="AJ62" s="24" t="n"/>
      <c r="AK62" s="24" t="n"/>
      <c r="AL62" s="24" t="n"/>
      <c r="AM62" s="24" t="n"/>
      <c r="AN62" s="24" t="n"/>
      <c r="AO62" s="24" t="n"/>
      <c r="AP62" s="24" t="n"/>
      <c r="AQ62" s="24" t="n"/>
      <c r="AR62" s="24" t="n"/>
      <c r="AS62" s="24" t="n"/>
      <c r="AT62" s="24" t="n"/>
      <c r="AU62" s="24" t="n"/>
      <c r="AV62" s="24" t="n"/>
      <c r="AW62" s="24" t="n"/>
      <c r="AX62" s="24" t="n"/>
      <c r="AY62" s="24" t="n"/>
      <c r="AZ62" s="24" t="n"/>
      <c r="BA62" s="24" t="n"/>
      <c r="BB62" s="24" t="n"/>
      <c r="BC62" s="24" t="n"/>
      <c r="BD62" s="24" t="n"/>
      <c r="BE62" s="24" t="n"/>
      <c r="BF62" s="24" t="n"/>
      <c r="BG62" s="24" t="n"/>
      <c r="BH62" s="24" t="n"/>
      <c r="BI62" s="24" t="n"/>
      <c r="BJ62" s="24" t="n"/>
      <c r="BK62" s="24" t="n"/>
      <c r="BL62" s="24" t="n"/>
      <c r="BM62" s="24" t="n"/>
      <c r="BN62" s="24" t="n"/>
      <c r="BO62" s="24" t="n"/>
      <c r="BP62" s="24" t="n"/>
      <c r="BQ62" s="24" t="n"/>
      <c r="BR62" s="24" t="n"/>
      <c r="BS62" s="24" t="n"/>
      <c r="BT62" s="24" t="n"/>
      <c r="BU62" s="24" t="n"/>
      <c r="BV62" s="24" t="n"/>
      <c r="BW62" s="24" t="n"/>
      <c r="BX62" s="24" t="n"/>
      <c r="BY62" s="24" t="n"/>
      <c r="BZ62" s="24" t="n"/>
      <c r="CA62" s="24" t="n"/>
      <c r="CB62" s="24" t="n"/>
      <c r="CC62" s="24" t="n"/>
      <c r="CD62" s="24" t="n"/>
      <c r="CE62" s="24" t="n"/>
      <c r="CF62" s="24" t="n"/>
      <c r="CG62" s="24" t="n"/>
      <c r="CH62" s="37">
        <f>+SUM(AC62:CG62)</f>
        <v/>
      </c>
      <c r="CJ62" s="27">
        <f>CH62</f>
        <v/>
      </c>
      <c r="CK62" s="22" t="n">
        <v>0</v>
      </c>
      <c r="CL62" s="22">
        <f>CJ62+CK62</f>
        <v/>
      </c>
      <c r="CM62" s="42" t="n"/>
      <c r="CN62" s="78" t="n"/>
      <c r="CO62" s="14">
        <f>DC62</f>
        <v/>
      </c>
      <c r="CP62" s="14">
        <f>CO62</f>
        <v/>
      </c>
      <c r="CQ62" s="14">
        <f>CP62-CJ62</f>
        <v/>
      </c>
      <c r="CR62" s="79" t="n"/>
      <c r="CS62" s="17" t="n"/>
      <c r="DC62" s="14">
        <f>SUM(CS62:DB62)</f>
        <v/>
      </c>
    </row>
    <row r="63">
      <c r="A63" s="33" t="n">
        <v>36</v>
      </c>
      <c r="B63" s="50" t="inlineStr">
        <is>
          <t>MAZATLAN</t>
        </is>
      </c>
      <c r="C63" s="56" t="inlineStr">
        <is>
          <t>MAZATLAN</t>
        </is>
      </c>
      <c r="D63" s="33" t="inlineStr">
        <is>
          <t>KAR CLAU</t>
        </is>
      </c>
      <c r="E63" s="13" t="n">
        <v>14</v>
      </c>
      <c r="F63" s="13" t="n">
        <v>156</v>
      </c>
      <c r="G63" s="13" t="n"/>
      <c r="H63" s="13" t="n">
        <v>62</v>
      </c>
      <c r="I63" s="13" t="n"/>
      <c r="J63" s="13" t="n">
        <v>22</v>
      </c>
      <c r="K63" s="13" t="n">
        <v>163</v>
      </c>
      <c r="L63" s="13" t="n">
        <v>439</v>
      </c>
      <c r="M63" s="13" t="n">
        <v>1</v>
      </c>
      <c r="N63" s="13" t="n">
        <v>48</v>
      </c>
      <c r="O63" s="13" t="n"/>
      <c r="P63" s="13" t="n">
        <v>905</v>
      </c>
      <c r="R63" s="3" t="n"/>
      <c r="S63" s="3" t="n"/>
      <c r="T63" s="3" t="n"/>
      <c r="U63" s="3" t="n"/>
      <c r="V63" s="3" t="n"/>
      <c r="X63" s="3" t="n">
        <v>3</v>
      </c>
      <c r="Y63" s="15" t="n"/>
      <c r="Z63" s="16" t="n">
        <v>45</v>
      </c>
      <c r="AA63" s="16" t="n">
        <v>270</v>
      </c>
      <c r="AC63" s="24" t="n"/>
      <c r="AD63" s="24" t="n"/>
      <c r="AE63" s="24" t="n"/>
      <c r="AF63" s="24" t="n"/>
      <c r="AG63" s="24" t="n"/>
      <c r="AH63" s="24" t="n"/>
      <c r="AI63" s="24" t="n"/>
      <c r="AJ63" s="24" t="n"/>
      <c r="AK63" s="24" t="n"/>
      <c r="AL63" s="24" t="n"/>
      <c r="AM63" s="24" t="n"/>
      <c r="AN63" s="24" t="n"/>
      <c r="AO63" s="24" t="n"/>
      <c r="AP63" s="24" t="n"/>
      <c r="AQ63" s="24" t="n"/>
      <c r="AR63" s="24" t="n"/>
      <c r="AS63" s="24" t="n"/>
      <c r="AT63" s="24" t="n"/>
      <c r="AU63" s="24" t="n"/>
      <c r="AV63" s="24" t="n"/>
      <c r="AW63" s="24" t="n"/>
      <c r="AX63" s="24" t="n"/>
      <c r="AY63" s="24" t="n"/>
      <c r="AZ63" s="24" t="n"/>
      <c r="BA63" s="24" t="n"/>
      <c r="BB63" s="24" t="n"/>
      <c r="BC63" s="24" t="n"/>
      <c r="BD63" s="24" t="n"/>
      <c r="BE63" s="24" t="n"/>
      <c r="BF63" s="24" t="n"/>
      <c r="BG63" s="24" t="n"/>
      <c r="BH63" s="24" t="n"/>
      <c r="BI63" s="24" t="n"/>
      <c r="BJ63" s="24" t="n"/>
      <c r="BK63" s="24" t="n"/>
      <c r="BL63" s="24" t="n"/>
      <c r="BM63" s="24" t="n"/>
      <c r="BN63" s="24" t="n"/>
      <c r="BO63" s="24" t="n"/>
      <c r="BP63" s="24" t="n"/>
      <c r="BQ63" s="24" t="n"/>
      <c r="BR63" s="24" t="n"/>
      <c r="BS63" s="24" t="n"/>
      <c r="BT63" s="24" t="n"/>
      <c r="BU63" s="24" t="n"/>
      <c r="BV63" s="24" t="n"/>
      <c r="BW63" s="24" t="n"/>
      <c r="BX63" s="24" t="n"/>
      <c r="BY63" s="24" t="n"/>
      <c r="BZ63" s="24" t="n"/>
      <c r="CA63" s="24" t="n"/>
      <c r="CB63" s="24" t="n"/>
      <c r="CC63" s="24" t="n"/>
      <c r="CD63" s="24" t="n"/>
      <c r="CE63" s="24" t="n"/>
      <c r="CF63" s="24" t="n"/>
      <c r="CG63" s="24" t="n"/>
      <c r="CH63" s="37">
        <f>+SUM(AC63:CG63)</f>
        <v/>
      </c>
      <c r="CJ63" s="27">
        <f>CH63</f>
        <v/>
      </c>
      <c r="CK63" s="22" t="n">
        <v>0</v>
      </c>
      <c r="CL63" s="22">
        <f>CJ63+CK63</f>
        <v/>
      </c>
      <c r="CM63" s="42" t="n"/>
      <c r="CN63" s="78" t="n"/>
      <c r="CO63" s="14">
        <f>DC63</f>
        <v/>
      </c>
      <c r="CP63" s="14">
        <f>CO63</f>
        <v/>
      </c>
      <c r="CQ63" s="14">
        <f>CP63-CJ63</f>
        <v/>
      </c>
      <c r="CR63" s="79" t="n"/>
      <c r="CS63" s="17" t="n"/>
      <c r="DC63" s="14">
        <f>SUM(CS63:DB63)</f>
        <v/>
      </c>
    </row>
    <row r="64">
      <c r="A64" s="33" t="n">
        <v>37</v>
      </c>
      <c r="B64" s="50" t="inlineStr">
        <is>
          <t>CELAYA</t>
        </is>
      </c>
      <c r="C64" s="56" t="inlineStr">
        <is>
          <t>CELAYA</t>
        </is>
      </c>
      <c r="D64" s="33" t="inlineStr">
        <is>
          <t>IASA</t>
        </is>
      </c>
      <c r="E64" s="13" t="n">
        <v>26</v>
      </c>
      <c r="F64" s="13" t="n">
        <v>129</v>
      </c>
      <c r="G64" s="13" t="n"/>
      <c r="H64" s="13" t="n">
        <v>3</v>
      </c>
      <c r="I64" s="13" t="n">
        <v>17</v>
      </c>
      <c r="J64" s="13" t="n">
        <v>184</v>
      </c>
      <c r="K64" s="13" t="n">
        <v>1001</v>
      </c>
      <c r="L64" s="13" t="n"/>
      <c r="M64" s="13" t="n">
        <v>1</v>
      </c>
      <c r="N64" s="13" t="n">
        <v>103</v>
      </c>
      <c r="O64" s="13" t="n"/>
      <c r="P64" s="13" t="n">
        <v>1464</v>
      </c>
      <c r="R64" s="3" t="n"/>
      <c r="S64" s="3" t="n"/>
      <c r="T64" s="3" t="n"/>
      <c r="U64" s="3" t="n"/>
      <c r="V64" s="3" t="n"/>
      <c r="X64" s="3" t="n">
        <v>5</v>
      </c>
      <c r="Z64" s="16" t="n">
        <v>75</v>
      </c>
      <c r="AA64" s="16" t="n">
        <v>450</v>
      </c>
      <c r="AC64" s="24" t="n"/>
      <c r="AD64" s="24" t="n"/>
      <c r="AE64" s="24" t="n"/>
      <c r="AF64" s="24" t="n"/>
      <c r="AG64" s="24" t="n"/>
      <c r="AH64" s="24" t="n"/>
      <c r="AI64" s="24" t="n"/>
      <c r="AJ64" s="24" t="n"/>
      <c r="AK64" s="24" t="n"/>
      <c r="AL64" s="24" t="n"/>
      <c r="AM64" s="24" t="n"/>
      <c r="AN64" s="24" t="n"/>
      <c r="AO64" s="24" t="n"/>
      <c r="AP64" s="24" t="n"/>
      <c r="AQ64" s="24" t="n"/>
      <c r="AR64" s="24" t="n"/>
      <c r="AS64" s="24" t="n"/>
      <c r="AT64" s="24" t="n"/>
      <c r="AU64" s="24" t="n"/>
      <c r="AV64" s="24" t="n"/>
      <c r="AW64" s="24" t="n"/>
      <c r="AX64" s="24" t="n"/>
      <c r="AY64" s="24" t="n"/>
      <c r="AZ64" s="24" t="n"/>
      <c r="BA64" s="24" t="n"/>
      <c r="BB64" s="24" t="n"/>
      <c r="BC64" s="24" t="n"/>
      <c r="BD64" s="24" t="n"/>
      <c r="BE64" s="24" t="n"/>
      <c r="BF64" s="24" t="n"/>
      <c r="BG64" s="24" t="n"/>
      <c r="BH64" s="24" t="n"/>
      <c r="BI64" s="24" t="n"/>
      <c r="BJ64" s="24" t="n"/>
      <c r="BK64" s="24" t="n"/>
      <c r="BL64" s="24" t="n"/>
      <c r="BM64" s="24" t="n"/>
      <c r="BN64" s="24" t="n"/>
      <c r="BO64" s="24" t="n"/>
      <c r="BP64" s="24" t="n"/>
      <c r="BQ64" s="24" t="n"/>
      <c r="BR64" s="24" t="n"/>
      <c r="BS64" s="24" t="n"/>
      <c r="BT64" s="24" t="n"/>
      <c r="BU64" s="24" t="n"/>
      <c r="BV64" s="24" t="n"/>
      <c r="BW64" s="24" t="n"/>
      <c r="BX64" s="24" t="n"/>
      <c r="BY64" s="24" t="n"/>
      <c r="BZ64" s="24" t="n"/>
      <c r="CA64" s="24" t="n"/>
      <c r="CB64" s="24" t="n"/>
      <c r="CC64" s="24" t="n"/>
      <c r="CD64" s="24" t="n"/>
      <c r="CE64" s="24" t="n"/>
      <c r="CF64" s="24" t="n"/>
      <c r="CG64" s="24" t="n"/>
      <c r="CH64" s="37">
        <f>+SUM(AC64:CG64)</f>
        <v/>
      </c>
      <c r="CJ64" s="27">
        <f>CH64</f>
        <v/>
      </c>
      <c r="CK64" s="22" t="n">
        <v>0</v>
      </c>
      <c r="CL64" s="22">
        <f>CJ64+CK64</f>
        <v/>
      </c>
      <c r="CM64" s="42" t="n"/>
      <c r="CN64" s="78" t="n"/>
      <c r="CO64" s="14">
        <f>DC64</f>
        <v/>
      </c>
      <c r="CP64" s="14">
        <f>CO64</f>
        <v/>
      </c>
      <c r="CQ64" s="14">
        <f>CP64-CJ64</f>
        <v/>
      </c>
      <c r="CR64" s="79" t="n"/>
      <c r="CS64" s="17" t="n"/>
      <c r="DC64" s="14">
        <f>SUM(CS64:DB64)</f>
        <v/>
      </c>
    </row>
    <row r="65">
      <c r="A65" s="33" t="n">
        <v>38</v>
      </c>
      <c r="B65" s="50" t="inlineStr">
        <is>
          <t>PUERTO VALLARTA</t>
        </is>
      </c>
      <c r="C65" s="56" t="inlineStr">
        <is>
          <t>PUERTO VALLARTA</t>
        </is>
      </c>
      <c r="D65" s="33" t="inlineStr">
        <is>
          <t>EULEN</t>
        </is>
      </c>
      <c r="E65" s="13" t="n">
        <v>16</v>
      </c>
      <c r="F65" s="13" t="n">
        <v>134</v>
      </c>
      <c r="G65" s="13" t="n"/>
      <c r="H65" s="13" t="n">
        <v>2</v>
      </c>
      <c r="I65" s="13" t="n">
        <v>3</v>
      </c>
      <c r="J65" s="13" t="n">
        <v>25</v>
      </c>
      <c r="K65" s="13" t="n">
        <v>240</v>
      </c>
      <c r="L65" s="13" t="n">
        <v>271</v>
      </c>
      <c r="M65" s="13" t="n">
        <v>2</v>
      </c>
      <c r="N65" s="13" t="n">
        <v>42</v>
      </c>
      <c r="O65" s="13" t="n"/>
      <c r="P65" s="13" t="n">
        <v>735</v>
      </c>
      <c r="R65" s="3" t="n"/>
      <c r="S65" s="3" t="n"/>
      <c r="T65" s="3" t="n"/>
      <c r="U65" s="3" t="n"/>
      <c r="V65" s="3" t="n"/>
      <c r="X65" s="3" t="n">
        <v>3</v>
      </c>
      <c r="Y65" s="15" t="n"/>
      <c r="Z65" s="16" t="n">
        <v>45</v>
      </c>
      <c r="AA65" s="16" t="n">
        <v>270</v>
      </c>
      <c r="AC65" s="24" t="n"/>
      <c r="AD65" s="24" t="n"/>
      <c r="AE65" s="24" t="n"/>
      <c r="AF65" s="24" t="n"/>
      <c r="AG65" s="24" t="n"/>
      <c r="AH65" s="24" t="n"/>
      <c r="AI65" s="24" t="n"/>
      <c r="AJ65" s="24" t="n"/>
      <c r="AK65" s="24" t="n"/>
      <c r="AL65" s="24" t="n"/>
      <c r="AM65" s="24" t="n"/>
      <c r="AN65" s="24" t="n"/>
      <c r="AO65" s="24" t="n"/>
      <c r="AP65" s="24" t="n"/>
      <c r="AQ65" s="24" t="n"/>
      <c r="AR65" s="24" t="n"/>
      <c r="AS65" s="24" t="n"/>
      <c r="AT65" s="24" t="n"/>
      <c r="AU65" s="24" t="n"/>
      <c r="AV65" s="24" t="n"/>
      <c r="AW65" s="24" t="n"/>
      <c r="AX65" s="24" t="n"/>
      <c r="AY65" s="24" t="n"/>
      <c r="AZ65" s="24" t="n"/>
      <c r="BA65" s="24" t="n"/>
      <c r="BB65" s="24" t="n"/>
      <c r="BC65" s="24" t="n"/>
      <c r="BD65" s="24" t="n"/>
      <c r="BE65" s="24" t="n"/>
      <c r="BF65" s="24" t="n"/>
      <c r="BG65" s="24" t="n"/>
      <c r="BH65" s="24" t="n"/>
      <c r="BI65" s="24" t="n"/>
      <c r="BJ65" s="24" t="n"/>
      <c r="BK65" s="24" t="n"/>
      <c r="BL65" s="24" t="n"/>
      <c r="BM65" s="24" t="n"/>
      <c r="BN65" s="24" t="n"/>
      <c r="BO65" s="24" t="n"/>
      <c r="BP65" s="24" t="n"/>
      <c r="BQ65" s="24" t="n"/>
      <c r="BR65" s="24" t="n"/>
      <c r="BS65" s="24" t="n"/>
      <c r="BT65" s="24" t="n"/>
      <c r="BU65" s="24" t="n"/>
      <c r="BV65" s="24" t="n"/>
      <c r="BW65" s="24" t="n"/>
      <c r="BX65" s="24" t="n"/>
      <c r="BY65" s="24" t="n"/>
      <c r="BZ65" s="24" t="n"/>
      <c r="CA65" s="24" t="n"/>
      <c r="CB65" s="24" t="n"/>
      <c r="CC65" s="24" t="n"/>
      <c r="CD65" s="24" t="n"/>
      <c r="CE65" s="24" t="n"/>
      <c r="CF65" s="24" t="n"/>
      <c r="CG65" s="24" t="n"/>
      <c r="CH65" s="37">
        <f>+SUM(AC65:CG65)</f>
        <v/>
      </c>
      <c r="CJ65" s="27">
        <f>CH65</f>
        <v/>
      </c>
      <c r="CK65" s="22" t="n">
        <v>0</v>
      </c>
      <c r="CL65" s="22">
        <f>CJ65+CK65</f>
        <v/>
      </c>
      <c r="CM65" s="42" t="n"/>
      <c r="CN65" s="78" t="n"/>
      <c r="CO65" s="14">
        <f>DC65</f>
        <v/>
      </c>
      <c r="CP65" s="14">
        <f>CO65</f>
        <v/>
      </c>
      <c r="CQ65" s="14">
        <f>CP65-CJ65</f>
        <v/>
      </c>
      <c r="CR65" s="79" t="n"/>
      <c r="CS65" s="17" t="n"/>
      <c r="DC65" s="14">
        <f>SUM(CS65:DB65)</f>
        <v/>
      </c>
    </row>
    <row r="66">
      <c r="A66" s="33" t="n">
        <v>39</v>
      </c>
      <c r="B66" s="50" t="inlineStr">
        <is>
          <t>COATZACOALCOS</t>
        </is>
      </c>
      <c r="C66" s="56" t="inlineStr">
        <is>
          <t>COATZACOALCOS</t>
        </is>
      </c>
      <c r="D66" s="33" t="inlineStr">
        <is>
          <t>EULEN</t>
        </is>
      </c>
      <c r="E66" s="13" t="n">
        <v>11</v>
      </c>
      <c r="F66" s="13" t="n">
        <v>85</v>
      </c>
      <c r="G66" s="13" t="n">
        <v>1</v>
      </c>
      <c r="H66" s="13" t="n">
        <v>1</v>
      </c>
      <c r="I66" s="13" t="n">
        <v>1</v>
      </c>
      <c r="J66" s="13" t="n">
        <v>31</v>
      </c>
      <c r="K66" s="13" t="n">
        <v>352</v>
      </c>
      <c r="L66" s="13" t="n">
        <v>315</v>
      </c>
      <c r="M66" s="13" t="n">
        <v>5</v>
      </c>
      <c r="N66" s="13" t="n">
        <v>44</v>
      </c>
      <c r="O66" s="13" t="n"/>
      <c r="P66" s="13" t="n">
        <v>846</v>
      </c>
      <c r="R66" s="3" t="n"/>
      <c r="S66" s="3" t="n"/>
      <c r="T66" s="3" t="n"/>
      <c r="U66" s="3" t="n"/>
      <c r="V66" s="3" t="n"/>
      <c r="X66" s="3" t="n">
        <v>3</v>
      </c>
      <c r="Y66" s="15" t="n"/>
      <c r="Z66" s="16" t="n">
        <v>45</v>
      </c>
      <c r="AA66" s="16" t="n">
        <v>270</v>
      </c>
      <c r="AC66" s="24" t="n"/>
      <c r="AD66" s="24" t="n"/>
      <c r="AE66" s="24" t="n"/>
      <c r="AF66" s="24" t="n"/>
      <c r="AG66" s="24" t="n"/>
      <c r="AH66" s="24" t="n"/>
      <c r="AI66" s="24" t="n"/>
      <c r="AJ66" s="24" t="n"/>
      <c r="AK66" s="24" t="n"/>
      <c r="AL66" s="24" t="n"/>
      <c r="AM66" s="24" t="n"/>
      <c r="AN66" s="24" t="n"/>
      <c r="AO66" s="24" t="n"/>
      <c r="AP66" s="24" t="n"/>
      <c r="AQ66" s="24" t="n"/>
      <c r="AR66" s="24" t="n"/>
      <c r="AS66" s="24" t="n"/>
      <c r="AT66" s="24" t="n"/>
      <c r="AU66" s="24" t="n"/>
      <c r="AV66" s="24" t="n"/>
      <c r="AW66" s="24" t="n"/>
      <c r="AX66" s="24" t="n"/>
      <c r="AY66" s="24" t="n"/>
      <c r="AZ66" s="24" t="n"/>
      <c r="BA66" s="24" t="n"/>
      <c r="BB66" s="24" t="n"/>
      <c r="BC66" s="24" t="n"/>
      <c r="BD66" s="24" t="n"/>
      <c r="BE66" s="24" t="n"/>
      <c r="BF66" s="24" t="n"/>
      <c r="BG66" s="24" t="n"/>
      <c r="BH66" s="24" t="n"/>
      <c r="BI66" s="24" t="n"/>
      <c r="BJ66" s="24" t="n"/>
      <c r="BK66" s="24" t="n"/>
      <c r="BL66" s="24" t="n"/>
      <c r="BM66" s="24" t="n"/>
      <c r="BN66" s="24" t="n"/>
      <c r="BO66" s="24" t="n"/>
      <c r="BP66" s="24" t="n"/>
      <c r="BQ66" s="24" t="n"/>
      <c r="BR66" s="24" t="n"/>
      <c r="BS66" s="24" t="n"/>
      <c r="BT66" s="24" t="n"/>
      <c r="BU66" s="24" t="n"/>
      <c r="BV66" s="24" t="n"/>
      <c r="BW66" s="24" t="n"/>
      <c r="BX66" s="24" t="n"/>
      <c r="BY66" s="24" t="n"/>
      <c r="BZ66" s="24" t="n"/>
      <c r="CA66" s="24" t="n"/>
      <c r="CB66" s="24" t="n"/>
      <c r="CC66" s="24" t="n"/>
      <c r="CD66" s="24" t="n"/>
      <c r="CE66" s="24" t="n"/>
      <c r="CF66" s="24" t="n"/>
      <c r="CG66" s="24" t="n"/>
      <c r="CH66" s="37">
        <f>+SUM(AC66:CG66)</f>
        <v/>
      </c>
      <c r="CJ66" s="27">
        <f>CH66</f>
        <v/>
      </c>
      <c r="CK66" s="22" t="n">
        <v>0</v>
      </c>
      <c r="CL66" s="22">
        <f>CJ66+CK66</f>
        <v/>
      </c>
      <c r="CM66" s="42" t="n"/>
      <c r="CN66" s="78" t="n"/>
      <c r="CO66" s="14">
        <f>DC66</f>
        <v/>
      </c>
      <c r="CP66" s="14">
        <f>CO66</f>
        <v/>
      </c>
      <c r="CQ66" s="14">
        <f>CP66-CJ66</f>
        <v/>
      </c>
      <c r="CR66" s="79" t="n"/>
      <c r="CS66" s="17" t="n"/>
      <c r="DC66" s="14">
        <f>SUM(CS66:DB66)</f>
        <v/>
      </c>
    </row>
    <row r="67">
      <c r="A67" s="33" t="n">
        <v>44</v>
      </c>
      <c r="B67" s="50" t="inlineStr">
        <is>
          <t>NUEVO LAREDO</t>
        </is>
      </c>
      <c r="C67" s="56" t="inlineStr">
        <is>
          <t>NUEVO LAREDO</t>
        </is>
      </c>
      <c r="D67" s="33" t="inlineStr">
        <is>
          <t>EULEN</t>
        </is>
      </c>
      <c r="E67" s="13" t="n">
        <v>3</v>
      </c>
      <c r="F67" s="13" t="n">
        <v>67</v>
      </c>
      <c r="G67" s="13" t="n"/>
      <c r="H67" s="13" t="n">
        <v>3</v>
      </c>
      <c r="I67" s="13" t="n"/>
      <c r="J67" s="13" t="n">
        <v>126</v>
      </c>
      <c r="K67" s="13" t="n">
        <v>544</v>
      </c>
      <c r="L67" s="13" t="n">
        <v>176</v>
      </c>
      <c r="M67" s="13" t="n"/>
      <c r="N67" s="13" t="n">
        <v>57</v>
      </c>
      <c r="O67" s="13" t="n"/>
      <c r="P67" s="13" t="n">
        <v>976</v>
      </c>
      <c r="R67" s="3" t="n"/>
      <c r="S67" s="3" t="n"/>
      <c r="T67" s="3" t="n"/>
      <c r="U67" s="3" t="n"/>
      <c r="V67" s="3" t="n"/>
      <c r="X67" s="3" t="n">
        <v>3</v>
      </c>
      <c r="Y67" s="15" t="n"/>
      <c r="Z67" s="16" t="n">
        <v>45</v>
      </c>
      <c r="AA67" s="16" t="n">
        <v>270</v>
      </c>
      <c r="AC67" s="24" t="n"/>
      <c r="AD67" s="24" t="n"/>
      <c r="AE67" s="24" t="n"/>
      <c r="AF67" s="24" t="n"/>
      <c r="AG67" s="24" t="n"/>
      <c r="AH67" s="24" t="n"/>
      <c r="AI67" s="24" t="n"/>
      <c r="AJ67" s="24" t="n"/>
      <c r="AK67" s="24" t="n"/>
      <c r="AL67" s="24" t="n"/>
      <c r="AM67" s="24" t="n"/>
      <c r="AN67" s="24" t="n"/>
      <c r="AO67" s="24" t="n"/>
      <c r="AP67" s="24" t="n"/>
      <c r="AQ67" s="24" t="n"/>
      <c r="AR67" s="24" t="n"/>
      <c r="AS67" s="24" t="n"/>
      <c r="AT67" s="24" t="n"/>
      <c r="AU67" s="24" t="n"/>
      <c r="AV67" s="24" t="n"/>
      <c r="AW67" s="24" t="n"/>
      <c r="AX67" s="24" t="n"/>
      <c r="AY67" s="24" t="n"/>
      <c r="AZ67" s="24" t="n"/>
      <c r="BA67" s="24" t="n"/>
      <c r="BB67" s="24" t="n"/>
      <c r="BC67" s="24" t="n"/>
      <c r="BD67" s="24" t="n"/>
      <c r="BE67" s="24" t="n"/>
      <c r="BF67" s="24" t="n"/>
      <c r="BG67" s="24" t="n"/>
      <c r="BH67" s="24" t="n"/>
      <c r="BI67" s="24" t="n"/>
      <c r="BJ67" s="24" t="n"/>
      <c r="BK67" s="24" t="n"/>
      <c r="BL67" s="24" t="n"/>
      <c r="BM67" s="24" t="n"/>
      <c r="BN67" s="24" t="n"/>
      <c r="BO67" s="24" t="n"/>
      <c r="BP67" s="24" t="n"/>
      <c r="BQ67" s="24" t="n"/>
      <c r="BR67" s="24" t="n"/>
      <c r="BS67" s="24" t="n"/>
      <c r="BT67" s="24" t="n"/>
      <c r="BU67" s="24" t="n"/>
      <c r="BV67" s="24" t="n"/>
      <c r="BW67" s="24" t="n"/>
      <c r="BX67" s="24" t="n"/>
      <c r="BY67" s="24" t="n"/>
      <c r="BZ67" s="24" t="n"/>
      <c r="CA67" s="24" t="n"/>
      <c r="CB67" s="24" t="n"/>
      <c r="CC67" s="24" t="n"/>
      <c r="CD67" s="24" t="n"/>
      <c r="CE67" s="24" t="n"/>
      <c r="CF67" s="24" t="n"/>
      <c r="CG67" s="24" t="n"/>
      <c r="CH67" s="37">
        <f>+SUM(AC67:CG67)</f>
        <v/>
      </c>
      <c r="CJ67" s="27">
        <f>CH67</f>
        <v/>
      </c>
      <c r="CK67" s="22" t="n">
        <v>0</v>
      </c>
      <c r="CL67" s="22">
        <f>CJ67+CK67</f>
        <v/>
      </c>
      <c r="CM67" s="42" t="n"/>
      <c r="CN67" s="78" t="n"/>
      <c r="CO67" s="14">
        <f>DC67</f>
        <v/>
      </c>
      <c r="CP67" s="14">
        <f>CO67</f>
        <v/>
      </c>
      <c r="CQ67" s="14">
        <f>CP67-CJ67</f>
        <v/>
      </c>
      <c r="CR67" s="79" t="n"/>
      <c r="CS67" s="17" t="n"/>
      <c r="DC67" s="14">
        <f>SUM(CS67:DB67)</f>
        <v/>
      </c>
    </row>
    <row r="68">
      <c r="A68" s="33" t="n">
        <v>45</v>
      </c>
      <c r="B68" s="46" t="inlineStr">
        <is>
          <t>COLIMA</t>
        </is>
      </c>
      <c r="C68" s="56" t="inlineStr">
        <is>
          <t>COLIMA</t>
        </is>
      </c>
      <c r="D68" s="33" t="inlineStr">
        <is>
          <t>EULEN</t>
        </is>
      </c>
      <c r="E68" s="13" t="n">
        <v>35</v>
      </c>
      <c r="F68" s="13" t="n">
        <v>180</v>
      </c>
      <c r="G68" s="13" t="n">
        <v>5</v>
      </c>
      <c r="H68" s="13" t="n">
        <v>8</v>
      </c>
      <c r="I68" s="13" t="n">
        <v>23</v>
      </c>
      <c r="J68" s="13" t="n">
        <v>67</v>
      </c>
      <c r="K68" s="13" t="n">
        <v>884</v>
      </c>
      <c r="L68" s="13" t="n">
        <v>53</v>
      </c>
      <c r="M68" s="13" t="n">
        <v>5</v>
      </c>
      <c r="N68" s="13" t="n">
        <v>154</v>
      </c>
      <c r="O68" s="13" t="n"/>
      <c r="P68" s="13" t="n">
        <v>1414</v>
      </c>
      <c r="R68" s="3" t="n"/>
      <c r="S68" s="3" t="n"/>
      <c r="T68" s="3" t="n"/>
      <c r="U68" s="3" t="n"/>
      <c r="V68" s="3" t="n"/>
      <c r="X68" s="3" t="n">
        <v>4</v>
      </c>
      <c r="Y68" s="15" t="n"/>
      <c r="Z68" s="16" t="n">
        <v>60</v>
      </c>
      <c r="AA68" s="16" t="n">
        <v>360</v>
      </c>
      <c r="AC68" s="24" t="n"/>
      <c r="AD68" s="24" t="n"/>
      <c r="AE68" s="24" t="n"/>
      <c r="AF68" s="24" t="n"/>
      <c r="AG68" s="24" t="n"/>
      <c r="AH68" s="24" t="n"/>
      <c r="AI68" s="24" t="n"/>
      <c r="AJ68" s="24" t="n"/>
      <c r="AK68" s="24" t="n"/>
      <c r="AL68" s="24" t="n"/>
      <c r="AM68" s="24" t="n"/>
      <c r="AN68" s="24" t="n"/>
      <c r="AO68" s="24" t="n"/>
      <c r="AP68" s="24" t="n"/>
      <c r="AQ68" s="24" t="n"/>
      <c r="AR68" s="24" t="n"/>
      <c r="AS68" s="24" t="n"/>
      <c r="AT68" s="24" t="n"/>
      <c r="AU68" s="24" t="n"/>
      <c r="AV68" s="24" t="n"/>
      <c r="AW68" s="24" t="n"/>
      <c r="AX68" s="24" t="n"/>
      <c r="AY68" s="24" t="n"/>
      <c r="AZ68" s="24" t="n"/>
      <c r="BA68" s="24" t="n"/>
      <c r="BB68" s="24" t="n"/>
      <c r="BC68" s="24" t="n"/>
      <c r="BD68" s="24" t="n"/>
      <c r="BE68" s="24" t="n"/>
      <c r="BF68" s="24" t="n"/>
      <c r="BG68" s="24" t="n"/>
      <c r="BH68" s="24" t="n"/>
      <c r="BI68" s="24" t="n"/>
      <c r="BJ68" s="24" t="n"/>
      <c r="BK68" s="24" t="n"/>
      <c r="BL68" s="24" t="n"/>
      <c r="BM68" s="24" t="n"/>
      <c r="BN68" s="24" t="n"/>
      <c r="BO68" s="24" t="n"/>
      <c r="BP68" s="24" t="n"/>
      <c r="BQ68" s="24" t="n"/>
      <c r="BR68" s="24" t="n"/>
      <c r="BS68" s="24" t="n"/>
      <c r="BT68" s="24" t="n"/>
      <c r="BU68" s="24" t="n"/>
      <c r="BV68" s="24" t="n"/>
      <c r="BW68" s="24" t="n"/>
      <c r="BX68" s="24" t="n"/>
      <c r="BY68" s="24" t="n"/>
      <c r="BZ68" s="24" t="n"/>
      <c r="CA68" s="24" t="n"/>
      <c r="CB68" s="24" t="n"/>
      <c r="CC68" s="24" t="n"/>
      <c r="CD68" s="24" t="n"/>
      <c r="CE68" s="24" t="n"/>
      <c r="CF68" s="24" t="n"/>
      <c r="CG68" s="24" t="n"/>
      <c r="CH68" s="37">
        <f>+SUM(AC68:CG68)</f>
        <v/>
      </c>
      <c r="CJ68" s="27">
        <f>CH68</f>
        <v/>
      </c>
      <c r="CK68" s="22" t="n">
        <v>0</v>
      </c>
      <c r="CL68" s="22">
        <f>CJ68+CK68</f>
        <v/>
      </c>
      <c r="CM68" s="42" t="n"/>
      <c r="CN68" s="78" t="n"/>
      <c r="CO68" s="14">
        <f>DC68</f>
        <v/>
      </c>
      <c r="CP68" s="14">
        <f>CO68</f>
        <v/>
      </c>
      <c r="CQ68" s="14">
        <f>CP68-CJ68</f>
        <v/>
      </c>
      <c r="CR68" s="79" t="n"/>
      <c r="CS68" s="17" t="n"/>
      <c r="DC68" s="14">
        <f>SUM(CS68:DB68)</f>
        <v/>
      </c>
    </row>
    <row r="69" ht="15" customHeight="1">
      <c r="A69" s="33" t="n">
        <v>47</v>
      </c>
      <c r="B69" s="49" t="inlineStr">
        <is>
          <t>LA PAZ</t>
        </is>
      </c>
      <c r="C69" s="56" t="inlineStr">
        <is>
          <t>LA PAZ</t>
        </is>
      </c>
      <c r="D69" s="33" t="inlineStr">
        <is>
          <t>IASA</t>
        </is>
      </c>
      <c r="E69" s="13" t="n">
        <v>6</v>
      </c>
      <c r="F69" s="13" t="n">
        <v>53</v>
      </c>
      <c r="G69" s="13" t="n"/>
      <c r="H69" s="13" t="n">
        <v>1</v>
      </c>
      <c r="I69" s="13" t="n">
        <v>1</v>
      </c>
      <c r="J69" s="13" t="n">
        <v>63</v>
      </c>
      <c r="K69" s="13" t="n">
        <v>278</v>
      </c>
      <c r="L69" s="13" t="n">
        <v>35</v>
      </c>
      <c r="M69" s="13" t="n">
        <v>4</v>
      </c>
      <c r="N69" s="13" t="n">
        <v>54</v>
      </c>
      <c r="O69" s="13" t="n"/>
      <c r="P69" s="13" t="n">
        <v>495</v>
      </c>
      <c r="R69" s="3" t="n"/>
      <c r="S69" s="3" t="n"/>
      <c r="T69" s="3" t="n"/>
      <c r="U69" s="3" t="n"/>
      <c r="V69" s="3" t="n"/>
      <c r="X69" s="3" t="n">
        <v>2</v>
      </c>
      <c r="Y69" s="15" t="n"/>
      <c r="Z69" s="16" t="n">
        <v>30</v>
      </c>
      <c r="AA69" s="16" t="n">
        <v>180</v>
      </c>
      <c r="AC69" s="24" t="n"/>
      <c r="AD69" s="24" t="n"/>
      <c r="AE69" s="24" t="n"/>
      <c r="AF69" s="24" t="n"/>
      <c r="AG69" s="24" t="n"/>
      <c r="AH69" s="24" t="n"/>
      <c r="AI69" s="24" t="n"/>
      <c r="AJ69" s="24" t="n"/>
      <c r="AK69" s="24" t="n"/>
      <c r="AL69" s="24" t="n"/>
      <c r="AM69" s="24" t="n"/>
      <c r="AN69" s="24" t="n"/>
      <c r="AO69" s="24" t="n"/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n"/>
      <c r="AY69" s="24" t="n"/>
      <c r="AZ69" s="24" t="n"/>
      <c r="BA69" s="24" t="n"/>
      <c r="BB69" s="24" t="n"/>
      <c r="BC69" s="24" t="n"/>
      <c r="BD69" s="24" t="n"/>
      <c r="BE69" s="24" t="n"/>
      <c r="BF69" s="24" t="n"/>
      <c r="BG69" s="24" t="n"/>
      <c r="BH69" s="24" t="n"/>
      <c r="BI69" s="24" t="n"/>
      <c r="BJ69" s="24" t="n"/>
      <c r="BK69" s="24" t="n"/>
      <c r="BL69" s="24" t="n"/>
      <c r="BM69" s="24" t="n"/>
      <c r="BN69" s="24" t="n"/>
      <c r="BO69" s="24" t="n"/>
      <c r="BP69" s="24" t="n"/>
      <c r="BQ69" s="24" t="n"/>
      <c r="BR69" s="24" t="n"/>
      <c r="BS69" s="24" t="n"/>
      <c r="BT69" s="24" t="n"/>
      <c r="BU69" s="24" t="n"/>
      <c r="BV69" s="24" t="n"/>
      <c r="BW69" s="24" t="n"/>
      <c r="BX69" s="24" t="n"/>
      <c r="BY69" s="24" t="n"/>
      <c r="BZ69" s="24" t="n"/>
      <c r="CA69" s="24" t="n"/>
      <c r="CB69" s="24" t="n"/>
      <c r="CC69" s="24" t="n"/>
      <c r="CD69" s="24" t="n"/>
      <c r="CE69" s="24" t="n"/>
      <c r="CF69" s="24" t="n"/>
      <c r="CG69" s="24" t="n"/>
      <c r="CH69" s="37">
        <f>+SUM(AC69:CG69)</f>
        <v/>
      </c>
      <c r="CJ69" s="27">
        <f>CH69</f>
        <v/>
      </c>
      <c r="CK69" s="22" t="n">
        <v>0</v>
      </c>
      <c r="CL69" s="22">
        <f>CJ69+CK69</f>
        <v/>
      </c>
      <c r="CM69" s="42" t="n"/>
      <c r="CN69" s="78" t="n"/>
      <c r="CO69" s="14">
        <f>DC69</f>
        <v/>
      </c>
      <c r="CP69" s="14">
        <f>CO69</f>
        <v/>
      </c>
      <c r="CQ69" s="14">
        <f>CP69-CJ69</f>
        <v/>
      </c>
      <c r="CR69" s="79" t="n"/>
      <c r="CS69" s="17" t="n"/>
      <c r="DC69" s="14">
        <f>SUM(CS69:DB69)</f>
        <v/>
      </c>
    </row>
    <row r="70" ht="15" customHeight="1">
      <c r="A70" s="33" t="n">
        <v>48</v>
      </c>
      <c r="B70" s="50" t="inlineStr">
        <is>
          <t>TLAXCALA</t>
        </is>
      </c>
      <c r="C70" s="56" t="inlineStr">
        <is>
          <t>TLAXCALA</t>
        </is>
      </c>
      <c r="D70" s="33" t="inlineStr">
        <is>
          <t>IASA</t>
        </is>
      </c>
      <c r="E70" s="13" t="n">
        <v>26</v>
      </c>
      <c r="F70" s="13" t="n">
        <v>300</v>
      </c>
      <c r="G70" s="13" t="n">
        <v>2</v>
      </c>
      <c r="H70" s="13" t="n">
        <v>12</v>
      </c>
      <c r="I70" s="13" t="n">
        <v>58</v>
      </c>
      <c r="J70" s="13" t="n">
        <v>62</v>
      </c>
      <c r="K70" s="13" t="n">
        <v>833</v>
      </c>
      <c r="L70" s="13" t="n">
        <v>123</v>
      </c>
      <c r="M70" s="13" t="n">
        <v>2</v>
      </c>
      <c r="N70" s="13" t="n">
        <v>178</v>
      </c>
      <c r="O70" s="13" t="n"/>
      <c r="P70" s="13" t="n">
        <v>1596</v>
      </c>
      <c r="R70" s="3" t="n"/>
      <c r="S70" s="3" t="n"/>
      <c r="T70" s="3" t="n"/>
      <c r="U70" s="3" t="n"/>
      <c r="V70" s="3" t="n"/>
      <c r="X70" s="3" t="n">
        <v>5</v>
      </c>
      <c r="Y70" s="15" t="n"/>
      <c r="Z70" s="16" t="n">
        <v>75</v>
      </c>
      <c r="AA70" s="16" t="n">
        <v>450</v>
      </c>
      <c r="AC70" s="24" t="n"/>
      <c r="AD70" s="24" t="n"/>
      <c r="AE70" s="24" t="n"/>
      <c r="AF70" s="24" t="n"/>
      <c r="AG70" s="24" t="n"/>
      <c r="AH70" s="24" t="n"/>
      <c r="AI70" s="24" t="n"/>
      <c r="AJ70" s="24" t="n"/>
      <c r="AK70" s="24" t="n"/>
      <c r="AL70" s="24" t="n"/>
      <c r="AM70" s="24" t="n"/>
      <c r="AN70" s="24" t="n"/>
      <c r="AO70" s="24" t="n"/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n"/>
      <c r="AY70" s="24" t="n"/>
      <c r="AZ70" s="24" t="n"/>
      <c r="BA70" s="24" t="n"/>
      <c r="BB70" s="24" t="n"/>
      <c r="BC70" s="24" t="n"/>
      <c r="BD70" s="24" t="n"/>
      <c r="BE70" s="24" t="n"/>
      <c r="BF70" s="24" t="n"/>
      <c r="BG70" s="24" t="n"/>
      <c r="BH70" s="24" t="n"/>
      <c r="BI70" s="24" t="n"/>
      <c r="BJ70" s="24" t="n"/>
      <c r="BK70" s="24" t="n"/>
      <c r="BL70" s="24" t="n"/>
      <c r="BM70" s="24" t="n"/>
      <c r="BN70" s="24" t="n"/>
      <c r="BO70" s="24" t="n"/>
      <c r="BP70" s="24" t="n"/>
      <c r="BQ70" s="24" t="n"/>
      <c r="BR70" s="24" t="n"/>
      <c r="BS70" s="24" t="n"/>
      <c r="BT70" s="24" t="n"/>
      <c r="BU70" s="24" t="n"/>
      <c r="BV70" s="24" t="n"/>
      <c r="BW70" s="24" t="n"/>
      <c r="BX70" s="24" t="n"/>
      <c r="BY70" s="24" t="n"/>
      <c r="BZ70" s="24" t="n"/>
      <c r="CA70" s="24" t="n"/>
      <c r="CB70" s="24" t="n"/>
      <c r="CC70" s="24" t="n"/>
      <c r="CD70" s="24" t="n"/>
      <c r="CE70" s="24" t="n"/>
      <c r="CF70" s="24" t="n"/>
      <c r="CG70" s="24" t="n"/>
      <c r="CH70" s="37">
        <f>+SUM(AC70:CG70)</f>
        <v/>
      </c>
      <c r="CJ70" s="27">
        <f>CH70</f>
        <v/>
      </c>
      <c r="CK70" s="22" t="n">
        <v>0</v>
      </c>
      <c r="CL70" s="22">
        <f>CJ70+CK70</f>
        <v/>
      </c>
      <c r="CM70" s="42" t="n"/>
      <c r="CN70" s="78" t="n"/>
      <c r="CO70" s="14">
        <f>DC70</f>
        <v/>
      </c>
      <c r="CP70" s="14">
        <f>CO70</f>
        <v/>
      </c>
      <c r="CQ70" s="14">
        <f>CP70-CJ70</f>
        <v/>
      </c>
      <c r="CR70" s="79" t="n"/>
      <c r="CS70" s="17" t="n"/>
      <c r="CW70" t="n">
        <v>2</v>
      </c>
      <c r="DC70" s="14">
        <f>SUM(CS70:DB70)</f>
        <v/>
      </c>
    </row>
    <row r="71" ht="15" customHeight="1">
      <c r="A71" s="33" t="inlineStr">
        <is>
          <t>RESTO</t>
        </is>
      </c>
      <c r="B71" s="50" t="inlineStr">
        <is>
          <t>CHILPANCINGO</t>
        </is>
      </c>
      <c r="C71" s="56" t="inlineStr">
        <is>
          <t>CHILPANCINGO</t>
        </is>
      </c>
      <c r="D71" s="33" t="inlineStr">
        <is>
          <t>IASA</t>
        </is>
      </c>
      <c r="E71" s="13" t="n">
        <v>63</v>
      </c>
      <c r="F71" s="13" t="n">
        <v>75</v>
      </c>
      <c r="G71" s="13" t="n"/>
      <c r="H71" s="13" t="n"/>
      <c r="I71" s="13" t="n">
        <v>1</v>
      </c>
      <c r="J71" s="13" t="n">
        <v>92</v>
      </c>
      <c r="K71" s="13" t="n">
        <v>476</v>
      </c>
      <c r="L71" s="13" t="n">
        <v>3</v>
      </c>
      <c r="M71" s="13" t="n">
        <v>11</v>
      </c>
      <c r="N71" s="13" t="n">
        <v>84</v>
      </c>
      <c r="O71" s="13" t="n"/>
      <c r="P71" s="13" t="n">
        <v>805</v>
      </c>
      <c r="R71" s="3" t="n"/>
      <c r="S71" s="3" t="n"/>
      <c r="T71" s="3" t="n"/>
      <c r="U71" s="3" t="n"/>
      <c r="V71" s="3" t="n"/>
      <c r="X71" s="3" t="n">
        <v>3</v>
      </c>
      <c r="Y71" s="15" t="n"/>
      <c r="Z71" s="16" t="n">
        <v>45</v>
      </c>
      <c r="AA71" s="16" t="n">
        <v>270</v>
      </c>
      <c r="AC71" s="24" t="n"/>
      <c r="AD71" s="24" t="n"/>
      <c r="AE71" s="24" t="n"/>
      <c r="AF71" s="24" t="n"/>
      <c r="AG71" s="24" t="n"/>
      <c r="AH71" s="24" t="n"/>
      <c r="AI71" s="24" t="n"/>
      <c r="AJ71" s="24" t="n"/>
      <c r="AK71" s="24" t="n"/>
      <c r="AL71" s="24" t="n"/>
      <c r="AM71" s="24" t="n"/>
      <c r="AN71" s="24" t="n"/>
      <c r="AO71" s="24" t="n"/>
      <c r="AP71" s="24" t="n"/>
      <c r="AQ71" s="24" t="n"/>
      <c r="AR71" s="24" t="n"/>
      <c r="AS71" s="24" t="n"/>
      <c r="AT71" s="24" t="n"/>
      <c r="AU71" s="24" t="n"/>
      <c r="AV71" s="24" t="n"/>
      <c r="AW71" s="24" t="n"/>
      <c r="AX71" s="24" t="n"/>
      <c r="AY71" s="24" t="n"/>
      <c r="AZ71" s="24" t="n"/>
      <c r="BA71" s="24" t="n"/>
      <c r="BB71" s="24" t="n"/>
      <c r="BC71" s="24" t="n"/>
      <c r="BD71" s="24" t="n"/>
      <c r="BE71" s="24" t="n"/>
      <c r="BF71" s="24" t="n"/>
      <c r="BG71" s="24" t="n"/>
      <c r="BH71" s="24" t="n"/>
      <c r="BI71" s="24" t="n"/>
      <c r="BJ71" s="24" t="n"/>
      <c r="BK71" s="24" t="n"/>
      <c r="BL71" s="24" t="n"/>
      <c r="BM71" s="24" t="n"/>
      <c r="BN71" s="24" t="n"/>
      <c r="BO71" s="24" t="n"/>
      <c r="BP71" s="24" t="n"/>
      <c r="BQ71" s="24" t="n"/>
      <c r="BR71" s="24" t="n"/>
      <c r="BS71" s="24" t="n"/>
      <c r="BT71" s="24" t="n"/>
      <c r="BU71" s="24" t="n"/>
      <c r="BV71" s="24" t="n"/>
      <c r="BW71" s="24" t="n"/>
      <c r="BX71" s="24" t="n"/>
      <c r="BY71" s="24" t="n"/>
      <c r="BZ71" s="24" t="n"/>
      <c r="CA71" s="24" t="n"/>
      <c r="CB71" s="24" t="n"/>
      <c r="CC71" s="24" t="n"/>
      <c r="CD71" s="24" t="n"/>
      <c r="CE71" s="24" t="n"/>
      <c r="CF71" s="24" t="n"/>
      <c r="CG71" s="24" t="n"/>
      <c r="CH71" s="37">
        <f>+SUM(AC71:CG71)</f>
        <v/>
      </c>
      <c r="CJ71" s="27">
        <f>CH71</f>
        <v/>
      </c>
      <c r="CK71" s="22" t="n">
        <v>0</v>
      </c>
      <c r="CL71" s="22">
        <f>CJ71+CK71</f>
        <v/>
      </c>
      <c r="CM71" s="42" t="n"/>
      <c r="CN71" s="78" t="n"/>
      <c r="CO71" s="14">
        <f>DC71</f>
        <v/>
      </c>
      <c r="CP71" s="14">
        <f>CO71</f>
        <v/>
      </c>
      <c r="CQ71" s="14">
        <f>CP71-CJ71</f>
        <v/>
      </c>
      <c r="CR71" s="79" t="n"/>
      <c r="CS71" s="17" t="n"/>
      <c r="CW71" t="n">
        <v>1</v>
      </c>
      <c r="DC71" s="14">
        <f>SUM(CS71:DB71)</f>
        <v/>
      </c>
    </row>
    <row r="72">
      <c r="A72" s="33" t="inlineStr">
        <is>
          <t>RESTO</t>
        </is>
      </c>
      <c r="B72" s="50" t="inlineStr">
        <is>
          <t>CIUDAD VICTORIA</t>
        </is>
      </c>
      <c r="C72" s="56" t="inlineStr">
        <is>
          <t>CIUDAD VICTORIA</t>
        </is>
      </c>
      <c r="D72" s="33" t="inlineStr">
        <is>
          <t>EULEN</t>
        </is>
      </c>
      <c r="E72" s="13" t="n">
        <v>25</v>
      </c>
      <c r="F72" s="13" t="n">
        <v>47</v>
      </c>
      <c r="G72" s="13" t="n">
        <v>1</v>
      </c>
      <c r="H72" s="13" t="n">
        <v>12</v>
      </c>
      <c r="I72" s="13" t="n"/>
      <c r="J72" s="13" t="n">
        <v>43</v>
      </c>
      <c r="K72" s="13" t="n">
        <v>349</v>
      </c>
      <c r="L72" s="13" t="n">
        <v>57</v>
      </c>
      <c r="M72" s="13" t="n"/>
      <c r="N72" s="13" t="n">
        <v>10</v>
      </c>
      <c r="O72" s="13" t="n"/>
      <c r="P72" s="13" t="n">
        <v>544</v>
      </c>
      <c r="R72" s="3" t="n"/>
      <c r="S72" s="3" t="n"/>
      <c r="T72" s="3" t="n"/>
      <c r="U72" s="3" t="n"/>
      <c r="V72" s="3" t="n"/>
      <c r="X72" s="3" t="n">
        <v>2</v>
      </c>
      <c r="Y72" s="15" t="n"/>
      <c r="Z72" s="16" t="n">
        <v>30</v>
      </c>
      <c r="AA72" s="16" t="n">
        <v>180</v>
      </c>
      <c r="AC72" s="24" t="n"/>
      <c r="AD72" s="24" t="n"/>
      <c r="AE72" s="24" t="n"/>
      <c r="AF72" s="24" t="n"/>
      <c r="AG72" s="24" t="n"/>
      <c r="AH72" s="24" t="n"/>
      <c r="AI72" s="24" t="n"/>
      <c r="AJ72" s="24" t="n"/>
      <c r="AK72" s="24" t="n"/>
      <c r="AL72" s="24" t="n"/>
      <c r="AM72" s="24" t="n"/>
      <c r="AN72" s="24" t="n"/>
      <c r="AO72" s="24" t="n"/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n"/>
      <c r="AY72" s="24" t="n"/>
      <c r="AZ72" s="24" t="n"/>
      <c r="BA72" s="24" t="n"/>
      <c r="BB72" s="24" t="n"/>
      <c r="BC72" s="24" t="n"/>
      <c r="BD72" s="24" t="n"/>
      <c r="BE72" s="24" t="n"/>
      <c r="BF72" s="24" t="n"/>
      <c r="BG72" s="24" t="n"/>
      <c r="BH72" s="24" t="n"/>
      <c r="BI72" s="24" t="n"/>
      <c r="BJ72" s="24" t="n"/>
      <c r="BK72" s="24" t="n"/>
      <c r="BL72" s="24" t="n"/>
      <c r="BM72" s="24" t="n"/>
      <c r="BN72" s="24" t="n"/>
      <c r="BO72" s="24" t="n"/>
      <c r="BP72" s="24" t="n"/>
      <c r="BQ72" s="24" t="n"/>
      <c r="BR72" s="24" t="n"/>
      <c r="BS72" s="24" t="n"/>
      <c r="BT72" s="24" t="n"/>
      <c r="BU72" s="24" t="n"/>
      <c r="BV72" s="24" t="n"/>
      <c r="BW72" s="24" t="n"/>
      <c r="BX72" s="24" t="n"/>
      <c r="BY72" s="24" t="n"/>
      <c r="BZ72" s="24" t="n"/>
      <c r="CA72" s="24" t="n"/>
      <c r="CB72" s="24" t="n"/>
      <c r="CC72" s="24" t="n"/>
      <c r="CD72" s="24" t="n"/>
      <c r="CE72" s="24" t="n"/>
      <c r="CF72" s="24" t="n"/>
      <c r="CG72" s="24" t="n"/>
      <c r="CH72" s="37">
        <f>+SUM(AC72:CG72)</f>
        <v/>
      </c>
      <c r="CJ72" s="27">
        <f>CH72</f>
        <v/>
      </c>
      <c r="CK72" s="22" t="n">
        <v>0</v>
      </c>
      <c r="CL72" s="22">
        <f>CJ72+CK72</f>
        <v/>
      </c>
      <c r="CM72" s="42" t="n"/>
      <c r="CN72" s="78" t="n"/>
      <c r="CO72" s="14">
        <f>DC72</f>
        <v/>
      </c>
      <c r="CP72" s="14">
        <f>CO72</f>
        <v/>
      </c>
      <c r="CQ72" s="14">
        <f>CP72-CJ72</f>
        <v/>
      </c>
      <c r="CR72" s="79" t="n"/>
      <c r="CS72" s="17" t="n"/>
      <c r="DC72" s="14">
        <f>SUM(CS72:DB72)</f>
        <v/>
      </c>
    </row>
    <row r="73" ht="15" customHeight="1">
      <c r="A73" s="33" t="inlineStr">
        <is>
          <t>RESTO</t>
        </is>
      </c>
      <c r="B73" s="50" t="inlineStr">
        <is>
          <t>CORDOBA</t>
        </is>
      </c>
      <c r="C73" s="56" t="inlineStr">
        <is>
          <t>CORDOBA</t>
        </is>
      </c>
      <c r="D73" s="33" t="inlineStr">
        <is>
          <t>EULEN</t>
        </is>
      </c>
      <c r="E73" s="13" t="n">
        <v>20</v>
      </c>
      <c r="F73" s="13" t="n">
        <v>125</v>
      </c>
      <c r="G73" s="13" t="n">
        <v>4</v>
      </c>
      <c r="H73" s="13" t="n">
        <v>11</v>
      </c>
      <c r="I73" s="13" t="n">
        <v>1</v>
      </c>
      <c r="J73" s="13" t="n">
        <v>72</v>
      </c>
      <c r="K73" s="13" t="n">
        <v>515</v>
      </c>
      <c r="L73" s="13" t="n">
        <v>65</v>
      </c>
      <c r="M73" s="13" t="n">
        <v>2</v>
      </c>
      <c r="N73" s="13" t="n">
        <v>99</v>
      </c>
      <c r="O73" s="13" t="n"/>
      <c r="P73" s="13" t="n">
        <v>914</v>
      </c>
      <c r="R73" s="3" t="n"/>
      <c r="S73" s="3" t="n"/>
      <c r="T73" s="3" t="n"/>
      <c r="U73" s="3" t="n"/>
      <c r="V73" s="3" t="n"/>
      <c r="X73" s="3" t="n">
        <v>3</v>
      </c>
      <c r="Y73" s="15" t="n"/>
      <c r="Z73" s="16" t="n">
        <v>45</v>
      </c>
      <c r="AA73" s="16" t="n">
        <v>270</v>
      </c>
      <c r="AC73" s="24" t="n"/>
      <c r="AD73" s="24" t="n"/>
      <c r="AE73" s="24" t="n"/>
      <c r="AF73" s="24" t="n"/>
      <c r="AG73" s="24" t="n"/>
      <c r="AH73" s="24" t="n"/>
      <c r="AI73" s="24" t="n"/>
      <c r="AJ73" s="24" t="n"/>
      <c r="AK73" s="24" t="n"/>
      <c r="AL73" s="24" t="n"/>
      <c r="AM73" s="24" t="n"/>
      <c r="AN73" s="24" t="n"/>
      <c r="AO73" s="24" t="n"/>
      <c r="AP73" s="24" t="n"/>
      <c r="AQ73" s="24" t="n"/>
      <c r="AR73" s="24" t="n"/>
      <c r="AS73" s="24" t="n"/>
      <c r="AT73" s="24" t="n"/>
      <c r="AU73" s="24" t="n"/>
      <c r="AV73" s="24" t="n"/>
      <c r="AW73" s="24" t="n"/>
      <c r="AX73" s="24" t="n"/>
      <c r="AY73" s="24" t="n"/>
      <c r="AZ73" s="24" t="n"/>
      <c r="BA73" s="24" t="n"/>
      <c r="BB73" s="24" t="n"/>
      <c r="BC73" s="24" t="n"/>
      <c r="BD73" s="24" t="n"/>
      <c r="BE73" s="24" t="n"/>
      <c r="BF73" s="24" t="n"/>
      <c r="BG73" s="24" t="n"/>
      <c r="BH73" s="24" t="n"/>
      <c r="BI73" s="24" t="n"/>
      <c r="BJ73" s="24" t="n"/>
      <c r="BK73" s="24" t="n"/>
      <c r="BL73" s="24" t="n"/>
      <c r="BM73" s="24" t="n"/>
      <c r="BN73" s="24" t="n"/>
      <c r="BO73" s="24" t="n"/>
      <c r="BP73" s="24" t="n"/>
      <c r="BQ73" s="24" t="n"/>
      <c r="BR73" s="24" t="n"/>
      <c r="BS73" s="24" t="n"/>
      <c r="BT73" s="24" t="n"/>
      <c r="BU73" s="24" t="n"/>
      <c r="BV73" s="24" t="n"/>
      <c r="BW73" s="24" t="n"/>
      <c r="BX73" s="24" t="n"/>
      <c r="BY73" s="24" t="n"/>
      <c r="BZ73" s="24" t="n"/>
      <c r="CA73" s="24" t="n"/>
      <c r="CB73" s="24" t="n"/>
      <c r="CC73" s="24" t="n"/>
      <c r="CD73" s="24" t="n"/>
      <c r="CE73" s="24" t="n"/>
      <c r="CF73" s="24" t="n"/>
      <c r="CG73" s="24" t="n"/>
      <c r="CH73" s="37">
        <f>+SUM(AC73:CG73)</f>
        <v/>
      </c>
      <c r="CJ73" s="27">
        <f>CH73</f>
        <v/>
      </c>
      <c r="CK73" s="22" t="n">
        <v>0</v>
      </c>
      <c r="CL73" s="22">
        <f>CJ73+CK73</f>
        <v/>
      </c>
      <c r="CM73" s="42" t="n"/>
      <c r="CN73" s="78" t="n"/>
      <c r="CO73" s="14">
        <f>DC73</f>
        <v/>
      </c>
      <c r="CP73" s="14">
        <f>CO73</f>
        <v/>
      </c>
      <c r="CQ73" s="14">
        <f>CP73-CJ73</f>
        <v/>
      </c>
      <c r="CR73" s="79" t="n"/>
      <c r="CS73" s="17" t="n"/>
      <c r="DC73" s="14">
        <f>SUM(CS73:DB73)</f>
        <v/>
      </c>
    </row>
    <row r="74">
      <c r="A74" s="33" t="inlineStr">
        <is>
          <t>RESTO</t>
        </is>
      </c>
      <c r="B74" s="50" t="inlineStr">
        <is>
          <t>JALISCO</t>
        </is>
      </c>
      <c r="C74" s="56" t="inlineStr">
        <is>
          <t>JALISCO</t>
        </is>
      </c>
      <c r="D74" s="33" t="inlineStr">
        <is>
          <t>IASA</t>
        </is>
      </c>
      <c r="E74" s="13" t="n">
        <v>14</v>
      </c>
      <c r="F74" s="13" t="n">
        <v>211</v>
      </c>
      <c r="G74" s="13" t="n"/>
      <c r="H74" s="13" t="n">
        <v>25</v>
      </c>
      <c r="I74" s="13" t="n">
        <v>19</v>
      </c>
      <c r="J74" s="13" t="n">
        <v>46</v>
      </c>
      <c r="K74" s="13" t="n">
        <v>1059</v>
      </c>
      <c r="L74" s="13" t="n">
        <v>286</v>
      </c>
      <c r="M74" s="13" t="n">
        <v>2</v>
      </c>
      <c r="N74" s="13" t="n">
        <v>104</v>
      </c>
      <c r="O74" s="13" t="n"/>
      <c r="P74" s="13" t="n">
        <v>1766</v>
      </c>
      <c r="R74" s="3" t="n"/>
      <c r="S74" s="3" t="n"/>
      <c r="T74" s="3" t="n"/>
      <c r="U74" s="3" t="n"/>
      <c r="V74" s="3" t="n"/>
      <c r="X74" s="3" t="n">
        <v>5</v>
      </c>
      <c r="Y74" s="15" t="n"/>
      <c r="Z74" s="16" t="n">
        <v>75</v>
      </c>
      <c r="AA74" s="16" t="n">
        <v>450</v>
      </c>
      <c r="AC74" s="24" t="n"/>
      <c r="AD74" s="24" t="n"/>
      <c r="AE74" s="24" t="n"/>
      <c r="AF74" s="24" t="n"/>
      <c r="AG74" s="24" t="n"/>
      <c r="AH74" s="24" t="n"/>
      <c r="AI74" s="24" t="n"/>
      <c r="AJ74" s="24" t="n"/>
      <c r="AK74" s="24" t="n"/>
      <c r="AL74" s="24" t="n"/>
      <c r="AM74" s="24" t="n"/>
      <c r="AN74" s="24" t="n"/>
      <c r="AO74" s="24" t="n"/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n"/>
      <c r="AY74" s="24" t="n"/>
      <c r="AZ74" s="24" t="n"/>
      <c r="BA74" s="24" t="n"/>
      <c r="BB74" s="24" t="n"/>
      <c r="BC74" s="24" t="n"/>
      <c r="BD74" s="24" t="n"/>
      <c r="BE74" s="24" t="n"/>
      <c r="BF74" s="24" t="n"/>
      <c r="BG74" s="24" t="n"/>
      <c r="BH74" s="24" t="n"/>
      <c r="BI74" s="24" t="n"/>
      <c r="BJ74" s="24" t="n"/>
      <c r="BK74" s="24" t="n"/>
      <c r="BL74" s="24" t="n"/>
      <c r="BM74" s="24" t="n"/>
      <c r="BN74" s="24" t="n"/>
      <c r="BO74" s="24" t="n"/>
      <c r="BP74" s="24" t="n"/>
      <c r="BQ74" s="24" t="n"/>
      <c r="BR74" s="24" t="n"/>
      <c r="BS74" s="24" t="n"/>
      <c r="BT74" s="24" t="n"/>
      <c r="BU74" s="24" t="n"/>
      <c r="BV74" s="24" t="n"/>
      <c r="BW74" s="24" t="n"/>
      <c r="BX74" s="24" t="n"/>
      <c r="BY74" s="24" t="n"/>
      <c r="BZ74" s="24" t="n"/>
      <c r="CA74" s="24" t="n"/>
      <c r="CB74" s="24" t="n"/>
      <c r="CC74" s="24" t="n"/>
      <c r="CD74" s="24" t="n"/>
      <c r="CE74" s="24" t="n"/>
      <c r="CF74" s="24" t="n"/>
      <c r="CG74" s="24" t="n"/>
      <c r="CH74" s="37">
        <f>+SUM(AC74:CG74)</f>
        <v/>
      </c>
      <c r="CJ74" s="27">
        <f>CH74</f>
        <v/>
      </c>
      <c r="CK74" s="22" t="n">
        <v>0</v>
      </c>
      <c r="CL74" s="22">
        <f>CJ74+CK74</f>
        <v/>
      </c>
      <c r="CM74" s="42" t="n"/>
      <c r="CN74" s="78" t="n"/>
      <c r="CO74" s="14">
        <f>DC74</f>
        <v/>
      </c>
      <c r="CP74" s="14">
        <f>CO74</f>
        <v/>
      </c>
      <c r="CQ74" s="14">
        <f>CP74-CJ74</f>
        <v/>
      </c>
      <c r="CR74" s="79" t="n"/>
      <c r="CS74" s="17" t="n"/>
      <c r="DC74" s="14">
        <f>SUM(CS74:DB74)</f>
        <v/>
      </c>
    </row>
    <row r="75" ht="15" customHeight="1">
      <c r="A75" s="33" t="inlineStr">
        <is>
          <t>RESTO</t>
        </is>
      </c>
      <c r="B75" s="50" t="inlineStr">
        <is>
          <t>NOGALES</t>
        </is>
      </c>
      <c r="C75" s="56" t="inlineStr">
        <is>
          <t>NOGALES</t>
        </is>
      </c>
      <c r="D75" s="33" t="inlineStr">
        <is>
          <t>IASA</t>
        </is>
      </c>
      <c r="E75" s="13" t="n">
        <v>18</v>
      </c>
      <c r="F75" s="13" t="n">
        <v>106</v>
      </c>
      <c r="G75" s="13" t="n"/>
      <c r="H75" s="13" t="n">
        <v>1</v>
      </c>
      <c r="I75" s="13" t="n">
        <v>2</v>
      </c>
      <c r="J75" s="13" t="n">
        <v>44</v>
      </c>
      <c r="K75" s="13" t="n">
        <v>289</v>
      </c>
      <c r="L75" s="13" t="n">
        <v>189</v>
      </c>
      <c r="M75" s="13" t="n">
        <v>15</v>
      </c>
      <c r="N75" s="13" t="n">
        <v>37</v>
      </c>
      <c r="O75" s="13" t="n"/>
      <c r="P75" s="13" t="n">
        <v>701</v>
      </c>
      <c r="R75" s="3" t="n"/>
      <c r="S75" s="3" t="n"/>
      <c r="T75" s="3" t="n"/>
      <c r="U75" s="3" t="n"/>
      <c r="V75" s="3" t="n"/>
      <c r="X75" s="3" t="n">
        <v>2</v>
      </c>
      <c r="Y75" s="15" t="n"/>
      <c r="Z75" s="16" t="n">
        <v>30</v>
      </c>
      <c r="AA75" s="16" t="n">
        <v>180</v>
      </c>
      <c r="AC75" s="24" t="n"/>
      <c r="AD75" s="24" t="n"/>
      <c r="AE75" s="24" t="n"/>
      <c r="AF75" s="24" t="n"/>
      <c r="AG75" s="24" t="n"/>
      <c r="AH75" s="24" t="n"/>
      <c r="AI75" s="24" t="n"/>
      <c r="AJ75" s="24" t="n"/>
      <c r="AK75" s="24" t="n"/>
      <c r="AL75" s="24" t="n"/>
      <c r="AM75" s="24" t="n"/>
      <c r="AN75" s="24" t="n"/>
      <c r="AO75" s="24" t="n"/>
      <c r="AP75" s="24" t="n"/>
      <c r="AQ75" s="24" t="n"/>
      <c r="AR75" s="24" t="n"/>
      <c r="AS75" s="24" t="n"/>
      <c r="AT75" s="24" t="n"/>
      <c r="AU75" s="24" t="n"/>
      <c r="AV75" s="24" t="n"/>
      <c r="AW75" s="24" t="n"/>
      <c r="AX75" s="24" t="n"/>
      <c r="AY75" s="24" t="n"/>
      <c r="AZ75" s="24" t="n"/>
      <c r="BA75" s="24" t="n"/>
      <c r="BB75" s="24" t="n"/>
      <c r="BC75" s="24" t="n"/>
      <c r="BD75" s="24" t="n"/>
      <c r="BE75" s="24" t="n"/>
      <c r="BF75" s="24" t="n"/>
      <c r="BG75" s="24" t="n"/>
      <c r="BH75" s="24" t="n"/>
      <c r="BI75" s="24" t="n"/>
      <c r="BJ75" s="24" t="n"/>
      <c r="BK75" s="24" t="n"/>
      <c r="BL75" s="24" t="n"/>
      <c r="BM75" s="24" t="n"/>
      <c r="BN75" s="24" t="n"/>
      <c r="BO75" s="24" t="n"/>
      <c r="BP75" s="24" t="n"/>
      <c r="BQ75" s="24" t="n"/>
      <c r="BR75" s="24" t="n"/>
      <c r="BS75" s="24" t="n"/>
      <c r="BT75" s="24" t="n"/>
      <c r="BU75" s="24" t="n"/>
      <c r="BV75" s="24" t="n"/>
      <c r="BW75" s="24" t="n"/>
      <c r="BX75" s="24" t="n"/>
      <c r="BY75" s="24" t="n"/>
      <c r="BZ75" s="24" t="n"/>
      <c r="CA75" s="24" t="n"/>
      <c r="CB75" s="24" t="n"/>
      <c r="CC75" s="24" t="n"/>
      <c r="CD75" s="24" t="n"/>
      <c r="CE75" s="24" t="n"/>
      <c r="CF75" s="24" t="n"/>
      <c r="CG75" s="24" t="n"/>
      <c r="CH75" s="37">
        <f>+SUM(AC75:CG75)</f>
        <v/>
      </c>
      <c r="CJ75" s="27">
        <f>CH75</f>
        <v/>
      </c>
      <c r="CK75" s="22" t="n">
        <v>0</v>
      </c>
      <c r="CL75" s="22">
        <f>CJ75+CK75</f>
        <v/>
      </c>
      <c r="CM75" s="42" t="n"/>
      <c r="CN75" s="78" t="n"/>
      <c r="CO75" s="14">
        <f>DC75</f>
        <v/>
      </c>
      <c r="CP75" s="14">
        <f>CO75</f>
        <v/>
      </c>
      <c r="CQ75" s="14">
        <f>CP75-CJ75</f>
        <v/>
      </c>
      <c r="CR75" s="79" t="n"/>
      <c r="CS75" s="17" t="n"/>
      <c r="DC75" s="14">
        <f>SUM(CS75:DB75)</f>
        <v/>
      </c>
    </row>
    <row r="76" ht="15" customHeight="1" thickBot="1">
      <c r="A76" s="33" t="inlineStr">
        <is>
          <t>RESTO</t>
        </is>
      </c>
      <c r="B76" s="50" t="inlineStr">
        <is>
          <t>POZA RICA</t>
        </is>
      </c>
      <c r="C76" s="56" t="inlineStr">
        <is>
          <t>POZA RICA</t>
        </is>
      </c>
      <c r="D76" s="33" t="inlineStr">
        <is>
          <t>EULEN</t>
        </is>
      </c>
      <c r="E76" s="13" t="n">
        <v>51</v>
      </c>
      <c r="F76" s="13" t="n">
        <v>98</v>
      </c>
      <c r="G76" s="13" t="n">
        <v>13</v>
      </c>
      <c r="H76" s="13" t="n">
        <v>10</v>
      </c>
      <c r="I76" s="13" t="n"/>
      <c r="J76" s="13" t="n">
        <v>83</v>
      </c>
      <c r="K76" s="13" t="n">
        <v>307</v>
      </c>
      <c r="L76" s="13" t="n">
        <v>33</v>
      </c>
      <c r="M76" s="13" t="n">
        <v>1</v>
      </c>
      <c r="N76" s="13" t="n">
        <v>52</v>
      </c>
      <c r="O76" s="13" t="n"/>
      <c r="P76" s="13" t="n">
        <v>648</v>
      </c>
      <c r="R76" s="3" t="n"/>
      <c r="S76" s="3" t="n"/>
      <c r="T76" s="3" t="n"/>
      <c r="U76" s="3" t="n"/>
      <c r="V76" s="3" t="n"/>
      <c r="X76" s="3" t="n">
        <v>2</v>
      </c>
      <c r="Y76" s="15" t="n"/>
      <c r="Z76" s="16" t="n">
        <v>30</v>
      </c>
      <c r="AA76" s="16" t="n">
        <v>180</v>
      </c>
      <c r="AC76" s="24" t="n"/>
      <c r="AD76" s="24" t="n"/>
      <c r="AE76" s="24" t="n"/>
      <c r="AF76" s="24" t="n"/>
      <c r="AG76" s="24" t="n"/>
      <c r="AH76" s="24" t="n"/>
      <c r="AI76" s="24" t="n"/>
      <c r="AJ76" s="24" t="n"/>
      <c r="AK76" s="24" t="n"/>
      <c r="AL76" s="24" t="n"/>
      <c r="AM76" s="24" t="n"/>
      <c r="AN76" s="24" t="n"/>
      <c r="AO76" s="24" t="n"/>
      <c r="AP76" s="24" t="n"/>
      <c r="AQ76" s="24" t="n"/>
      <c r="AR76" s="24" t="n"/>
      <c r="AS76" s="24" t="n"/>
      <c r="AT76" s="24" t="n"/>
      <c r="AU76" s="24" t="n"/>
      <c r="AV76" s="24" t="n"/>
      <c r="AW76" s="24" t="n"/>
      <c r="AX76" s="24" t="n"/>
      <c r="AY76" s="24" t="n"/>
      <c r="AZ76" s="24" t="n"/>
      <c r="BA76" s="24" t="n"/>
      <c r="BB76" s="24" t="n"/>
      <c r="BC76" s="24" t="n"/>
      <c r="BD76" s="24" t="n"/>
      <c r="BE76" s="24" t="n"/>
      <c r="BF76" s="24" t="n"/>
      <c r="BG76" s="24" t="n"/>
      <c r="BH76" s="24" t="n"/>
      <c r="BI76" s="24" t="n"/>
      <c r="BJ76" s="24" t="n"/>
      <c r="BK76" s="24" t="n"/>
      <c r="BL76" s="24" t="n"/>
      <c r="BM76" s="24" t="n"/>
      <c r="BN76" s="24" t="n"/>
      <c r="BO76" s="24" t="n"/>
      <c r="BP76" s="24" t="n"/>
      <c r="BQ76" s="24" t="n"/>
      <c r="BR76" s="24" t="n"/>
      <c r="BS76" s="24" t="n"/>
      <c r="BT76" s="24" t="n"/>
      <c r="BU76" s="24" t="n"/>
      <c r="BV76" s="24" t="n"/>
      <c r="BW76" s="24" t="n"/>
      <c r="BX76" s="24" t="n"/>
      <c r="BY76" s="24" t="n"/>
      <c r="BZ76" s="24" t="n"/>
      <c r="CA76" s="24" t="n"/>
      <c r="CB76" s="24" t="n"/>
      <c r="CC76" s="24" t="n"/>
      <c r="CD76" s="24" t="n"/>
      <c r="CE76" s="24" t="n"/>
      <c r="CF76" s="24" t="n"/>
      <c r="CG76" s="24" t="n"/>
      <c r="CH76" s="37">
        <f>+SUM(AC76:CG76)</f>
        <v/>
      </c>
      <c r="CJ76" s="27">
        <f>CH76</f>
        <v/>
      </c>
      <c r="CK76" s="22" t="n">
        <v>0</v>
      </c>
      <c r="CL76" s="22">
        <f>CJ76+CK76</f>
        <v/>
      </c>
      <c r="CM76" s="22" t="n"/>
      <c r="CN76" s="22" t="n"/>
      <c r="CO76" s="14">
        <f>DC76</f>
        <v/>
      </c>
      <c r="CP76" s="14">
        <f>CO76</f>
        <v/>
      </c>
      <c r="CQ76" s="14">
        <f>CP76-CJ76</f>
        <v/>
      </c>
      <c r="CR76" s="79" t="n"/>
      <c r="CS76" s="17" t="n"/>
      <c r="DC76" s="14">
        <f>SUM(CS76:DB76)</f>
        <v/>
      </c>
    </row>
    <row r="77" ht="15.75" customHeight="1" thickTop="1">
      <c r="A77" s="18" t="n"/>
      <c r="B77" s="18" t="inlineStr">
        <is>
          <t>Total general</t>
        </is>
      </c>
      <c r="C77" s="18" t="n"/>
      <c r="D77" s="18" t="n"/>
      <c r="E77" s="19" t="n">
        <v>2806</v>
      </c>
      <c r="F77" s="19" t="n">
        <v>7613</v>
      </c>
      <c r="G77" s="19" t="n">
        <v>906</v>
      </c>
      <c r="H77" s="19" t="n">
        <v>1831</v>
      </c>
      <c r="I77" s="19" t="n">
        <v>508</v>
      </c>
      <c r="J77" s="19" t="n">
        <v>12735</v>
      </c>
      <c r="K77" s="19" t="n">
        <v>41025</v>
      </c>
      <c r="L77" s="19" t="n">
        <v>11566</v>
      </c>
      <c r="M77" s="19" t="n">
        <v>1072</v>
      </c>
      <c r="N77" s="19" t="n">
        <v>5966</v>
      </c>
      <c r="O77" s="19" t="n">
        <v>0</v>
      </c>
      <c r="P77" s="19" t="n">
        <v>86028</v>
      </c>
      <c r="R77" s="20" t="n">
        <v>0</v>
      </c>
      <c r="S77" s="20" t="n">
        <v>0</v>
      </c>
      <c r="T77" s="20" t="n">
        <v>0</v>
      </c>
      <c r="U77" s="20" t="n">
        <v>0</v>
      </c>
      <c r="V77" s="20" t="n">
        <v>0</v>
      </c>
      <c r="X77" s="20" t="n">
        <v>274</v>
      </c>
      <c r="Z77" s="19" t="n">
        <v>4110</v>
      </c>
      <c r="AA77" s="19" t="n">
        <v>24660</v>
      </c>
      <c r="AC77" s="25">
        <f>+SUM(AC14:AC76)</f>
        <v/>
      </c>
      <c r="AD77" s="25">
        <f>+SUM(AD14:AD76)</f>
        <v/>
      </c>
      <c r="AE77" s="25">
        <f>+SUM(AE14:AE76)</f>
        <v/>
      </c>
      <c r="AF77" s="25">
        <f>+SUM(AF14:AF76)</f>
        <v/>
      </c>
      <c r="AG77" s="25">
        <f>+SUM(AG14:AG76)</f>
        <v/>
      </c>
      <c r="AH77" s="25">
        <f>+SUM(AH14:AH76)</f>
        <v/>
      </c>
      <c r="AI77" s="25">
        <f>+SUM(AI14:AI76)</f>
        <v/>
      </c>
      <c r="AJ77" s="25">
        <f>+SUM(AJ14:AJ76)</f>
        <v/>
      </c>
      <c r="AK77" s="25">
        <f>+SUM(AK14:AK76)</f>
        <v/>
      </c>
      <c r="AL77" s="25">
        <f>+SUM(AL14:AL76)</f>
        <v/>
      </c>
      <c r="AM77" s="25">
        <f>+SUM(AM14:AM76)</f>
        <v/>
      </c>
      <c r="AN77" s="25">
        <f>+SUM(AN14:AN76)</f>
        <v/>
      </c>
      <c r="AO77" s="25">
        <f>+SUM(AO14:AO76)</f>
        <v/>
      </c>
      <c r="AP77" s="25">
        <f>+SUM(AP14:AP76)</f>
        <v/>
      </c>
      <c r="AQ77" s="25">
        <f>+SUM(AQ14:AQ76)</f>
        <v/>
      </c>
      <c r="AR77" s="25">
        <f>+SUM(AR14:AR76)</f>
        <v/>
      </c>
      <c r="AS77" s="25">
        <f>+SUM(AS14:AS76)</f>
        <v/>
      </c>
      <c r="AT77" s="25">
        <f>+SUM(AT14:AT76)</f>
        <v/>
      </c>
      <c r="AU77" s="25">
        <f>+SUM(AU14:AU76)</f>
        <v/>
      </c>
      <c r="AV77" s="25">
        <f>+SUM(AV14:AV76)</f>
        <v/>
      </c>
      <c r="AW77" s="25">
        <f>+SUM(AW14:AW76)</f>
        <v/>
      </c>
      <c r="AX77" s="25">
        <f>+SUM(AX14:AX76)</f>
        <v/>
      </c>
      <c r="AY77" s="25">
        <f>+SUM(AY14:AY76)</f>
        <v/>
      </c>
      <c r="AZ77" s="25">
        <f>+SUM(AZ14:AZ76)</f>
        <v/>
      </c>
      <c r="BA77" s="25">
        <f>+SUM(BA14:BA76)</f>
        <v/>
      </c>
      <c r="BB77" s="25">
        <f>+SUM(BB14:BB76)</f>
        <v/>
      </c>
      <c r="BC77" s="25">
        <f>+SUM(BC14:BC76)</f>
        <v/>
      </c>
      <c r="BD77" s="25">
        <f>+SUM(BD14:BD76)</f>
        <v/>
      </c>
      <c r="BE77" s="25">
        <f>+SUM(BE14:BE76)</f>
        <v/>
      </c>
      <c r="BF77" s="25">
        <f>+SUM(BF14:BF76)</f>
        <v/>
      </c>
      <c r="BG77" s="25">
        <f>+SUM(BG14:BG76)</f>
        <v/>
      </c>
      <c r="BH77" s="25">
        <f>+SUM(BH14:BH76)</f>
        <v/>
      </c>
      <c r="BI77" s="25">
        <f>+SUM(BI14:BI76)</f>
        <v/>
      </c>
      <c r="BJ77" s="25">
        <f>+SUM(BJ14:BJ76)</f>
        <v/>
      </c>
      <c r="BK77" s="25">
        <f>+SUM(BK14:BK76)</f>
        <v/>
      </c>
      <c r="BL77" s="25">
        <f>+SUM(BL14:BL76)</f>
        <v/>
      </c>
      <c r="BM77" s="25">
        <f>+SUM(BM14:BM76)</f>
        <v/>
      </c>
      <c r="BN77" s="25">
        <f>+SUM(BN14:BN76)</f>
        <v/>
      </c>
      <c r="BO77" s="25">
        <f>+SUM(BO14:BO76)</f>
        <v/>
      </c>
      <c r="BP77" s="25">
        <f>+SUM(BP14:BP76)</f>
        <v/>
      </c>
      <c r="BQ77" s="25">
        <f>+SUM(BQ14:BQ76)</f>
        <v/>
      </c>
      <c r="BR77" s="25">
        <f>+SUM(BR14:BR76)</f>
        <v/>
      </c>
      <c r="BS77" s="25">
        <f>+SUM(BS14:BS76)</f>
        <v/>
      </c>
      <c r="BT77" s="25">
        <f>+SUM(BT14:BT76)</f>
        <v/>
      </c>
      <c r="BU77" s="25">
        <f>+SUM(BU14:BU76)</f>
        <v/>
      </c>
      <c r="BV77" s="25">
        <f>+SUM(BV14:BV76)</f>
        <v/>
      </c>
      <c r="BW77" s="25">
        <f>+SUM(BW14:BW76)</f>
        <v/>
      </c>
      <c r="BX77" s="25">
        <f>+SUM(BX14:BX76)</f>
        <v/>
      </c>
      <c r="BY77" s="25">
        <f>+SUM(BY14:BY76)</f>
        <v/>
      </c>
      <c r="BZ77" s="25">
        <f>+SUM(BZ14:BZ76)</f>
        <v/>
      </c>
      <c r="CA77" s="25">
        <f>+SUM(CA14:CA76)</f>
        <v/>
      </c>
      <c r="CB77" s="25">
        <f>+SUM(CB14:CB76)</f>
        <v/>
      </c>
      <c r="CC77" s="25">
        <f>+SUM(CC14:CC76)</f>
        <v/>
      </c>
      <c r="CD77" s="25">
        <f>+SUM(CD14:CD76)</f>
        <v/>
      </c>
      <c r="CE77" s="25">
        <f>+SUM(CE14:CE76)</f>
        <v/>
      </c>
      <c r="CF77" s="25">
        <f>+SUM(CF14:CF76)</f>
        <v/>
      </c>
      <c r="CG77" s="25">
        <f>+SUM(CG14:CG76)</f>
        <v/>
      </c>
      <c r="CH77" s="25">
        <f>+SUM(CH14:CH76)</f>
        <v/>
      </c>
      <c r="CJ77" s="25">
        <f>+SUM(CJ14:CJ76)</f>
        <v/>
      </c>
      <c r="CK77" s="25">
        <f>+SUM(CK14:CK76)</f>
        <v/>
      </c>
      <c r="CL77" s="25">
        <f>+SUM(CL14:CL76)</f>
        <v/>
      </c>
      <c r="CM77" s="25" t="n"/>
      <c r="CN77" s="25" t="n"/>
      <c r="CO77" s="25">
        <f>+SUM(CO14:CO76)</f>
        <v/>
      </c>
      <c r="CP77" s="25">
        <f>+SUM(CP14:CP76)</f>
        <v/>
      </c>
      <c r="CQ77" s="25">
        <f>+SUM(CQ14:CQ76)</f>
        <v/>
      </c>
    </row>
    <row r="78"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7" t="n"/>
      <c r="AM78" s="17" t="n"/>
      <c r="AN78" s="17" t="n"/>
      <c r="AO78" s="17" t="n"/>
      <c r="AP78" s="17" t="n"/>
      <c r="AQ78" s="17" t="n"/>
      <c r="AR78" s="17" t="n"/>
      <c r="AS78" s="17" t="n"/>
      <c r="AT78" s="17" t="n"/>
      <c r="AU78" s="17" t="n"/>
      <c r="AV78" s="17" t="n"/>
      <c r="AW78" s="17" t="n"/>
      <c r="AX78" s="17" t="n"/>
      <c r="AY78" s="17" t="n"/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</row>
    <row r="79">
      <c r="B79" s="53" t="inlineStr">
        <is>
          <t>TELNOR</t>
        </is>
      </c>
      <c r="C79" s="54" t="n"/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54" t="n"/>
      <c r="P79" s="54" t="n"/>
      <c r="R79" s="52" t="n"/>
      <c r="S79" s="52" t="n"/>
      <c r="T79" s="52" t="n"/>
      <c r="U79" s="52" t="n"/>
      <c r="V79" s="52" t="n"/>
      <c r="X79" s="55" t="n"/>
      <c r="Z79" s="52" t="n"/>
      <c r="AA79" s="52" t="n"/>
      <c r="AC79" s="30" t="n"/>
      <c r="AD79" s="30" t="n"/>
      <c r="AE79" s="30" t="n"/>
      <c r="AF79" s="30" t="n"/>
      <c r="AG79" s="30" t="n"/>
      <c r="AH79" s="30" t="n"/>
      <c r="AI79" s="30" t="n"/>
      <c r="AJ79" s="30" t="n"/>
      <c r="AK79" s="30" t="n"/>
      <c r="AL79" s="30" t="n"/>
      <c r="AM79" s="30" t="n"/>
      <c r="AN79" s="30" t="n"/>
      <c r="AO79" s="30" t="n"/>
      <c r="AP79" s="30" t="n"/>
      <c r="AQ79" s="30" t="n"/>
      <c r="AR79" s="30" t="n"/>
      <c r="AS79" s="30" t="n"/>
      <c r="AT79" s="30" t="n"/>
      <c r="AU79" s="30" t="n"/>
      <c r="AV79" s="30" t="n"/>
      <c r="AW79" s="30" t="n"/>
      <c r="AX79" s="30" t="n"/>
      <c r="AY79" s="30" t="n"/>
      <c r="AZ79" s="30" t="n"/>
      <c r="BA79" s="30" t="n"/>
      <c r="BB79" s="30" t="n"/>
      <c r="BC79" s="30" t="n"/>
      <c r="BD79" s="30" t="n"/>
      <c r="BE79" s="30" t="n"/>
      <c r="BF79" s="30" t="n"/>
      <c r="BG79" s="30" t="n"/>
      <c r="BH79" s="30" t="n"/>
      <c r="BI79" s="30" t="n"/>
      <c r="BJ79" s="30" t="n"/>
      <c r="BK79" s="30" t="n"/>
      <c r="BL79" s="30" t="n"/>
      <c r="BM79" s="30" t="n"/>
      <c r="BN79" s="30" t="n"/>
      <c r="BO79" s="30" t="n"/>
      <c r="BP79" s="30" t="n"/>
      <c r="BQ79" s="30" t="n"/>
      <c r="BR79" s="30" t="n"/>
      <c r="BS79" s="30" t="n"/>
      <c r="BT79" s="30" t="n"/>
      <c r="BU79" s="30" t="n"/>
      <c r="BV79" s="30" t="n"/>
      <c r="BW79" s="30" t="n"/>
      <c r="BX79" s="30" t="n"/>
      <c r="BY79" s="30" t="n"/>
      <c r="BZ79" s="30" t="n"/>
      <c r="CA79" s="30" t="n"/>
      <c r="CB79" s="30" t="n"/>
      <c r="CC79" s="30" t="n"/>
      <c r="CD79" s="30" t="n"/>
      <c r="CE79" s="30" t="n"/>
      <c r="CF79" s="30" t="n"/>
      <c r="CG79" s="30" t="n"/>
      <c r="CH79" s="53" t="inlineStr">
        <is>
          <t>TELNOR</t>
        </is>
      </c>
      <c r="CJ79" s="53" t="n"/>
      <c r="CK79" s="53" t="n"/>
      <c r="CL79" s="53" t="n"/>
    </row>
    <row r="80">
      <c r="A80" s="33" t="n"/>
      <c r="B80" s="50" t="inlineStr">
        <is>
          <t>ENSENADA</t>
        </is>
      </c>
      <c r="C80" s="47" t="inlineStr">
        <is>
          <t>ENSENADA</t>
        </is>
      </c>
      <c r="D80" s="33" t="inlineStr">
        <is>
          <t>EULEN TELNOR</t>
        </is>
      </c>
      <c r="E80" s="13" t="n">
        <v>4</v>
      </c>
      <c r="F80" s="13" t="n">
        <v>5</v>
      </c>
      <c r="G80" s="13" t="n">
        <v>1</v>
      </c>
      <c r="H80" s="13" t="n">
        <v>13</v>
      </c>
      <c r="I80" s="13" t="n">
        <v>3</v>
      </c>
      <c r="J80" s="13" t="n">
        <v>37</v>
      </c>
      <c r="K80" s="13" t="n">
        <v>30</v>
      </c>
      <c r="L80" s="13" t="n">
        <v>85</v>
      </c>
      <c r="M80" s="13" t="n">
        <v>769</v>
      </c>
      <c r="N80" s="13" t="n">
        <v>15</v>
      </c>
      <c r="O80" s="13" t="n">
        <v>120</v>
      </c>
      <c r="P80" s="13" t="n">
        <v>1082</v>
      </c>
      <c r="R80" s="3" t="n"/>
      <c r="S80" s="3" t="n"/>
      <c r="T80" s="3" t="n"/>
      <c r="U80" s="3" t="n"/>
      <c r="V80" s="3" t="n"/>
      <c r="X80" s="3" t="n">
        <v>4</v>
      </c>
      <c r="Z80" s="16" t="n">
        <v>60</v>
      </c>
      <c r="AA80" s="16" t="n">
        <v>360</v>
      </c>
      <c r="AC80" s="24" t="n"/>
      <c r="AD80" s="24" t="n"/>
      <c r="AE80" s="24" t="n"/>
      <c r="AF80" s="24" t="n"/>
      <c r="AG80" s="24" t="n"/>
      <c r="AH80" s="24" t="n"/>
      <c r="AI80" s="24" t="n"/>
      <c r="AJ80" s="24" t="n"/>
      <c r="AK80" s="24" t="n"/>
      <c r="AL80" s="24" t="n"/>
      <c r="AM80" s="24" t="n"/>
      <c r="AN80" s="24" t="n"/>
      <c r="AO80" s="24" t="n"/>
      <c r="AP80" s="24" t="n"/>
      <c r="AQ80" s="24" t="n"/>
      <c r="AR80" s="24" t="n"/>
      <c r="AS80" s="24" t="n"/>
      <c r="AT80" s="24" t="n"/>
      <c r="AU80" s="24" t="n"/>
      <c r="AV80" s="24" t="n"/>
      <c r="AW80" s="24" t="n"/>
      <c r="AX80" s="24" t="n"/>
      <c r="AY80" s="24" t="n"/>
      <c r="AZ80" s="24" t="n"/>
      <c r="BA80" s="24" t="n"/>
      <c r="BB80" s="24" t="n"/>
      <c r="BC80" s="24" t="n"/>
      <c r="BD80" s="24" t="n"/>
      <c r="BE80" s="24" t="n"/>
      <c r="BF80" s="24" t="n"/>
      <c r="BG80" s="24" t="n"/>
      <c r="BH80" s="24" t="n"/>
      <c r="BI80" s="24" t="n"/>
      <c r="BJ80" s="24" t="n"/>
      <c r="BK80" s="24" t="n"/>
      <c r="BL80" s="24" t="n"/>
      <c r="BM80" s="24" t="n"/>
      <c r="BN80" s="24" t="n"/>
      <c r="BO80" s="24" t="n"/>
      <c r="BP80" s="24" t="n"/>
      <c r="BQ80" s="24" t="n"/>
      <c r="BR80" s="24" t="n"/>
      <c r="BS80" s="24" t="n"/>
      <c r="BT80" s="24" t="n"/>
      <c r="BU80" s="24" t="n"/>
      <c r="BV80" s="24" t="n"/>
      <c r="BW80" s="24" t="n"/>
      <c r="BX80" s="24" t="n"/>
      <c r="BY80" s="24" t="n"/>
      <c r="BZ80" s="24" t="n"/>
      <c r="CA80" s="24" t="n"/>
      <c r="CB80" s="24" t="n"/>
      <c r="CC80" s="24" t="n"/>
      <c r="CD80" s="24" t="n"/>
      <c r="CE80" s="24" t="n"/>
      <c r="CF80" s="24" t="n"/>
      <c r="CG80" s="24" t="n"/>
      <c r="CH80" s="37">
        <f>+SUM(AC80:CG80)</f>
        <v/>
      </c>
      <c r="CJ80" s="27" t="n">
        <v>0</v>
      </c>
      <c r="CK80" s="22" t="n">
        <v>0</v>
      </c>
      <c r="CL80" s="22" t="n">
        <v>0</v>
      </c>
      <c r="CM80" s="42" t="n"/>
      <c r="CN80" s="78" t="n"/>
      <c r="CO80" s="14" t="n"/>
      <c r="CP80" s="14" t="n"/>
      <c r="CQ80" s="14" t="n"/>
    </row>
    <row r="81">
      <c r="A81" s="33" t="n"/>
      <c r="B81" s="50" t="inlineStr">
        <is>
          <t>MEXICALI</t>
        </is>
      </c>
      <c r="C81" s="47" t="inlineStr">
        <is>
          <t>MEXICALI</t>
        </is>
      </c>
      <c r="D81" s="33" t="inlineStr">
        <is>
          <t>SMARTWORKS</t>
        </is>
      </c>
      <c r="E81" s="13" t="n"/>
      <c r="F81" s="13" t="n">
        <v>11</v>
      </c>
      <c r="G81" s="13" t="n">
        <v>7</v>
      </c>
      <c r="H81" s="13" t="n">
        <v>11</v>
      </c>
      <c r="I81" s="13" t="n"/>
      <c r="J81" s="13" t="n">
        <v>18</v>
      </c>
      <c r="K81" s="13" t="n">
        <v>49</v>
      </c>
      <c r="L81" s="13" t="n">
        <v>72</v>
      </c>
      <c r="M81" s="13" t="n">
        <v>1022</v>
      </c>
      <c r="N81" s="13" t="n">
        <v>9</v>
      </c>
      <c r="O81" s="13" t="n">
        <v>110</v>
      </c>
      <c r="P81" s="13" t="n">
        <v>1309</v>
      </c>
      <c r="R81" s="3" t="n"/>
      <c r="S81" s="3" t="n"/>
      <c r="T81" s="3" t="n"/>
      <c r="U81" s="3" t="n"/>
      <c r="V81" s="3" t="n"/>
      <c r="X81" s="3" t="n">
        <v>4</v>
      </c>
      <c r="Y81" s="15" t="n"/>
      <c r="Z81" s="16" t="n">
        <v>60</v>
      </c>
      <c r="AA81" s="16" t="n">
        <v>360</v>
      </c>
      <c r="AC81" s="24" t="n"/>
      <c r="AD81" s="24" t="n"/>
      <c r="AE81" s="24" t="n"/>
      <c r="AF81" s="24" t="n"/>
      <c r="AG81" s="24" t="n"/>
      <c r="AH81" s="24" t="n"/>
      <c r="AI81" s="24" t="n"/>
      <c r="AJ81" s="24" t="n"/>
      <c r="AK81" s="24" t="n"/>
      <c r="AL81" s="24" t="n"/>
      <c r="AM81" s="24" t="n"/>
      <c r="AN81" s="24" t="n"/>
      <c r="AO81" s="24" t="n"/>
      <c r="AP81" s="24" t="n"/>
      <c r="AQ81" s="24" t="n"/>
      <c r="AR81" s="24" t="n"/>
      <c r="AS81" s="24" t="n"/>
      <c r="AT81" s="24" t="n"/>
      <c r="AU81" s="24" t="n"/>
      <c r="AV81" s="24" t="n"/>
      <c r="AW81" s="24" t="n"/>
      <c r="AX81" s="24" t="n"/>
      <c r="AY81" s="24" t="n"/>
      <c r="AZ81" s="24" t="n"/>
      <c r="BA81" s="24" t="n"/>
      <c r="BB81" s="24" t="n"/>
      <c r="BC81" s="24" t="n"/>
      <c r="BD81" s="24" t="n"/>
      <c r="BE81" s="24" t="n"/>
      <c r="BF81" s="24" t="n"/>
      <c r="BG81" s="24" t="n"/>
      <c r="BH81" s="24" t="n"/>
      <c r="BI81" s="24" t="n"/>
      <c r="BJ81" s="24" t="n"/>
      <c r="BK81" s="24" t="n"/>
      <c r="BL81" s="24" t="n"/>
      <c r="BM81" s="24" t="n"/>
      <c r="BN81" s="24" t="n"/>
      <c r="BO81" s="24" t="n"/>
      <c r="BP81" s="24" t="n"/>
      <c r="BQ81" s="24" t="n"/>
      <c r="BR81" s="24" t="n"/>
      <c r="BS81" s="24" t="n"/>
      <c r="BT81" s="24" t="n"/>
      <c r="BU81" s="24" t="n"/>
      <c r="BV81" s="24" t="n"/>
      <c r="BW81" s="24" t="n"/>
      <c r="BX81" s="24" t="n"/>
      <c r="BY81" s="24" t="n"/>
      <c r="BZ81" s="24" t="n"/>
      <c r="CA81" s="24" t="n"/>
      <c r="CB81" s="24" t="n"/>
      <c r="CC81" s="24" t="n"/>
      <c r="CD81" s="24" t="n"/>
      <c r="CE81" s="24" t="n"/>
      <c r="CF81" s="24" t="n"/>
      <c r="CG81" s="24" t="n"/>
      <c r="CH81" s="37">
        <f>+SUM(AC81:CG81)</f>
        <v/>
      </c>
      <c r="CJ81" s="27" t="n">
        <v>0</v>
      </c>
      <c r="CK81" s="22" t="n">
        <v>0</v>
      </c>
      <c r="CL81" s="22" t="n">
        <v>0</v>
      </c>
      <c r="CM81" s="42" t="n"/>
      <c r="CN81" s="78" t="n"/>
      <c r="CO81" s="14" t="n"/>
      <c r="CP81" s="14" t="n"/>
      <c r="CQ81" s="14" t="n"/>
    </row>
    <row r="82" ht="15.75" customHeight="1" thickBot="1">
      <c r="A82" s="33" t="n"/>
      <c r="B82" s="50" t="inlineStr">
        <is>
          <t>TIJUANA</t>
        </is>
      </c>
      <c r="C82" s="47" t="inlineStr">
        <is>
          <t>TIJUANA</t>
        </is>
      </c>
      <c r="D82" s="33" t="inlineStr">
        <is>
          <t>EULEN TELNOR</t>
        </is>
      </c>
      <c r="E82" s="13" t="n">
        <v>1</v>
      </c>
      <c r="F82" s="13" t="n">
        <v>15</v>
      </c>
      <c r="G82" s="13" t="n"/>
      <c r="H82" s="13" t="n">
        <v>10</v>
      </c>
      <c r="I82" s="13" t="n">
        <v>8</v>
      </c>
      <c r="J82" s="13" t="n">
        <v>74</v>
      </c>
      <c r="K82" s="13" t="n">
        <v>23</v>
      </c>
      <c r="L82" s="13" t="n">
        <v>104</v>
      </c>
      <c r="M82" s="13" t="n">
        <v>1389</v>
      </c>
      <c r="N82" s="13" t="n">
        <v>2</v>
      </c>
      <c r="O82" s="13" t="n">
        <v>158</v>
      </c>
      <c r="P82" s="13" t="n">
        <v>1784</v>
      </c>
      <c r="R82" s="3" t="n"/>
      <c r="S82" s="3" t="n"/>
      <c r="T82" s="3" t="n"/>
      <c r="U82" s="3" t="n"/>
      <c r="V82" s="3" t="n"/>
      <c r="X82" s="3" t="n">
        <v>5</v>
      </c>
      <c r="Y82" s="15" t="n"/>
      <c r="Z82" s="16" t="n">
        <v>75</v>
      </c>
      <c r="AA82" s="16" t="n">
        <v>450</v>
      </c>
      <c r="AC82" s="24" t="n"/>
      <c r="AD82" s="24" t="n"/>
      <c r="AE82" s="24" t="n"/>
      <c r="AF82" s="24" t="n"/>
      <c r="AG82" s="24" t="n"/>
      <c r="AH82" s="24" t="n"/>
      <c r="AI82" s="24" t="n"/>
      <c r="AJ82" s="24" t="n"/>
      <c r="AK82" s="24" t="n"/>
      <c r="AL82" s="24" t="n"/>
      <c r="AM82" s="24" t="n"/>
      <c r="AN82" s="24" t="n"/>
      <c r="AO82" s="24" t="n"/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n"/>
      <c r="AY82" s="24" t="n"/>
      <c r="AZ82" s="24" t="n"/>
      <c r="BA82" s="24" t="n"/>
      <c r="BB82" s="24" t="n"/>
      <c r="BC82" s="24" t="n"/>
      <c r="BD82" s="24" t="n"/>
      <c r="BE82" s="24" t="n"/>
      <c r="BF82" s="24" t="n"/>
      <c r="BG82" s="24" t="n"/>
      <c r="BH82" s="24" t="n"/>
      <c r="BI82" s="24" t="n"/>
      <c r="BJ82" s="24" t="n"/>
      <c r="BK82" s="24" t="n"/>
      <c r="BL82" s="24" t="n"/>
      <c r="BM82" s="24" t="n"/>
      <c r="BN82" s="24" t="n"/>
      <c r="BO82" s="24" t="n"/>
      <c r="BP82" s="24" t="n"/>
      <c r="BQ82" s="24" t="n"/>
      <c r="BR82" s="24" t="n"/>
      <c r="BS82" s="24" t="n"/>
      <c r="BT82" s="24" t="n"/>
      <c r="BU82" s="24" t="n"/>
      <c r="BV82" s="24" t="n"/>
      <c r="BW82" s="24" t="n"/>
      <c r="BX82" s="24" t="n"/>
      <c r="BY82" s="24" t="n"/>
      <c r="BZ82" s="24" t="n"/>
      <c r="CA82" s="24" t="n"/>
      <c r="CB82" s="24" t="n"/>
      <c r="CC82" s="24" t="n"/>
      <c r="CD82" s="24" t="n"/>
      <c r="CE82" s="24" t="n"/>
      <c r="CF82" s="24" t="n"/>
      <c r="CG82" s="24" t="n"/>
      <c r="CH82" s="37">
        <f>+SUM(AC82:CG82)</f>
        <v/>
      </c>
      <c r="CJ82" s="27" t="n">
        <v>0</v>
      </c>
      <c r="CK82" s="22" t="n">
        <v>0</v>
      </c>
      <c r="CL82" s="22" t="n">
        <v>0</v>
      </c>
      <c r="CM82" s="22" t="n"/>
      <c r="CN82" s="22" t="n"/>
      <c r="CO82" s="22" t="n"/>
      <c r="CP82" s="22" t="n"/>
      <c r="CQ82" s="22" t="n"/>
    </row>
    <row r="83" ht="15.75" customHeight="1" thickTop="1">
      <c r="A83" s="18" t="n"/>
      <c r="B83" s="18" t="inlineStr">
        <is>
          <t>Total general</t>
        </is>
      </c>
      <c r="C83" s="18" t="n"/>
      <c r="D83" s="18" t="n"/>
      <c r="E83" s="19" t="n">
        <v>5</v>
      </c>
      <c r="F83" s="19" t="n">
        <v>31</v>
      </c>
      <c r="G83" s="19" t="n">
        <v>8</v>
      </c>
      <c r="H83" s="19" t="n">
        <v>34</v>
      </c>
      <c r="I83" s="19" t="n">
        <v>11</v>
      </c>
      <c r="J83" s="19" t="n">
        <v>129</v>
      </c>
      <c r="K83" s="19" t="n">
        <v>102</v>
      </c>
      <c r="L83" s="19" t="n">
        <v>261</v>
      </c>
      <c r="M83" s="19" t="n">
        <v>3180</v>
      </c>
      <c r="N83" s="19" t="n">
        <v>26</v>
      </c>
      <c r="O83" s="19" t="n">
        <v>388</v>
      </c>
      <c r="P83" s="19" t="n">
        <v>4175</v>
      </c>
      <c r="R83" s="20" t="n">
        <v>0</v>
      </c>
      <c r="S83" s="20" t="n">
        <v>0</v>
      </c>
      <c r="T83" s="20" t="n">
        <v>0</v>
      </c>
      <c r="U83" s="20" t="n">
        <v>0</v>
      </c>
      <c r="V83" s="20" t="n">
        <v>0</v>
      </c>
      <c r="X83" s="20" t="n">
        <v>13</v>
      </c>
      <c r="Z83" s="19" t="n">
        <v>195</v>
      </c>
      <c r="AA83" s="19" t="n">
        <v>1170</v>
      </c>
      <c r="AC83" s="25">
        <f>+SUM(AC80:AC82)</f>
        <v/>
      </c>
      <c r="AD83" s="25" t="n">
        <v>0</v>
      </c>
      <c r="AE83" s="25" t="n">
        <v>0</v>
      </c>
      <c r="AF83" s="25" t="n">
        <v>0</v>
      </c>
      <c r="AG83" s="25" t="n">
        <v>0</v>
      </c>
      <c r="AH83" s="25" t="n">
        <v>0</v>
      </c>
      <c r="AI83" s="25" t="n">
        <v>0</v>
      </c>
      <c r="AJ83" s="25" t="n">
        <v>0</v>
      </c>
      <c r="AK83" s="25" t="n">
        <v>0</v>
      </c>
      <c r="AL83" s="25" t="n">
        <v>0</v>
      </c>
      <c r="AM83" s="25" t="n">
        <v>0</v>
      </c>
      <c r="AN83" s="25" t="n">
        <v>0</v>
      </c>
      <c r="AO83" s="25" t="n">
        <v>0</v>
      </c>
      <c r="AP83" s="25" t="n">
        <v>0</v>
      </c>
      <c r="AQ83" s="25" t="n">
        <v>0</v>
      </c>
      <c r="AR83" s="25" t="n">
        <v>0</v>
      </c>
      <c r="AS83" s="25" t="n">
        <v>0</v>
      </c>
      <c r="AT83" s="25" t="n">
        <v>0</v>
      </c>
      <c r="AU83" s="25" t="n">
        <v>0</v>
      </c>
      <c r="AV83" s="25" t="n">
        <v>0</v>
      </c>
      <c r="AW83" s="25" t="n">
        <v>0</v>
      </c>
      <c r="AX83" s="25" t="n">
        <v>0</v>
      </c>
      <c r="AY83" s="25" t="n">
        <v>0</v>
      </c>
      <c r="AZ83" s="25" t="n">
        <v>0</v>
      </c>
      <c r="BA83" s="25" t="n">
        <v>0</v>
      </c>
      <c r="BB83" s="25" t="n">
        <v>0</v>
      </c>
      <c r="BC83" s="25" t="n">
        <v>0</v>
      </c>
      <c r="BD83" s="25" t="n">
        <v>0</v>
      </c>
      <c r="BE83" s="25" t="n">
        <v>0</v>
      </c>
      <c r="BF83" s="25" t="n">
        <v>0</v>
      </c>
      <c r="BG83" s="25" t="n">
        <v>0</v>
      </c>
      <c r="BH83" s="25" t="n">
        <v>0</v>
      </c>
      <c r="BI83" s="25" t="n">
        <v>0</v>
      </c>
      <c r="BJ83" s="25" t="n">
        <v>0</v>
      </c>
      <c r="BK83" s="25" t="n">
        <v>0</v>
      </c>
      <c r="BL83" s="25" t="n">
        <v>0</v>
      </c>
      <c r="BM83" s="25" t="n">
        <v>0</v>
      </c>
      <c r="BN83" s="25" t="n">
        <v>0</v>
      </c>
      <c r="BO83" s="25" t="n">
        <v>0</v>
      </c>
      <c r="BP83" s="25" t="n">
        <v>0</v>
      </c>
      <c r="BQ83" s="25" t="n">
        <v>0</v>
      </c>
      <c r="BR83" s="25" t="n">
        <v>0</v>
      </c>
      <c r="BS83" s="25" t="n">
        <v>0</v>
      </c>
      <c r="BT83" s="25" t="n">
        <v>0</v>
      </c>
      <c r="BU83" s="25" t="n">
        <v>0</v>
      </c>
      <c r="BV83" s="25" t="n">
        <v>0</v>
      </c>
      <c r="BW83" s="25" t="n">
        <v>0</v>
      </c>
      <c r="BX83" s="25" t="n">
        <v>0</v>
      </c>
      <c r="BY83" s="25" t="n">
        <v>0</v>
      </c>
      <c r="BZ83" s="25" t="n">
        <v>0</v>
      </c>
      <c r="CA83" s="25" t="n">
        <v>0</v>
      </c>
      <c r="CB83" s="25" t="n">
        <v>0</v>
      </c>
      <c r="CC83" s="25" t="n">
        <v>0</v>
      </c>
      <c r="CD83" s="25" t="n">
        <v>0</v>
      </c>
      <c r="CE83" s="25" t="n">
        <v>0</v>
      </c>
      <c r="CF83" s="25" t="n">
        <v>0</v>
      </c>
      <c r="CG83" s="25" t="n">
        <v>0</v>
      </c>
      <c r="CH83" s="25" t="n">
        <v>0</v>
      </c>
      <c r="CJ83" s="25" t="n">
        <v>0</v>
      </c>
      <c r="CK83" s="25" t="n">
        <v>0</v>
      </c>
      <c r="CL83" s="25" t="n">
        <v>0</v>
      </c>
      <c r="CM83" s="25" t="n"/>
      <c r="CN83" s="25" t="n"/>
      <c r="CO83" s="25" t="n"/>
      <c r="CP83" s="25" t="n"/>
      <c r="CQ83" s="25" t="n"/>
    </row>
    <row r="84"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  <c r="AC84" s="30" t="n"/>
      <c r="AD84" s="30" t="n"/>
      <c r="AE84" s="30" t="n"/>
      <c r="AF84" s="30" t="n"/>
      <c r="AG84" s="30" t="n"/>
      <c r="AH84" s="30" t="n"/>
      <c r="AI84" s="30" t="n"/>
      <c r="AJ84" s="30" t="n"/>
      <c r="AK84" s="30" t="n"/>
      <c r="AL84" s="30" t="n"/>
      <c r="AM84" s="30" t="n"/>
      <c r="AN84" s="30" t="n"/>
      <c r="AO84" s="30" t="n"/>
      <c r="AP84" s="30" t="n"/>
      <c r="AQ84" s="30" t="n"/>
      <c r="AR84" s="30" t="n"/>
      <c r="AS84" s="30" t="n"/>
      <c r="AT84" s="30" t="n"/>
      <c r="AU84" s="30" t="n"/>
      <c r="AV84" s="30" t="n"/>
      <c r="AW84" s="30" t="n"/>
      <c r="AX84" s="30" t="n"/>
      <c r="AY84" s="30" t="n"/>
      <c r="AZ84" s="30" t="n"/>
      <c r="BA84" s="30" t="n"/>
      <c r="BB84" s="30" t="n"/>
      <c r="BC84" s="30" t="n"/>
      <c r="BD84" s="30" t="n"/>
      <c r="BE84" s="30" t="n"/>
      <c r="BF84" s="30" t="n"/>
      <c r="BG84" s="30" t="n"/>
      <c r="BH84" s="30" t="n"/>
      <c r="BI84" s="30" t="n"/>
      <c r="BJ84" s="30" t="n"/>
      <c r="BK84" s="30" t="n"/>
      <c r="BL84" s="30" t="n"/>
      <c r="BM84" s="30" t="n"/>
      <c r="BN84" s="30" t="n"/>
      <c r="BO84" s="30" t="n"/>
      <c r="BP84" s="30" t="n"/>
      <c r="BQ84" s="30" t="n"/>
      <c r="BR84" s="30" t="n"/>
      <c r="BS84" s="30" t="n"/>
      <c r="BT84" s="30" t="n"/>
      <c r="BU84" s="30" t="n"/>
      <c r="BV84" s="30" t="n"/>
      <c r="BW84" s="30" t="n"/>
      <c r="BX84" s="30" t="n"/>
      <c r="BY84" s="30" t="n"/>
      <c r="BZ84" s="30" t="n"/>
      <c r="CA84" s="30" t="n"/>
      <c r="CB84" s="30" t="n"/>
      <c r="CC84" s="30" t="n"/>
      <c r="CD84" s="30" t="n"/>
      <c r="CE84" s="30" t="n"/>
      <c r="CF84" s="30" t="n"/>
      <c r="CG84" s="30" t="n"/>
      <c r="CJ84" s="14" t="n"/>
      <c r="CK84" s="35" t="n"/>
    </row>
    <row r="85" ht="8.25" customHeight="1">
      <c r="B85" s="32" t="n"/>
      <c r="C85" s="32" t="n"/>
      <c r="D85" s="32" t="n"/>
      <c r="E85" s="32" t="n"/>
      <c r="H85" s="14" t="n"/>
      <c r="I85" s="14" t="n"/>
      <c r="J85" s="14" t="n"/>
      <c r="K85" s="14" t="n"/>
      <c r="L85" s="14" t="n"/>
      <c r="M85" s="14" t="n"/>
      <c r="N85" s="14" t="n"/>
      <c r="O85" s="14" t="n"/>
    </row>
    <row r="86">
      <c r="B86" s="32" t="n"/>
      <c r="C86" s="32" t="n"/>
      <c r="D86" s="32" t="n"/>
      <c r="E86" s="32" t="n">
        <v>0</v>
      </c>
      <c r="F86" s="32" t="n">
        <v>0</v>
      </c>
      <c r="G86" s="32" t="n">
        <v>0</v>
      </c>
      <c r="H86" s="34" t="e">
        <v>#DIV/0!</v>
      </c>
      <c r="I86" s="14" t="n"/>
      <c r="J86" s="14" t="n"/>
      <c r="K86" s="14" t="n"/>
      <c r="L86" s="14" t="n"/>
      <c r="M86" s="14" t="n"/>
      <c r="N86" s="14" t="n"/>
      <c r="O86" s="14" t="n"/>
    </row>
    <row r="87">
      <c r="B87" s="32" t="n"/>
      <c r="C87" s="32" t="n"/>
      <c r="D87" s="32" t="n"/>
      <c r="E87" s="32" t="n"/>
      <c r="H87" s="14" t="n"/>
      <c r="I87" s="14" t="n"/>
      <c r="J87" s="14" t="n"/>
      <c r="K87" s="14" t="n"/>
      <c r="L87" s="14" t="n"/>
      <c r="M87" s="14" t="n"/>
      <c r="N87" s="14" t="n"/>
      <c r="O87" s="14" t="n"/>
    </row>
    <row r="88">
      <c r="B88" s="32" t="n"/>
      <c r="C88" s="32" t="n"/>
      <c r="D88" s="32" t="n"/>
      <c r="E88" s="32" t="n"/>
      <c r="H88" s="14" t="n"/>
      <c r="I88" s="14" t="n"/>
      <c r="J88" s="14" t="n"/>
      <c r="K88" s="14" t="n"/>
      <c r="L88" s="14" t="n"/>
      <c r="M88" s="14" t="n"/>
      <c r="N88" s="14" t="n"/>
      <c r="O88" s="14" t="n"/>
    </row>
    <row r="89">
      <c r="B89" s="32" t="n"/>
      <c r="C89" s="32" t="n"/>
      <c r="D89" s="32" t="n"/>
      <c r="E89" s="32" t="n"/>
      <c r="H89" s="14" t="n"/>
      <c r="I89" s="14" t="n"/>
      <c r="J89" s="14" t="n"/>
      <c r="K89" s="14" t="n"/>
      <c r="L89" s="14" t="n"/>
      <c r="M89" s="14" t="n"/>
      <c r="N89" s="14" t="n"/>
      <c r="O89" s="14" t="n"/>
    </row>
    <row r="90">
      <c r="B90" s="32" t="n"/>
      <c r="C90" s="32" t="n"/>
      <c r="D90" s="32" t="n"/>
      <c r="E90" s="32" t="n"/>
      <c r="H90" s="14" t="n"/>
      <c r="I90" s="14" t="n"/>
      <c r="J90" s="14" t="n"/>
      <c r="K90" s="14" t="n"/>
      <c r="L90" s="14" t="n"/>
      <c r="M90" s="14" t="n"/>
      <c r="N90" s="14" t="n"/>
      <c r="O90" s="14" t="n"/>
    </row>
    <row r="91">
      <c r="B91" s="32" t="n"/>
      <c r="C91" s="32" t="n"/>
      <c r="D91" s="32" t="n"/>
      <c r="E91" s="32" t="n"/>
      <c r="H91" s="14" t="n"/>
      <c r="I91" s="14" t="n"/>
      <c r="J91" s="14" t="n"/>
      <c r="K91" s="14" t="n"/>
      <c r="L91" s="14" t="n"/>
      <c r="M91" s="14" t="n"/>
      <c r="N91" s="14" t="n"/>
      <c r="O91" s="14" t="n"/>
    </row>
    <row r="92">
      <c r="B92" s="32" t="n"/>
      <c r="C92" s="32" t="n"/>
      <c r="D92" s="32" t="n"/>
      <c r="E92" s="32" t="n"/>
      <c r="H92" s="14" t="n"/>
      <c r="I92" s="14" t="n"/>
      <c r="J92" s="14" t="n"/>
      <c r="K92" s="14" t="n"/>
      <c r="L92" s="14" t="n"/>
      <c r="M92" s="14" t="n"/>
      <c r="N92" s="14" t="n"/>
      <c r="O92" s="14" t="n"/>
    </row>
    <row r="93">
      <c r="B93" s="32" t="n"/>
      <c r="C93" s="32" t="n"/>
      <c r="D93" s="32" t="n"/>
      <c r="E93" s="32" t="n"/>
      <c r="H93" s="14" t="n"/>
      <c r="I93" s="14" t="n"/>
      <c r="J93" s="14" t="n"/>
      <c r="K93" s="14" t="n"/>
      <c r="L93" s="14" t="n"/>
      <c r="M93" s="14" t="n"/>
      <c r="N93" s="14" t="n"/>
      <c r="O93" s="14" t="n"/>
    </row>
    <row r="94">
      <c r="B94" s="32" t="n"/>
      <c r="C94" s="32" t="n"/>
      <c r="D94" s="32" t="n"/>
      <c r="E94" s="32" t="n"/>
      <c r="H94" s="14" t="n"/>
      <c r="I94" s="14" t="n"/>
      <c r="J94" s="14" t="n"/>
      <c r="K94" s="14" t="n"/>
      <c r="L94" s="14" t="n"/>
      <c r="M94" s="14" t="n"/>
      <c r="N94" s="14" t="n"/>
      <c r="O94" s="14" t="n"/>
    </row>
    <row r="95">
      <c r="B95" s="32" t="n"/>
      <c r="C95" s="32" t="n"/>
      <c r="D95" s="32" t="n"/>
      <c r="E95" s="32" t="n"/>
      <c r="H95" s="14" t="n"/>
      <c r="I95" s="14" t="n"/>
      <c r="J95" s="14" t="n"/>
      <c r="K95" s="14" t="n"/>
      <c r="L95" s="14" t="n"/>
      <c r="M95" s="14" t="n"/>
      <c r="N95" s="14" t="n"/>
      <c r="O95" s="14" t="n"/>
    </row>
    <row r="96">
      <c r="B96" s="32" t="n"/>
      <c r="C96" s="32" t="n"/>
      <c r="D96" s="32" t="n"/>
      <c r="E96" s="32" t="n"/>
      <c r="H96" s="14" t="n"/>
      <c r="I96" s="14" t="n"/>
      <c r="J96" s="14" t="n"/>
      <c r="K96" s="14" t="n"/>
      <c r="L96" s="14" t="n"/>
      <c r="M96" s="14" t="n"/>
      <c r="N96" s="14" t="n"/>
      <c r="O96" s="14" t="n"/>
    </row>
    <row r="97">
      <c r="B97" s="32" t="n"/>
      <c r="C97" s="32" t="n"/>
      <c r="D97" s="32" t="n"/>
      <c r="E97" s="32" t="n"/>
      <c r="H97" s="14" t="n"/>
      <c r="I97" s="14" t="n"/>
      <c r="J97" s="14" t="n"/>
      <c r="K97" s="14" t="n"/>
      <c r="L97" s="14" t="n"/>
      <c r="M97" s="14" t="n"/>
      <c r="N97" s="14" t="n"/>
      <c r="O97" s="14" t="n"/>
    </row>
    <row r="98">
      <c r="B98" s="32" t="n"/>
      <c r="C98" s="32" t="n"/>
      <c r="D98" s="32" t="n"/>
      <c r="E98" s="32" t="n"/>
      <c r="H98" s="14" t="n"/>
      <c r="I98" s="14" t="n"/>
      <c r="J98" s="14" t="n"/>
      <c r="K98" s="14" t="n"/>
      <c r="L98" s="14" t="n"/>
      <c r="M98" s="14" t="n"/>
      <c r="N98" s="14" t="n"/>
      <c r="O98" s="14" t="n"/>
    </row>
  </sheetData>
  <autoFilter ref="A13:CQ77"/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ghernanm</dc:creator>
  <dcterms:created xsi:type="dcterms:W3CDTF">2022-06-04T00:39:55Z</dcterms:created>
  <dcterms:modified xsi:type="dcterms:W3CDTF">2026-10-23T05:24:57Z</dcterms:modified>
  <cp:lastModifiedBy>Bravo Ayala Gabriel</cp:lastModifiedBy>
  <cp:lastPrinted>2022-12-12T17:28:42Z</cp:lastPrinted>
</cp:coreProperties>
</file>