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32F8BEC-7562-447D-B61B-18A53E1DE692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D24" i="1" s="1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24" i="3" l="1"/>
  <c r="CW76" i="2"/>
  <c r="CQ26" i="3"/>
  <c r="CQ73" i="3"/>
  <c r="CQ64" i="3"/>
  <c r="CQ61" i="3"/>
  <c r="CQ53" i="3"/>
  <c r="CQ49" i="3"/>
  <c r="CQ47" i="3"/>
  <c r="CQ41" i="3"/>
  <c r="CQ28" i="3"/>
  <c r="CQ21" i="3"/>
  <c r="CQ15" i="3"/>
  <c r="CW78" i="2"/>
  <c r="CW77" i="2"/>
  <c r="E24" i="1"/>
  <c r="F24" i="1" s="1"/>
  <c r="AU13" i="3"/>
  <c r="E23" i="1"/>
  <c r="F23" i="1" s="1"/>
  <c r="AT13" i="3"/>
  <c r="E22" i="1"/>
  <c r="F22" i="1" s="1"/>
  <c r="AS13" i="3"/>
  <c r="E21" i="1"/>
  <c r="F21" i="1" s="1"/>
  <c r="AR13" i="3"/>
  <c r="E20" i="1"/>
  <c r="F20" i="1" s="1"/>
  <c r="AQ13" i="3"/>
  <c r="E19" i="1"/>
  <c r="F19" i="1" s="1"/>
  <c r="AP13" i="3"/>
  <c r="E18" i="1"/>
  <c r="F18" i="1" s="1"/>
  <c r="AO13" i="3"/>
  <c r="E17" i="1"/>
  <c r="F17" i="1" s="1"/>
  <c r="AN13" i="3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E12" i="1"/>
  <c r="F12" i="1" s="1"/>
  <c r="AI13" i="3"/>
  <c r="E11" i="1"/>
  <c r="E25" i="1" s="1"/>
  <c r="AH13" i="3"/>
  <c r="CO77" i="3"/>
  <c r="CP14" i="3"/>
  <c r="CH77" i="3"/>
  <c r="CJ14" i="3"/>
  <c r="F11" i="1"/>
  <c r="D25" i="1"/>
  <c r="CV30" i="2"/>
  <c r="CU79" i="2"/>
  <c r="CN79" i="2"/>
  <c r="CP17" i="2"/>
  <c r="CW14" i="2"/>
  <c r="CR14" i="2"/>
  <c r="CP79" i="2"/>
  <c r="CQ76" i="3"/>
  <c r="CQ75" i="3"/>
  <c r="CQ72" i="3"/>
  <c r="CQ70" i="3"/>
  <c r="CQ69" i="3"/>
  <c r="CQ63" i="3"/>
  <c r="CQ62" i="3"/>
  <c r="CQ60" i="3"/>
  <c r="CQ56" i="3"/>
  <c r="CQ55" i="3"/>
  <c r="CQ52" i="3"/>
  <c r="CQ51" i="3"/>
  <c r="CQ50" i="3"/>
  <c r="CQ45" i="3"/>
  <c r="CQ43" i="3"/>
  <c r="CQ42" i="3"/>
  <c r="CQ40" i="3"/>
  <c r="CQ39" i="3"/>
  <c r="CQ32" i="3"/>
  <c r="CQ23" i="3"/>
  <c r="CQ17" i="3"/>
  <c r="CW74" i="2"/>
  <c r="CQ74" i="3"/>
  <c r="CQ71" i="3"/>
  <c r="CQ68" i="3"/>
  <c r="CQ67" i="3"/>
  <c r="CQ66" i="3"/>
  <c r="CQ65" i="3"/>
  <c r="CQ59" i="3"/>
  <c r="CQ58" i="3"/>
  <c r="CQ57" i="3"/>
  <c r="CQ44" i="3"/>
  <c r="CQ37" i="3"/>
  <c r="CQ25" i="3"/>
  <c r="CQ22" i="3"/>
  <c r="CW75" i="2"/>
  <c r="CQ54" i="3"/>
  <c r="CQ48" i="3"/>
  <c r="CQ46" i="3"/>
  <c r="CQ38" i="3"/>
  <c r="CQ36" i="3"/>
  <c r="CQ34" i="3"/>
  <c r="CQ30" i="3"/>
  <c r="CQ29" i="3"/>
  <c r="CQ27" i="3"/>
  <c r="CQ20" i="3"/>
  <c r="CQ19" i="3"/>
  <c r="CQ18" i="3"/>
  <c r="CQ16" i="3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CQ35" i="3"/>
  <c r="CQ33" i="3"/>
  <c r="CQ31" i="3"/>
  <c r="CW30" i="2" l="1"/>
  <c r="CV79" i="2"/>
  <c r="CQ14" i="3"/>
  <c r="CQ77" i="3" s="1"/>
  <c r="CP77" i="3"/>
  <c r="I3" i="2"/>
  <c r="CH13" i="3"/>
  <c r="E6" i="1"/>
  <c r="D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  <c r="B6" i="1"/>
  <c r="D3" i="2"/>
  <c r="CN13" i="2"/>
  <c r="I3" i="3"/>
  <c r="CW17" i="2"/>
  <c r="CR17" i="2"/>
  <c r="CR79" i="2" s="1"/>
  <c r="CW79" i="2" l="1"/>
  <c r="H6" i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<sst xmlns="http://schemas.openxmlformats.org/spreadsheetml/2006/main" count="592" uniqueCount="176">
  <si>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</si>
  <si>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</si>
  <si>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</si>
  <si>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</si>
  <si>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</si>
  <si>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</si>
  <si>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</si>
  <si>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</si>
  <si>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</si>
  <si>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</si>
  <si>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</si>
  <si>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</si>
  <si>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</si>
  <si>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</si>
  <si>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</si>
  <si>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</si>
  <si>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</si>
  <si>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</si>
  <si>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</si>
  <si>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</si>
  <si>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</si>
  <si>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</si>
  <si>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</si>
  <si>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</si>
  <si>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</si>
  <si>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</si>
  <si>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</si>
  <si>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</si>
  <si>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</si>
  <si>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</si>
  <si>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</si>
  <si>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</si>
  <si>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</si>
  <si>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</si>
  <si>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</si>
  <si>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</si>
  <si>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</si>
  <si>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</si>
  <si>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</si>
  <si>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</si>
  <si>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</si>
  <si>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</si>
  <si>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</si>
  <si>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</si>
  <si>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</si>
  <si>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</si>
  <si>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</si>
  <si>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</si>
  <si>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</si>
  <si>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</si>
  <si>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</si>
  <si>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</si>
  <si>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</si>
  <si>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</si>
  <si>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</si>
  <si>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</si>
  <si>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</si>
  <si>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</si>
  <si>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</si>
  <si>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</si>
  <si>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</si>
  <si>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</si>
  <si>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</si>
  <si>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</si>
  <si>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</si>
  <si>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</si>
  <si>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</si>
  <si>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</si>
  <si>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</si>
  <si>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</si>
  <si>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</si>
  <si>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</si>
  <si>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</si>
  <si>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</si>
  <si>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</si>
  <si>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</si>
  <si>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</si>
  <si>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</si>
  <si>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</si>
  <si>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</si>
  <si>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</si>
  <si>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</si>
  <si>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</si>
  <si>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</si>
  <si>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</si>
  <si>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</si>
  <si>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</si>
  <si>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</si>
  <si>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</si>
  <si>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</si>
  <si>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</si>
  <si>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</si>
  <si>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</si>
  <si>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</si>
  <si>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</si>
  <si>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</si>
  <si>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</si>
  <si>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</si>
  <si>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</si>
  <si>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</si>
  <si>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</si>
  <si>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</si>
  <si>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</si>
  <si>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</si>
  <si>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</si>
  <si>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</si>
  <si>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</si>
  <si>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</si>
  <si>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</si>
  <si>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</si>
  <si>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</si>
  <si>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</si>
  <si>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15:47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</si>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</sst>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1042</v>
      </c>
      <c r="C6" s="89"/>
      <c r="E6" s="88">
        <f>'Programa CAJAS REPORTE DIARIO'!CH77</f>
        <v>3076</v>
      </c>
      <c r="F6" s="89"/>
      <c r="H6" s="101">
        <f>B6+E6</f>
        <v>4118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134</v>
      </c>
      <c r="E24" s="72">
        <f>'Programa CAJAS REPORTE DIARIO'!AU77</f>
        <v>601</v>
      </c>
      <c r="F24" s="72">
        <f t="shared" si="0"/>
        <v>735</v>
      </c>
      <c r="G24" s="72">
        <f t="shared" si="1"/>
        <v>4118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1042</v>
      </c>
      <c r="E25" s="75">
        <f>SUM(E11:E24)</f>
        <v>3076</v>
      </c>
      <c r="F25" s="75">
        <f>SUM(F11:F24)</f>
        <v>4118</v>
      </c>
      <c r="G25" s="75">
        <f>F25</f>
        <v>4118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1042</v>
      </c>
      <c r="F3" s="79" t="s">
        <v>1</v>
      </c>
      <c r="I3" s="80">
        <f>'Programa CAJAS REPORTE DIARIO'!CH77+CN79</f>
        <v>4118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134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1042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14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214</v>
      </c>
      <c r="CP27" s="27">
        <f t="shared" si="4"/>
        <v>214</v>
      </c>
      <c r="CQ27" s="22">
        <v>0</v>
      </c>
      <c r="CR27" s="22">
        <f t="shared" si="5"/>
        <v>214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156.5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19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132</v>
      </c>
      <c r="CP29" s="27">
        <f t="shared" si="4"/>
        <v>132</v>
      </c>
      <c r="CQ29" s="22">
        <v>0</v>
      </c>
      <c r="CR29" s="22">
        <f t="shared" si="5"/>
        <v>132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274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2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39</v>
      </c>
      <c r="CP30" s="27">
        <f t="shared" si="4"/>
        <v>39</v>
      </c>
      <c r="CQ30" s="22">
        <v>0</v>
      </c>
      <c r="CR30" s="22">
        <f t="shared" si="5"/>
        <v>39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147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42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175</v>
      </c>
      <c r="CP42" s="27">
        <f t="shared" si="4"/>
        <v>175</v>
      </c>
      <c r="CQ42" s="22">
        <v>0</v>
      </c>
      <c r="CR42" s="22">
        <f t="shared" si="5"/>
        <v>175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-175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>
        <v>1</v>
      </c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1</v>
      </c>
      <c r="CP54" s="27">
        <f t="shared" si="11"/>
        <v>1</v>
      </c>
      <c r="CQ54" s="22">
        <v>0</v>
      </c>
      <c r="CR54" s="22">
        <f t="shared" si="12"/>
        <v>1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-1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51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113</v>
      </c>
      <c r="CP56" s="27">
        <f t="shared" si="11"/>
        <v>113</v>
      </c>
      <c r="CQ56" s="22">
        <v>0</v>
      </c>
      <c r="CR56" s="22">
        <f t="shared" si="12"/>
        <v>113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-113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134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1042</v>
      </c>
      <c r="CP79" s="25">
        <f>+SUM(CP14:CP78)</f>
        <v>1042</v>
      </c>
      <c r="CQ79" s="25">
        <f>+SUM(CQ14:CQ78)</f>
        <v>0</v>
      </c>
      <c r="CR79" s="25">
        <f>+SUM(CR14:CR78)</f>
        <v>1042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6224.5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3076</v>
      </c>
      <c r="F3" s="79" t="s">
        <v>1</v>
      </c>
      <c r="I3" s="80">
        <f>'Programa CASETAS REPORTE DIARIO'!CN79+CH77</f>
        <v>4118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601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3076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46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483</v>
      </c>
      <c r="CJ27" s="27">
        <f t="shared" si="3"/>
        <v>483</v>
      </c>
      <c r="CK27" s="22">
        <v>0</v>
      </c>
      <c r="CL27" s="22">
        <f t="shared" si="4"/>
        <v>483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303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24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351</v>
      </c>
      <c r="CJ28" s="27">
        <f t="shared" si="3"/>
        <v>351</v>
      </c>
      <c r="CK28" s="22">
        <v>0</v>
      </c>
      <c r="CL28" s="22">
        <f t="shared" si="4"/>
        <v>351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-171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33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138</v>
      </c>
      <c r="CJ29" s="27">
        <f t="shared" si="3"/>
        <v>138</v>
      </c>
      <c r="CK29" s="22">
        <v>0</v>
      </c>
      <c r="CL29" s="22">
        <f t="shared" si="4"/>
        <v>138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1198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7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57</v>
      </c>
      <c r="CJ36" s="27">
        <f t="shared" si="3"/>
        <v>57</v>
      </c>
      <c r="CK36" s="22">
        <v>0</v>
      </c>
      <c r="CL36" s="22">
        <f t="shared" si="4"/>
        <v>57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116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202</v>
      </c>
      <c r="CJ37" s="27">
        <f t="shared" si="3"/>
        <v>202</v>
      </c>
      <c r="CK37" s="22">
        <v>0</v>
      </c>
      <c r="CL37" s="22">
        <f t="shared" si="4"/>
        <v>202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373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41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100</v>
      </c>
      <c r="CJ41" s="27">
        <f t="shared" si="3"/>
        <v>100</v>
      </c>
      <c r="CK41" s="22">
        <v>0</v>
      </c>
      <c r="CL41" s="22">
        <f t="shared" si="4"/>
        <v>100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480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55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231</v>
      </c>
      <c r="CJ43" s="27">
        <f t="shared" si="3"/>
        <v>231</v>
      </c>
      <c r="CK43" s="22">
        <v>0</v>
      </c>
      <c r="CL43" s="22">
        <f t="shared" si="4"/>
        <v>231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-211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12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343</v>
      </c>
      <c r="CJ46" s="27">
        <f t="shared" ref="CJ46:CJ76" si="11">CH46</f>
        <v>343</v>
      </c>
      <c r="CK46" s="22">
        <v>0</v>
      </c>
      <c r="CL46" s="22">
        <f t="shared" ref="CL46:CL77" si="12">CJ46+CK46</f>
        <v>343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1185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229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402</v>
      </c>
      <c r="CJ53" s="27">
        <f t="shared" si="11"/>
        <v>402</v>
      </c>
      <c r="CK53" s="22">
        <v>0</v>
      </c>
      <c r="CL53" s="22">
        <f t="shared" si="12"/>
        <v>402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-334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19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102</v>
      </c>
      <c r="CJ55" s="27">
        <f t="shared" si="11"/>
        <v>102</v>
      </c>
      <c r="CK55" s="22">
        <v>0</v>
      </c>
      <c r="CL55" s="22">
        <f t="shared" si="12"/>
        <v>102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-72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>
        <v>2</v>
      </c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70</v>
      </c>
      <c r="CJ61" s="27">
        <f t="shared" si="11"/>
        <v>70</v>
      </c>
      <c r="CK61" s="22">
        <v>0</v>
      </c>
      <c r="CL61" s="22">
        <f t="shared" si="12"/>
        <v>70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-38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601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3076</v>
      </c>
      <c r="CJ77" s="25">
        <f>+SUM(CJ14:CJ76)</f>
        <v>3076</v>
      </c>
      <c r="CK77" s="25">
        <f>+SUM(CK14:CK76)</f>
        <v>0</v>
      </c>
      <c r="CL77" s="25">
        <f>+SUM(CL14:CL76)</f>
        <v>3076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8318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2026-10-30T21:47:19Z</dcterms:modified>
</cp:coreProperties>
</file>