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4176929-33C9-413A-A04F-E312FE020BA0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M13" i="3" s="1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E16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F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AL13" i="3" l="1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F11" i="1" s="1"/>
  <c r="CQ39" i="3"/>
  <c r="CQ35" i="3"/>
  <c r="CQ32" i="3"/>
  <c r="CQ29" i="3"/>
  <c r="CQ24" i="3"/>
  <c r="CQ19" i="3"/>
  <c r="CQ15" i="3"/>
  <c r="AP13" i="3"/>
  <c r="E19" i="1"/>
  <c r="F19" i="1" s="1"/>
  <c r="AO13" i="3"/>
  <c r="E18" i="1"/>
  <c r="F18" i="1" s="1"/>
  <c r="AN13" i="3"/>
  <c r="E17" i="1"/>
  <c r="F17" i="1" s="1"/>
  <c r="CP14" i="2"/>
  <c r="CN79" i="2"/>
  <c r="D3" i="2" s="1"/>
  <c r="E22" i="1"/>
  <c r="F22" i="1" s="1"/>
  <c r="AS13" i="3"/>
  <c r="E21" i="1"/>
  <c r="F21" i="1" s="1"/>
  <c r="AR13" i="3"/>
  <c r="E20" i="1"/>
  <c r="AQ13" i="3"/>
  <c r="CP14" i="3"/>
  <c r="CO77" i="3"/>
  <c r="CH77" i="3"/>
  <c r="CJ14" i="3"/>
  <c r="D23" i="1"/>
  <c r="CV30" i="2"/>
  <c r="CW30" i="2" s="1"/>
  <c r="CU79" i="2"/>
  <c r="CV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33" i="3"/>
  <c r="CQ25" i="3"/>
  <c r="CQ16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8" i="3"/>
  <c r="CQ37" i="3"/>
  <c r="CQ36" i="3"/>
  <c r="CQ31" i="3"/>
  <c r="CQ28" i="3"/>
  <c r="CQ27" i="3"/>
  <c r="CQ26" i="3"/>
  <c r="CQ21" i="3"/>
  <c r="CQ34" i="3"/>
  <c r="CQ30" i="3"/>
  <c r="CQ23" i="3"/>
  <c r="CQ22" i="3"/>
  <c r="CQ1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20" i="3"/>
  <c r="CQ18" i="3"/>
  <c r="I3" i="3" l="1"/>
  <c r="CW14" i="2"/>
  <c r="CW79" i="2" s="1"/>
  <c r="CP79" i="2"/>
  <c r="CR14" i="2"/>
  <c r="CR79" i="2" s="1"/>
  <c r="CN13" i="2"/>
  <c r="B6" i="1"/>
  <c r="E23" i="1"/>
  <c r="F20" i="1"/>
  <c r="F23" i="1" s="1"/>
  <c r="G23" i="1" s="1"/>
  <c r="CQ14" i="3"/>
  <c r="CQ77" i="3" s="1"/>
  <c r="CP77" i="3"/>
  <c r="I3" i="2"/>
  <c r="D3" i="3"/>
  <c r="CH13" i="3"/>
  <c r="E6" i="1"/>
  <c r="H6" i="1" s="1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l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<sst xmlns="http://schemas.openxmlformats.org/spreadsheetml/2006/main" count="586" uniqueCount="174">
  <si>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</si>
  <si>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</si>
  <si>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</si>
  <si>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</si>
  <si>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</si>
  <si>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</si>
  <si>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</si>
  <si>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</si>
  <si>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</si>
  <si>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</si>
  <si>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</si>
  <si>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</si>
  <si>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</si>
  <si>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</si>
  <si>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</si>
  <si>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</si>
  <si>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</si>
  <si>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</si>
  <si>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</si>
  <si>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</si>
  <si>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</si>
  <si>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</si>
  <si>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</si>
  <si>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</si>
  <si>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</si>
  <si>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</si>
  <si>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</si>
  <si>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</si>
  <si>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</si>
  <si>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</si>
  <si>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</si>
  <si>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</si>
  <si>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</si>
  <si>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</si>
  <si>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</si>
  <si>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</si>
  <si>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</si>
  <si>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</si>
  <si>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</si>
  <si>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</si>
  <si>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</si>
  <si>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</si>
  <si>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</si>
  <si>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</si>
  <si>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</si>
  <si>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</si>
  <si>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</si>
  <si>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</si>
  <si>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</si>
  <si>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</si>
  <si>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</si>
  <si>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</si>
  <si>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</si>
  <si>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</si>
  <si>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</si>
  <si>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</si>
  <si>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</si>
  <si>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</si>
  <si>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</si>
  <si>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</si>
  <si>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</si>
  <si>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</si>
  <si>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</si>
  <si>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</si>
  <si>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</si>
  <si>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</si>
  <si>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</si>
  <si>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</si>
  <si>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</si>
  <si>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</si>
  <si>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</si>
  <si>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</si>
  <si>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</si>
  <si>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</si>
  <si>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</si>
  <si>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</si>
  <si>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</si>
  <si>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</si>
  <si>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</si>
  <si>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</si>
  <si>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</si>
  <si>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</si>
  <si>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</si>
  <si>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</si>
  <si>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</si>
  <si>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</si>
  <si>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</si>
  <si>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</si>
  <si>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</si>
  <si>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</si>
  <si>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</si>
  <si>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</si>
  <si>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</si>
  <si>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</si>
  <si>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</si>
  <si>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</si>
  <si>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</si>
  <si>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</si>
  <si>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</si>
  <si>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</si>
  <si>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</si>
  <si>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</si>
  <si>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</si>
  <si>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</si>
  <si>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</si>
  <si>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</si>
  <si>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</si>
  <si>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</si>
  <si>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</si>
  <si>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</si>
  <si>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</si>
  <si>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</si>
  <si>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12:18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</si>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</sst>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562</v>
      </c>
      <c r="C6" s="89"/>
      <c r="E6" s="88">
        <f>'Programa CAJAS REPORTE DIARIO'!CH77</f>
        <v>1400</v>
      </c>
      <c r="F6" s="89"/>
      <c r="H6" s="101">
        <f>B6+E6</f>
        <v>1962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80</v>
      </c>
      <c r="E22" s="72">
        <f>'Programa CAJAS REPORTE DIARIO'!AS77</f>
        <v>75</v>
      </c>
      <c r="F22" s="72">
        <f t="shared" si="0"/>
        <v>155</v>
      </c>
      <c r="G22" s="72">
        <f t="shared" si="1"/>
        <v>1962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562</v>
      </c>
      <c r="E23" s="75">
        <f>SUM(E11:E22)</f>
        <v>1400</v>
      </c>
      <c r="F23" s="75">
        <f>SUM(F11:F22)</f>
        <v>1962</v>
      </c>
      <c r="G23" s="75">
        <f>F23</f>
        <v>1962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562</v>
      </c>
      <c r="F3" s="79" t="s">
        <v>1</v>
      </c>
      <c r="I3" s="80">
        <f>'Programa CAJAS REPORTE DIARIO'!CH77+CN79</f>
        <v>1962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164</v>
      </c>
      <c r="CP27" s="27">
        <f t="shared" si="4"/>
        <v>164</v>
      </c>
      <c r="CQ27" s="22">
        <v>0</v>
      </c>
      <c r="CR27" s="22">
        <f t="shared" si="5"/>
        <v>164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18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133</v>
      </c>
      <c r="CP28" s="27">
        <f t="shared" si="4"/>
        <v>133</v>
      </c>
      <c r="CQ28" s="22">
        <v>0</v>
      </c>
      <c r="CR28" s="22">
        <f t="shared" si="5"/>
        <v>133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3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17</v>
      </c>
      <c r="CP36" s="27">
        <f t="shared" si="4"/>
        <v>17</v>
      </c>
      <c r="CQ36" s="22">
        <v>0</v>
      </c>
      <c r="CR36" s="22">
        <f t="shared" si="5"/>
        <v>17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-17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562</v>
      </c>
      <c r="CP79" s="25">
        <f>+SUM(CP14:CP78)</f>
        <v>562</v>
      </c>
      <c r="CQ79" s="25">
        <f>+SUM(CQ14:CQ78)</f>
        <v>0</v>
      </c>
      <c r="CR79" s="25">
        <f>+SUM(CR14:CR78)</f>
        <v>562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1400</v>
      </c>
      <c r="F3" s="79" t="s">
        <v>1</v>
      </c>
      <c r="I3" s="80">
        <f>'Programa CASETAS REPORTE DIARIO'!CN79+CH77</f>
        <v>1962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75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1400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11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343</v>
      </c>
      <c r="CJ27" s="27">
        <f t="shared" si="3"/>
        <v>343</v>
      </c>
      <c r="CK27" s="22">
        <v>0</v>
      </c>
      <c r="CL27" s="22">
        <f t="shared" si="4"/>
        <v>343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224</v>
      </c>
      <c r="CJ28" s="27">
        <f t="shared" si="3"/>
        <v>224</v>
      </c>
      <c r="CK28" s="22">
        <v>0</v>
      </c>
      <c r="CL28" s="22">
        <f t="shared" si="4"/>
        <v>224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34</v>
      </c>
      <c r="CJ36" s="27">
        <f t="shared" si="3"/>
        <v>34</v>
      </c>
      <c r="CK36" s="22">
        <v>0</v>
      </c>
      <c r="CL36" s="22">
        <f t="shared" si="4"/>
        <v>34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67</v>
      </c>
      <c r="CJ43" s="27">
        <f t="shared" si="3"/>
        <v>67</v>
      </c>
      <c r="CK43" s="22">
        <v>0</v>
      </c>
      <c r="CL43" s="22">
        <f t="shared" si="4"/>
        <v>67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178</v>
      </c>
      <c r="CJ46" s="27">
        <f t="shared" ref="CJ46:CJ76" si="11">CH46</f>
        <v>178</v>
      </c>
      <c r="CK46" s="22">
        <v>0</v>
      </c>
      <c r="CL46" s="22">
        <f t="shared" ref="CL46:CL77" si="12">CJ46+CK46</f>
        <v>178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153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11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54</v>
      </c>
      <c r="CJ55" s="27">
        <f t="shared" si="11"/>
        <v>54</v>
      </c>
      <c r="CK55" s="22">
        <v>0</v>
      </c>
      <c r="CL55" s="22">
        <f t="shared" si="12"/>
        <v>54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-24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75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1400</v>
      </c>
      <c r="CJ77" s="25">
        <f>+SUM(CJ14:CJ76)</f>
        <v>1400</v>
      </c>
      <c r="CK77" s="25">
        <f>+SUM(CK14:CK76)</f>
        <v>0</v>
      </c>
      <c r="CL77" s="25">
        <f>+SUM(CL14:CL76)</f>
        <v>1400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5587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2026-10-28T18:18:42Z</dcterms:modified>
</cp:coreProperties>
</file>