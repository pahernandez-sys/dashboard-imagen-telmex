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DE7A541-8DEA-4AE7-B9ED-C4A821757F3C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Q56" i="3" l="1"/>
  <c r="CQ30" i="3"/>
  <c r="CQ17" i="3"/>
  <c r="CW78" i="2"/>
  <c r="CW72" i="2"/>
  <c r="CQ60" i="3"/>
  <c r="CQ58" i="3"/>
  <c r="CQ32" i="3"/>
  <c r="CW77" i="2"/>
  <c r="CW76" i="2"/>
  <c r="CQ67" i="3"/>
  <c r="CQ64" i="3"/>
  <c r="CQ53" i="3"/>
  <c r="CQ40" i="3"/>
  <c r="CQ37" i="3"/>
  <c r="CQ22" i="3"/>
  <c r="CQ18" i="3"/>
  <c r="CW26" i="2"/>
  <c r="CW16" i="2"/>
  <c r="AT13" i="3"/>
  <c r="E23" i="1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AH13" i="3"/>
  <c r="E11" i="1"/>
  <c r="CJ20" i="3"/>
  <c r="CH77" i="3"/>
  <c r="CP14" i="3"/>
  <c r="CO77" i="3"/>
  <c r="CL14" i="3"/>
  <c r="CJ77" i="3"/>
  <c r="D23" i="1"/>
  <c r="F23" i="1" s="1"/>
  <c r="AN13" i="2"/>
  <c r="D22" i="1"/>
  <c r="F22" i="1" s="1"/>
  <c r="AM13" i="2"/>
  <c r="AL13" i="2"/>
  <c r="D21" i="1"/>
  <c r="F21" i="1" s="1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D16" i="1"/>
  <c r="F16" i="1" s="1"/>
  <c r="AG13" i="2"/>
  <c r="D15" i="1"/>
  <c r="AF13" i="2"/>
  <c r="D14" i="1"/>
  <c r="AE13" i="2"/>
  <c r="D13" i="1"/>
  <c r="AD13" i="2"/>
  <c r="D12" i="1"/>
  <c r="AC13" i="2"/>
  <c r="D11" i="1"/>
  <c r="AB13" i="2"/>
  <c r="CV30" i="2"/>
  <c r="CW30" i="2" s="1"/>
  <c r="CU79" i="2"/>
  <c r="CN79" i="2"/>
  <c r="CP17" i="2"/>
  <c r="CW14" i="2"/>
  <c r="CV79" i="2"/>
  <c r="CR14" i="2"/>
  <c r="CP79" i="2"/>
  <c r="CQ76" i="3"/>
  <c r="CQ75" i="3"/>
  <c r="CQ74" i="3"/>
  <c r="CQ73" i="3"/>
  <c r="CQ72" i="3"/>
  <c r="CQ71" i="3"/>
  <c r="CQ70" i="3"/>
  <c r="CQ69" i="3"/>
  <c r="CQ68" i="3"/>
  <c r="CQ65" i="3"/>
  <c r="CQ63" i="3"/>
  <c r="CQ62" i="3"/>
  <c r="CQ61" i="3"/>
  <c r="CQ59" i="3"/>
  <c r="CQ57" i="3"/>
  <c r="CQ55" i="3"/>
  <c r="CQ54" i="3"/>
  <c r="CQ52" i="3"/>
  <c r="CQ51" i="3"/>
  <c r="CQ50" i="3"/>
  <c r="CQ48" i="3"/>
  <c r="CQ47" i="3"/>
  <c r="CQ46" i="3"/>
  <c r="CQ43" i="3"/>
  <c r="CQ41" i="3"/>
  <c r="CQ38" i="3"/>
  <c r="CQ36" i="3"/>
  <c r="CQ35" i="3"/>
  <c r="CQ34" i="3"/>
  <c r="CQ31" i="3"/>
  <c r="CQ29" i="3"/>
  <c r="CQ28" i="3"/>
  <c r="CQ27" i="3"/>
  <c r="CQ24" i="3"/>
  <c r="CQ23" i="3"/>
  <c r="CQ19" i="3"/>
  <c r="CQ16" i="3"/>
  <c r="CQ15" i="3"/>
  <c r="CQ66" i="3"/>
  <c r="CQ49" i="3"/>
  <c r="CW75" i="2"/>
  <c r="CW74" i="2"/>
  <c r="CW73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5" i="2"/>
  <c r="CW24" i="2"/>
  <c r="CW23" i="2"/>
  <c r="CW22" i="2"/>
  <c r="CW21" i="2"/>
  <c r="CW20" i="2"/>
  <c r="CW19" i="2"/>
  <c r="CW18" i="2"/>
  <c r="CW15" i="2"/>
  <c r="CQ45" i="3"/>
  <c r="CQ44" i="3"/>
  <c r="CQ42" i="3"/>
  <c r="CQ39" i="3"/>
  <c r="CQ33" i="3"/>
  <c r="CQ26" i="3"/>
  <c r="CQ25" i="3"/>
  <c r="CQ21" i="3"/>
  <c r="E24" i="1" l="1"/>
  <c r="F15" i="1"/>
  <c r="F14" i="1"/>
  <c r="F13" i="1"/>
  <c r="F12" i="1"/>
  <c r="CQ20" i="3"/>
  <c r="CL20" i="3"/>
  <c r="CL77" i="3" s="1"/>
  <c r="I3" i="2"/>
  <c r="D3" i="3"/>
  <c r="E6" i="1"/>
  <c r="CH13" i="3"/>
  <c r="CQ14" i="3"/>
  <c r="CQ77" i="3" s="1"/>
  <c r="CP77" i="3"/>
  <c r="F11" i="1"/>
  <c r="D24" i="1"/>
  <c r="B6" i="1"/>
  <c r="H6" i="1" s="1"/>
  <c r="D3" i="2"/>
  <c r="CN13" i="2"/>
  <c r="I3" i="3"/>
  <c r="CW17" i="2"/>
  <c r="CW79" i="2" s="1"/>
  <c r="CR17" i="2"/>
  <c r="CR79" i="2" s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<sst xmlns="http://schemas.openxmlformats.org/spreadsheetml/2006/main" count="589" uniqueCount="175">
  <si>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</si>
  <si>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</si>
  <si>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</si>
  <si>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</si>
  <si>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</si>
  <si>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</si>
  <si>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</si>
  <si>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</si>
  <si>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</si>
  <si>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</si>
  <si>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</si>
  <si>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</si>
  <si>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</si>
  <si>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</si>
  <si>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</si>
  <si>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</si>
  <si>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</si>
  <si>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</si>
  <si>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</si>
  <si>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</si>
  <si>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</si>
  <si>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</si>
  <si>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</si>
  <si>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</si>
  <si>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</si>
  <si>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</si>
  <si>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</si>
  <si>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</si>
  <si>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</si>
  <si>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</si>
  <si>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</si>
  <si>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</si>
  <si>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</si>
  <si>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</si>
  <si>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</si>
  <si>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</si>
  <si>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</si>
  <si>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</si>
  <si>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</si>
  <si>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</si>
  <si>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</si>
  <si>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</si>
  <si>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</si>
  <si>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</si>
  <si>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</si>
  <si>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</si>
  <si>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</si>
  <si>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</si>
  <si>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</si>
  <si>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</si>
  <si>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</si>
  <si>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</si>
  <si>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</si>
  <si>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</si>
  <si>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</si>
  <si>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</si>
  <si>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</si>
  <si>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</si>
  <si>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</si>
  <si>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</si>
  <si>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</si>
  <si>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</si>
  <si>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</si>
  <si>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</si>
  <si>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</si>
  <si>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</si>
  <si>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</si>
  <si>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</si>
  <si>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</si>
  <si>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</si>
  <si>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</si>
  <si>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</si>
  <si>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</si>
  <si>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</si>
  <si>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</si>
  <si>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</si>
  <si>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</si>
  <si>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</si>
  <si>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</si>
  <si>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</si>
  <si>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</si>
  <si>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</si>
  <si>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</si>
  <si>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</si>
  <si>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</si>
  <si>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</si>
  <si>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</si>
  <si>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</si>
  <si>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</si>
  <si>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</si>
  <si>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</si>
  <si>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</si>
  <si>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</si>
  <si>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</si>
  <si>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</si>
  <si>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</si>
  <si>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</si>
  <si>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</si>
  <si>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</si>
  <si>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</si>
  <si>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</si>
  <si>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</si>
  <si>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</si>
  <si>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</si>
  <si>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</si>
  <si>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</si>
  <si>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</si>
  <si>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</si>
  <si>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</si>
  <si>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</si>
  <si>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</si>
  <si>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</si>
  <si>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12:17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</si>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</sst>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725</v>
      </c>
      <c r="C6" s="89"/>
      <c r="E6" s="88">
        <f>'Programa CAJAS REPORTE DIARIO'!CH77</f>
        <v>1925</v>
      </c>
      <c r="F6" s="89"/>
      <c r="H6" s="101">
        <f>B6+E6</f>
        <v>2650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66</v>
      </c>
      <c r="E23" s="70">
        <f>'Programa CAJAS REPORTE DIARIO'!AT77</f>
        <v>196</v>
      </c>
      <c r="F23" s="70">
        <f t="shared" si="0"/>
        <v>262</v>
      </c>
      <c r="G23" s="70">
        <f t="shared" si="1"/>
        <v>2650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725</v>
      </c>
      <c r="E24" s="75">
        <f>SUM(E11:E23)</f>
        <v>1925</v>
      </c>
      <c r="F24" s="75">
        <f>SUM(F11:F23)</f>
        <v>2650</v>
      </c>
      <c r="G24" s="75">
        <f>F24</f>
        <v>2650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725</v>
      </c>
      <c r="F3" s="79" t="s">
        <v>1</v>
      </c>
      <c r="I3" s="80">
        <f>'Programa CAJAS REPORTE DIARIO'!CH77+CN79</f>
        <v>2650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66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725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4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187</v>
      </c>
      <c r="CP27" s="27">
        <f t="shared" si="4"/>
        <v>187</v>
      </c>
      <c r="CQ27" s="22">
        <v>0</v>
      </c>
      <c r="CR27" s="22">
        <f t="shared" si="5"/>
        <v>187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183.5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163</v>
      </c>
      <c r="CP28" s="27">
        <f t="shared" si="4"/>
        <v>163</v>
      </c>
      <c r="CQ28" s="22">
        <v>0</v>
      </c>
      <c r="CR28" s="22">
        <f t="shared" si="5"/>
        <v>163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15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101</v>
      </c>
      <c r="CP29" s="27">
        <f t="shared" si="4"/>
        <v>101</v>
      </c>
      <c r="CQ29" s="22">
        <v>0</v>
      </c>
      <c r="CR29" s="22">
        <f t="shared" si="5"/>
        <v>101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305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2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23</v>
      </c>
      <c r="CP36" s="27">
        <f t="shared" si="4"/>
        <v>23</v>
      </c>
      <c r="CQ36" s="22">
        <v>0</v>
      </c>
      <c r="CR36" s="22">
        <f t="shared" si="5"/>
        <v>23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-23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1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1</v>
      </c>
      <c r="CP37" s="27">
        <f t="shared" si="4"/>
        <v>1</v>
      </c>
      <c r="CQ37" s="22">
        <v>0</v>
      </c>
      <c r="CR37" s="22">
        <f t="shared" si="5"/>
        <v>1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-1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1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71</v>
      </c>
      <c r="CP42" s="27">
        <f t="shared" si="4"/>
        <v>71</v>
      </c>
      <c r="CQ42" s="22">
        <v>0</v>
      </c>
      <c r="CR42" s="22">
        <f t="shared" si="5"/>
        <v>71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-71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23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23</v>
      </c>
      <c r="CP56" s="27">
        <f t="shared" si="11"/>
        <v>23</v>
      </c>
      <c r="CQ56" s="22">
        <v>0</v>
      </c>
      <c r="CR56" s="22">
        <f t="shared" si="12"/>
        <v>23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-23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66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725</v>
      </c>
      <c r="CP79" s="25">
        <f>+SUM(CP14:CP78)</f>
        <v>725</v>
      </c>
      <c r="CQ79" s="25">
        <f>+SUM(CQ14:CQ78)</f>
        <v>0</v>
      </c>
      <c r="CR79" s="25">
        <f>+SUM(CR14:CR78)</f>
        <v>725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6541.5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1925</v>
      </c>
      <c r="F3" s="79" t="s">
        <v>1</v>
      </c>
      <c r="I3" s="80">
        <f>'Programa CASETAS REPORTE DIARIO'!CN79+CH77</f>
        <v>2650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196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1925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23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388</v>
      </c>
      <c r="CJ27" s="27">
        <f t="shared" si="3"/>
        <v>388</v>
      </c>
      <c r="CK27" s="22">
        <v>0</v>
      </c>
      <c r="CL27" s="22">
        <f t="shared" si="4"/>
        <v>388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398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18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298</v>
      </c>
      <c r="CJ28" s="27">
        <f t="shared" si="3"/>
        <v>298</v>
      </c>
      <c r="CK28" s="22">
        <v>0</v>
      </c>
      <c r="CL28" s="22">
        <f t="shared" si="4"/>
        <v>298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-120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47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140</v>
      </c>
      <c r="CJ35" s="27">
        <f t="shared" si="3"/>
        <v>140</v>
      </c>
      <c r="CK35" s="22">
        <v>0</v>
      </c>
      <c r="CL35" s="22">
        <f t="shared" si="4"/>
        <v>140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2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48</v>
      </c>
      <c r="CJ36" s="27">
        <f t="shared" si="3"/>
        <v>48</v>
      </c>
      <c r="CK36" s="22">
        <v>0</v>
      </c>
      <c r="CL36" s="22">
        <f t="shared" si="4"/>
        <v>48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-48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21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128</v>
      </c>
      <c r="CJ43" s="27">
        <f t="shared" si="3"/>
        <v>128</v>
      </c>
      <c r="CK43" s="22">
        <v>0</v>
      </c>
      <c r="CL43" s="22">
        <f t="shared" si="4"/>
        <v>128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-108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40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266</v>
      </c>
      <c r="CJ46" s="27">
        <f t="shared" ref="CJ46:CJ76" si="11">CH46</f>
        <v>266</v>
      </c>
      <c r="CK46" s="22">
        <v>0</v>
      </c>
      <c r="CL46" s="22">
        <f t="shared" ref="CL46:CL77" si="12">CJ46+CK46</f>
        <v>266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1262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21</v>
      </c>
      <c r="CJ53" s="27">
        <f t="shared" si="11"/>
        <v>21</v>
      </c>
      <c r="CK53" s="22">
        <v>0</v>
      </c>
      <c r="CL53" s="22">
        <f t="shared" si="12"/>
        <v>21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47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8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55</v>
      </c>
      <c r="CJ61" s="27">
        <f t="shared" si="11"/>
        <v>55</v>
      </c>
      <c r="CK61" s="22">
        <v>0</v>
      </c>
      <c r="CL61" s="22">
        <f t="shared" si="12"/>
        <v>55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-23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5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79</v>
      </c>
      <c r="CJ70" s="27">
        <f t="shared" si="11"/>
        <v>79</v>
      </c>
      <c r="CK70" s="22">
        <v>0</v>
      </c>
      <c r="CL70" s="22">
        <f t="shared" si="12"/>
        <v>79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-65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196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1925</v>
      </c>
      <c r="CJ77" s="25">
        <f>+SUM(CJ14:CJ76)</f>
        <v>1925</v>
      </c>
      <c r="CK77" s="25">
        <f>+SUM(CK14:CK76)</f>
        <v>0</v>
      </c>
      <c r="CL77" s="25">
        <f>+SUM(CL14:CL76)</f>
        <v>1925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9307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2026-10-29T18:17:21Z</dcterms:modified>
</cp:coreProperties>
</file>