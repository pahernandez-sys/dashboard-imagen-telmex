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BDCE208C-037E-4804-846C-96443EF0DC95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E77" i="3"/>
  <c r="CD77" i="3"/>
  <c r="CC77" i="3"/>
  <c r="CB77" i="3"/>
  <c r="CA77" i="3"/>
  <c r="BZ77" i="3"/>
  <c r="BY77" i="3"/>
  <c r="BX77" i="3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T13" i="3" s="1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 s="1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 s="1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 s="1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P60" i="3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 s="1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 s="1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 s="1"/>
  <c r="CP23" i="3" s="1"/>
  <c r="CH23" i="3"/>
  <c r="CJ23" i="3" s="1"/>
  <c r="CL23" i="3" s="1"/>
  <c r="DC22" i="3"/>
  <c r="CO22" i="3" s="1"/>
  <c r="CP22" i="3" s="1"/>
  <c r="CH22" i="3"/>
  <c r="CJ22" i="3" s="1"/>
  <c r="CL22" i="3" s="1"/>
  <c r="DC21" i="3"/>
  <c r="CO21" i="3" s="1"/>
  <c r="CP21" i="3" s="1"/>
  <c r="CH21" i="3"/>
  <c r="CJ21" i="3" s="1"/>
  <c r="CL21" i="3" s="1"/>
  <c r="DC20" i="3"/>
  <c r="CO20" i="3"/>
  <c r="CP20" i="3" s="1"/>
  <c r="CH20" i="3"/>
  <c r="CJ20" i="3" s="1"/>
  <c r="CL20" i="3" s="1"/>
  <c r="DC19" i="3"/>
  <c r="CO19" i="3"/>
  <c r="CP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/>
  <c r="CH14" i="3"/>
  <c r="CG13" i="3"/>
  <c r="CF13" i="3"/>
  <c r="CE13" i="3"/>
  <c r="CD13" i="3"/>
  <c r="CC13" i="3"/>
  <c r="CB13" i="3"/>
  <c r="CA13" i="3"/>
  <c r="BZ13" i="3"/>
  <c r="BY13" i="3"/>
  <c r="BX13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L79" i="2"/>
  <c r="CK79" i="2"/>
  <c r="CJ79" i="2"/>
  <c r="CI79" i="2"/>
  <c r="CH79" i="2"/>
  <c r="CG79" i="2"/>
  <c r="CF79" i="2"/>
  <c r="CE79" i="2"/>
  <c r="CD79" i="2"/>
  <c r="CC79" i="2"/>
  <c r="CB79" i="2"/>
  <c r="CA79" i="2"/>
  <c r="BZ79" i="2"/>
  <c r="BY79" i="2"/>
  <c r="BX79" i="2"/>
  <c r="BW79" i="2"/>
  <c r="BV79" i="2"/>
  <c r="BU79" i="2"/>
  <c r="BT79" i="2"/>
  <c r="BS79" i="2"/>
  <c r="BR79" i="2"/>
  <c r="BQ79" i="2"/>
  <c r="BP79" i="2"/>
  <c r="BO79" i="2"/>
  <c r="BN79" i="2"/>
  <c r="BM79" i="2"/>
  <c r="BL79" i="2"/>
  <c r="BK79" i="2"/>
  <c r="BJ79" i="2"/>
  <c r="BI79" i="2"/>
  <c r="BH79" i="2"/>
  <c r="BG79" i="2"/>
  <c r="BG13" i="2" s="1"/>
  <c r="BF79" i="2"/>
  <c r="BE79" i="2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P79" i="2"/>
  <c r="AO79" i="2"/>
  <c r="AN79" i="2"/>
  <c r="AM79" i="2"/>
  <c r="D22" i="1" s="1"/>
  <c r="AL79" i="2"/>
  <c r="D21" i="1" s="1"/>
  <c r="AK79" i="2"/>
  <c r="D20" i="1" s="1"/>
  <c r="AJ79" i="2"/>
  <c r="D19" i="1" s="1"/>
  <c r="AI79" i="2"/>
  <c r="D18" i="1" s="1"/>
  <c r="AH79" i="2"/>
  <c r="D17" i="1" s="1"/>
  <c r="AG79" i="2"/>
  <c r="D16" i="1" s="1"/>
  <c r="AF79" i="2"/>
  <c r="D15" i="1" s="1"/>
  <c r="AE79" i="2"/>
  <c r="D14" i="1" s="1"/>
  <c r="AD79" i="2"/>
  <c r="D13" i="1" s="1"/>
  <c r="AC79" i="2"/>
  <c r="D12" i="1" s="1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 s="1"/>
  <c r="CV78" i="2" s="1"/>
  <c r="CN78" i="2"/>
  <c r="CP78" i="2" s="1"/>
  <c r="CR78" i="2" s="1"/>
  <c r="DD77" i="2"/>
  <c r="CU77" i="2" s="1"/>
  <c r="CV77" i="2" s="1"/>
  <c r="CN77" i="2"/>
  <c r="CP77" i="2" s="1"/>
  <c r="CR77" i="2" s="1"/>
  <c r="DD76" i="2"/>
  <c r="CU76" i="2"/>
  <c r="CV76" i="2" s="1"/>
  <c r="CN76" i="2"/>
  <c r="CP76" i="2" s="1"/>
  <c r="CR76" i="2" s="1"/>
  <c r="DD75" i="2"/>
  <c r="CU75" i="2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/>
  <c r="CV67" i="2" s="1"/>
  <c r="CN67" i="2"/>
  <c r="CP67" i="2" s="1"/>
  <c r="CR67" i="2" s="1"/>
  <c r="DD66" i="2"/>
  <c r="CU66" i="2"/>
  <c r="CV66" i="2" s="1"/>
  <c r="CN66" i="2"/>
  <c r="CP66" i="2" s="1"/>
  <c r="CR66" i="2" s="1"/>
  <c r="DD65" i="2"/>
  <c r="CU65" i="2"/>
  <c r="CV65" i="2" s="1"/>
  <c r="CN65" i="2"/>
  <c r="CP65" i="2" s="1"/>
  <c r="CR65" i="2" s="1"/>
  <c r="DD64" i="2"/>
  <c r="CU64" i="2"/>
  <c r="CV64" i="2" s="1"/>
  <c r="CN64" i="2"/>
  <c r="CP64" i="2" s="1"/>
  <c r="CR64" i="2" s="1"/>
  <c r="DD63" i="2"/>
  <c r="CU63" i="2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/>
  <c r="CV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 s="1"/>
  <c r="CV48" i="2" s="1"/>
  <c r="CN48" i="2"/>
  <c r="CP48" i="2" s="1"/>
  <c r="CR48" i="2" s="1"/>
  <c r="DD47" i="2"/>
  <c r="CU47" i="2" s="1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 s="1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/>
  <c r="CV18" i="2" s="1"/>
  <c r="CN18" i="2"/>
  <c r="CP18" i="2" s="1"/>
  <c r="CR18" i="2" s="1"/>
  <c r="DD17" i="2"/>
  <c r="CU17" i="2"/>
  <c r="CV17" i="2" s="1"/>
  <c r="CN17" i="2"/>
  <c r="CP17" i="2" s="1"/>
  <c r="CR17" i="2" s="1"/>
  <c r="DD16" i="2"/>
  <c r="CU16" i="2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 s="1"/>
  <c r="CN14" i="2"/>
  <c r="CM13" i="2"/>
  <c r="CL13" i="2"/>
  <c r="CK13" i="2"/>
  <c r="CJ13" i="2"/>
  <c r="CI13" i="2"/>
  <c r="CH13" i="2"/>
  <c r="CG13" i="2"/>
  <c r="CF13" i="2"/>
  <c r="CE13" i="2"/>
  <c r="CD13" i="2"/>
  <c r="CC13" i="2"/>
  <c r="CB13" i="2"/>
  <c r="CA13" i="2"/>
  <c r="BZ13" i="2"/>
  <c r="BY13" i="2"/>
  <c r="BX13" i="2"/>
  <c r="BW13" i="2"/>
  <c r="BV13" i="2"/>
  <c r="BU13" i="2"/>
  <c r="BT13" i="2"/>
  <c r="BS13" i="2"/>
  <c r="BR13" i="2"/>
  <c r="BQ13" i="2"/>
  <c r="BP13" i="2"/>
  <c r="BO13" i="2"/>
  <c r="BN13" i="2"/>
  <c r="BM13" i="2"/>
  <c r="BL13" i="2"/>
  <c r="BK13" i="2"/>
  <c r="BJ13" i="2"/>
  <c r="BI13" i="2"/>
  <c r="BH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CW15" i="2" l="1"/>
  <c r="CQ76" i="3"/>
  <c r="CQ24" i="3"/>
  <c r="CW33" i="2"/>
  <c r="CW31" i="2"/>
  <c r="CW29" i="2"/>
  <c r="CW25" i="2"/>
  <c r="CW23" i="2"/>
  <c r="CW18" i="2"/>
  <c r="E22" i="1"/>
  <c r="F22" i="1" s="1"/>
  <c r="AS13" i="3"/>
  <c r="E21" i="1"/>
  <c r="F21" i="1" s="1"/>
  <c r="AR13" i="3"/>
  <c r="E20" i="1"/>
  <c r="AQ13" i="3"/>
  <c r="E19" i="1"/>
  <c r="F19" i="1" s="1"/>
  <c r="AP13" i="3"/>
  <c r="E18" i="1"/>
  <c r="F18" i="1" s="1"/>
  <c r="AO13" i="3"/>
  <c r="E17" i="1"/>
  <c r="AN13" i="3"/>
  <c r="E16" i="1"/>
  <c r="AM13" i="3"/>
  <c r="E15" i="1"/>
  <c r="AL13" i="3"/>
  <c r="E14" i="1"/>
  <c r="F14" i="1" s="1"/>
  <c r="AK13" i="3"/>
  <c r="E13" i="1"/>
  <c r="F13" i="1" s="1"/>
  <c r="AJ13" i="3"/>
  <c r="E12" i="1"/>
  <c r="F12" i="1" s="1"/>
  <c r="AI13" i="3"/>
  <c r="E11" i="1"/>
  <c r="AH13" i="3"/>
  <c r="CW74" i="2"/>
  <c r="CO77" i="3"/>
  <c r="CP14" i="3"/>
  <c r="CH77" i="3"/>
  <c r="CJ14" i="3"/>
  <c r="AB13" i="2"/>
  <c r="D11" i="1"/>
  <c r="CU79" i="2"/>
  <c r="CV14" i="2"/>
  <c r="CN79" i="2"/>
  <c r="CP14" i="2"/>
  <c r="CQ74" i="3"/>
  <c r="CQ73" i="3"/>
  <c r="CQ72" i="3"/>
  <c r="CQ71" i="3"/>
  <c r="CQ70" i="3"/>
  <c r="CQ69" i="3"/>
  <c r="CQ68" i="3"/>
  <c r="CQ67" i="3"/>
  <c r="CQ66" i="3"/>
  <c r="CQ65" i="3"/>
  <c r="CQ64" i="3"/>
  <c r="CQ63" i="3"/>
  <c r="CQ62" i="3"/>
  <c r="CQ61" i="3"/>
  <c r="CQ60" i="3"/>
  <c r="CQ59" i="3"/>
  <c r="CQ58" i="3"/>
  <c r="CQ57" i="3"/>
  <c r="CQ56" i="3"/>
  <c r="CQ55" i="3"/>
  <c r="CQ54" i="3"/>
  <c r="CQ53" i="3"/>
  <c r="CQ52" i="3"/>
  <c r="CQ51" i="3"/>
  <c r="CQ50" i="3"/>
  <c r="CQ49" i="3"/>
  <c r="CQ48" i="3"/>
  <c r="CQ47" i="3"/>
  <c r="CQ46" i="3"/>
  <c r="CQ45" i="3"/>
  <c r="CQ44" i="3"/>
  <c r="CQ43" i="3"/>
  <c r="CQ42" i="3"/>
  <c r="CQ41" i="3"/>
  <c r="CQ40" i="3"/>
  <c r="CQ39" i="3"/>
  <c r="CQ38" i="3"/>
  <c r="CQ37" i="3"/>
  <c r="CQ36" i="3"/>
  <c r="CQ35" i="3"/>
  <c r="CQ34" i="3"/>
  <c r="CQ33" i="3"/>
  <c r="CQ32" i="3"/>
  <c r="CQ31" i="3"/>
  <c r="CQ30" i="3"/>
  <c r="CQ29" i="3"/>
  <c r="CQ28" i="3"/>
  <c r="CQ27" i="3"/>
  <c r="CQ26" i="3"/>
  <c r="CQ25" i="3"/>
  <c r="CQ23" i="3"/>
  <c r="CQ22" i="3"/>
  <c r="CQ21" i="3"/>
  <c r="CQ20" i="3"/>
  <c r="CQ19" i="3"/>
  <c r="CQ18" i="3"/>
  <c r="CQ17" i="3"/>
  <c r="CQ16" i="3"/>
  <c r="CQ15" i="3"/>
  <c r="F20" i="1"/>
  <c r="CW30" i="2"/>
  <c r="CW28" i="2"/>
  <c r="CW27" i="2"/>
  <c r="CW24" i="2"/>
  <c r="CW22" i="2"/>
  <c r="CW21" i="2"/>
  <c r="CW20" i="2"/>
  <c r="CW19" i="2"/>
  <c r="CW17" i="2"/>
  <c r="E23" i="1"/>
  <c r="CQ75" i="3"/>
  <c r="F17" i="1"/>
  <c r="F16" i="1"/>
  <c r="F15" i="1"/>
  <c r="CW78" i="2"/>
  <c r="CW77" i="2"/>
  <c r="CW76" i="2"/>
  <c r="CW75" i="2"/>
  <c r="CW73" i="2"/>
  <c r="CW72" i="2"/>
  <c r="CW71" i="2"/>
  <c r="CW70" i="2"/>
  <c r="CW69" i="2"/>
  <c r="CW68" i="2"/>
  <c r="CW67" i="2"/>
  <c r="CW66" i="2"/>
  <c r="CW65" i="2"/>
  <c r="CW64" i="2"/>
  <c r="CW63" i="2"/>
  <c r="CW62" i="2"/>
  <c r="CW61" i="2"/>
  <c r="CW60" i="2"/>
  <c r="CW59" i="2"/>
  <c r="CW58" i="2"/>
  <c r="CW57" i="2"/>
  <c r="CW56" i="2"/>
  <c r="CW55" i="2"/>
  <c r="CW54" i="2"/>
  <c r="CW53" i="2"/>
  <c r="CW52" i="2"/>
  <c r="CW51" i="2"/>
  <c r="CW50" i="2"/>
  <c r="CW49" i="2"/>
  <c r="CW48" i="2"/>
  <c r="CW47" i="2"/>
  <c r="CW46" i="2"/>
  <c r="CW45" i="2"/>
  <c r="CW44" i="2"/>
  <c r="CW43" i="2"/>
  <c r="CW42" i="2"/>
  <c r="CW41" i="2"/>
  <c r="CW40" i="2"/>
  <c r="CW39" i="2"/>
  <c r="CW38" i="2"/>
  <c r="CW37" i="2"/>
  <c r="CW36" i="2"/>
  <c r="CW35" i="2"/>
  <c r="CW34" i="2"/>
  <c r="CW32" i="2"/>
  <c r="CW26" i="2"/>
  <c r="CW16" i="2"/>
  <c r="CQ14" i="3" l="1"/>
  <c r="CQ77" i="3" s="1"/>
  <c r="CP77" i="3"/>
  <c r="I3" i="2"/>
  <c r="E6" i="1"/>
  <c r="D3" i="3"/>
  <c r="CH13" i="3"/>
  <c r="CL14" i="3"/>
  <c r="CL77" i="3" s="1"/>
  <c r="CJ77" i="3"/>
  <c r="F11" i="1"/>
  <c r="D23" i="1"/>
  <c r="CW14" i="2"/>
  <c r="CW79" i="2" s="1"/>
  <c r="CV79" i="2"/>
  <c r="B6" i="1"/>
  <c r="I3" i="3"/>
  <c r="D3" i="2"/>
  <c r="CN13" i="2"/>
  <c r="CR14" i="2"/>
  <c r="CR79" i="2" s="1"/>
  <c r="CP79" i="2"/>
  <c r="G11" i="1" l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F23" i="1"/>
  <c r="G23" i="1" s="1"/>
  <c r="H6" i="1"/>
</calcChain>
</file>

<file path=xl/sharedStrings.xml><?xml version="1.0" encoding="utf-8"?>
<sst xmlns="http://schemas.openxmlformats.org/spreadsheetml/2006/main" count="586" uniqueCount="174">
  <si>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</si>
  <si>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</si>
  <si>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</si>
  <si>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</si>
  <si>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</si>
  <si>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</si>
  <si>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</si>
  <si>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</si>
  <si>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</si>
  <si>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</si>
  <si>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</si>
  <si>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</si>
  <si>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</si>
  <si>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</si>
  <si>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</si>
  <si>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</si>
  <si>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</si>
  <si>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</si>
  <si>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</si>
  <si>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</si>
  <si>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</si>
  <si>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</si>
  <si>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</si>
  <si>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</si>
  <si>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</si>
  <si>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</si>
  <si>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</si>
  <si>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</si>
  <si>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</si>
  <si>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</si>
  <si>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</si>
  <si>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</si>
  <si>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</si>
  <si>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</si>
  <si>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</si>
  <si>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</si>
  <si>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</si>
  <si>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</si>
  <si>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</si>
  <si>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</si>
  <si>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</si>
  <si>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</si>
  <si>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</si>
  <si>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</si>
  <si>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</si>
  <si>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</si>
  <si>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</si>
  <si>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</si>
  <si>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</si>
  <si>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</si>
  <si>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</si>
  <si>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</si>
  <si>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</si>
  <si>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</si>
  <si>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</si>
  <si>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</si>
  <si>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</si>
  <si>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</si>
  <si>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</si>
  <si>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</si>
  <si>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</si>
  <si>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</si>
  <si>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</si>
  <si>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</si>
  <si>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</si>
  <si>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</si>
  <si>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</si>
  <si>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</si>
  <si>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</si>
  <si>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</si>
  <si>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</si>
  <si>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</si>
  <si>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</si>
  <si>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</si>
  <si>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</si>
  <si>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</si>
  <si>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</si>
  <si>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</si>
  <si>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</si>
  <si>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</si>
  <si>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</si>
  <si>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</si>
  <si>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</si>
  <si>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</si>
  <si>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</si>
  <si>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</si>
  <si>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</si>
  <si>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</si>
  <si>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</si>
  <si>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</si>
  <si>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</si>
  <si>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</si>
  <si>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</si>
  <si>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</si>
  <si>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</si>
  <si>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</si>
  <si>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</si>
  <si>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</si>
  <si>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</si>
  <si>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</si>
  <si>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</si>
  <si>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</si>
  <si>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</si>
  <si>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</si>
  <si>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</si>
  <si>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</si>
  <si>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</si>
  <si>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</si>
  <si>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</si>
  <si>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</si>
  <si>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</si>
  <si>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</si>
  <si>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(28/10/2026, 20:39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</si>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</sst>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9" fillId="0" borderId="0" xfId="0" applyFont="1"/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9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4" t="s">
        <v>113</v>
      </c>
      <c r="C5" s="89"/>
      <c r="E5" s="94" t="s">
        <v>114</v>
      </c>
      <c r="F5" s="89"/>
      <c r="H5" s="95" t="s">
        <v>115</v>
      </c>
      <c r="I5" s="96"/>
      <c r="J5" s="96"/>
    </row>
    <row r="6" spans="2:10" ht="31.95" customHeight="1" x14ac:dyDescent="0.3">
      <c r="B6" s="88">
        <f>'Programa CASETAS REPORTE DIARIO'!CN79</f>
        <v>659</v>
      </c>
      <c r="C6" s="89"/>
      <c r="E6" s="88">
        <f>'Programa CAJAS REPORTE DIARIO'!CH77</f>
        <v>1719</v>
      </c>
      <c r="F6" s="89"/>
      <c r="H6" s="101">
        <f>B6+E6</f>
        <v>2378</v>
      </c>
      <c r="I6" s="96"/>
      <c r="J6" s="96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6"/>
      <c r="J7" s="96"/>
    </row>
    <row r="9" spans="2:10" ht="15.6" x14ac:dyDescent="0.3">
      <c r="B9" s="97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2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2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394</v>
      </c>
      <c r="F22" s="72">
        <f t="shared" si="0"/>
        <v>571</v>
      </c>
      <c r="G22" s="72">
        <f t="shared" si="1"/>
        <v>2378</v>
      </c>
      <c r="H22" s="71" t="s">
        <v>148</v>
      </c>
    </row>
    <row r="23" spans="2:8" ht="24" customHeight="1" x14ac:dyDescent="0.3">
      <c r="B23" s="73" t="s">
        <v>149</v>
      </c>
      <c r="C23" s="74"/>
      <c r="D23" s="75">
        <f>SUM(D11:D22)</f>
        <v>659</v>
      </c>
      <c r="E23" s="75">
        <f>SUM(E11:E22)</f>
        <v>1719</v>
      </c>
      <c r="F23" s="75">
        <f>SUM(F11:F22)</f>
        <v>2378</v>
      </c>
      <c r="G23" s="75">
        <f>F23</f>
        <v>2378</v>
      </c>
      <c r="H23" s="76" t="s">
        <v>150</v>
      </c>
    </row>
    <row r="25" spans="2:8" x14ac:dyDescent="0.3">
      <c r="B25" s="98" t="s">
        <v>151</v>
      </c>
      <c r="C25" s="91"/>
      <c r="D25" s="91"/>
      <c r="E25" s="91"/>
      <c r="F25" s="91"/>
      <c r="G25" s="91"/>
      <c r="H25" s="91"/>
    </row>
    <row r="26" spans="2:8" ht="18" customHeight="1" x14ac:dyDescent="0.3">
      <c r="B26" s="90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</sheetData>
  <mergeCells count="17">
    <mergeCell ref="B29:H29"/>
    <mergeCell ref="B25:H25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659</v>
      </c>
      <c r="F3" s="79" t="s">
        <v>1</v>
      </c>
      <c r="I3" s="80">
        <f>'Programa CAJAS REPORTE DIARIO'!CH77+CN79</f>
        <v>2378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659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183</v>
      </c>
      <c r="CP27" s="27">
        <f t="shared" si="4"/>
        <v>183</v>
      </c>
      <c r="CQ27" s="22">
        <v>0</v>
      </c>
      <c r="CR27" s="22">
        <f t="shared" si="5"/>
        <v>183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187.5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145</v>
      </c>
      <c r="CP28" s="27">
        <f t="shared" si="4"/>
        <v>145</v>
      </c>
      <c r="CQ28" s="22">
        <v>0</v>
      </c>
      <c r="CR28" s="22">
        <f t="shared" si="5"/>
        <v>145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1232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86</v>
      </c>
      <c r="CP29" s="27">
        <f t="shared" si="4"/>
        <v>86</v>
      </c>
      <c r="CQ29" s="22">
        <v>0</v>
      </c>
      <c r="CR29" s="22">
        <f t="shared" si="5"/>
        <v>86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320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-35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21</v>
      </c>
      <c r="CP36" s="27">
        <f t="shared" si="4"/>
        <v>21</v>
      </c>
      <c r="CQ36" s="22">
        <v>0</v>
      </c>
      <c r="CR36" s="22">
        <f t="shared" si="5"/>
        <v>21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-21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70</v>
      </c>
      <c r="CP42" s="27">
        <f t="shared" si="4"/>
        <v>70</v>
      </c>
      <c r="CQ42" s="22">
        <v>0</v>
      </c>
      <c r="CR42" s="22">
        <f t="shared" si="5"/>
        <v>70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-70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54</v>
      </c>
      <c r="CP58" s="27">
        <f t="shared" si="11"/>
        <v>54</v>
      </c>
      <c r="CQ58" s="22">
        <v>0</v>
      </c>
      <c r="CR58" s="22">
        <f t="shared" si="12"/>
        <v>54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1625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659</v>
      </c>
      <c r="CP79" s="25">
        <f>+SUM(CP14:CP78)</f>
        <v>659</v>
      </c>
      <c r="CQ79" s="25">
        <f>+SUM(CQ14:CQ78)</f>
        <v>0</v>
      </c>
      <c r="CR79" s="25">
        <f>+SUM(CR14:CR78)</f>
        <v>659</v>
      </c>
      <c r="CS79" s="25"/>
      <c r="CT79" s="25"/>
      <c r="CU79" s="25">
        <f>+SUM(CU14:CU78)</f>
        <v>14165</v>
      </c>
      <c r="CV79" s="25">
        <f>+SUM(CV14:CV78)</f>
        <v>7082.5</v>
      </c>
      <c r="CW79" s="25">
        <f>+SUM(CW14:CW78)</f>
        <v>6423.5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156</v>
      </c>
      <c r="D3" s="78">
        <f>+CH77</f>
        <v>1719</v>
      </c>
      <c r="F3" s="79" t="s">
        <v>1</v>
      </c>
      <c r="I3" s="80">
        <f>'Programa CASETAS REPORTE DIARIO'!CN79+CH77</f>
        <v>2378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157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158</v>
      </c>
      <c r="CQ12" s="29" t="s">
        <v>21</v>
      </c>
      <c r="CS12" s="29" t="s">
        <v>159</v>
      </c>
      <c r="CT12" s="29" t="s">
        <v>159</v>
      </c>
      <c r="CU12" s="29" t="s">
        <v>159</v>
      </c>
      <c r="CV12" s="29" t="s">
        <v>159</v>
      </c>
      <c r="CW12" s="29" t="s">
        <v>159</v>
      </c>
      <c r="CX12" s="29" t="s">
        <v>160</v>
      </c>
      <c r="CY12" s="29" t="s">
        <v>160</v>
      </c>
      <c r="CZ12" s="29" t="s">
        <v>160</v>
      </c>
      <c r="DA12" s="29" t="s">
        <v>160</v>
      </c>
      <c r="DB12" s="29" t="s">
        <v>160</v>
      </c>
    </row>
    <row r="13" spans="1:107" s="12" customFormat="1" ht="51.75" customHeight="1" x14ac:dyDescent="0.25">
      <c r="A13" s="10" t="s">
        <v>22</v>
      </c>
      <c r="B13" s="10" t="s">
        <v>161</v>
      </c>
      <c r="C13" s="10" t="s">
        <v>24</v>
      </c>
      <c r="D13" s="57" t="s">
        <v>25</v>
      </c>
      <c r="E13" s="57" t="s">
        <v>162</v>
      </c>
      <c r="F13" s="57" t="s">
        <v>163</v>
      </c>
      <c r="G13" s="57" t="s">
        <v>164</v>
      </c>
      <c r="H13" s="57" t="s">
        <v>165</v>
      </c>
      <c r="I13" s="57" t="s">
        <v>166</v>
      </c>
      <c r="J13" s="57" t="s">
        <v>167</v>
      </c>
      <c r="K13" s="57" t="s">
        <v>168</v>
      </c>
      <c r="L13" s="57" t="s">
        <v>169</v>
      </c>
      <c r="M13" s="57" t="s">
        <v>170</v>
      </c>
      <c r="N13" s="57" t="s">
        <v>171</v>
      </c>
      <c r="O13" s="57" t="s">
        <v>172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394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1719</v>
      </c>
      <c r="CJ13" s="39"/>
      <c r="CK13" s="40"/>
      <c r="CL13" s="40"/>
      <c r="CM13" s="41"/>
      <c r="CN13" s="29"/>
      <c r="CO13" s="29"/>
      <c r="CP13" s="29"/>
      <c r="CQ13" s="29"/>
      <c r="CS13" s="67" t="s">
        <v>162</v>
      </c>
      <c r="CT13" s="67" t="s">
        <v>163</v>
      </c>
      <c r="CU13" s="67" t="s">
        <v>164</v>
      </c>
      <c r="CV13" s="67" t="s">
        <v>165</v>
      </c>
      <c r="CW13" s="67" t="s">
        <v>166</v>
      </c>
      <c r="CX13" s="67" t="s">
        <v>167</v>
      </c>
      <c r="CY13" s="67" t="s">
        <v>168</v>
      </c>
      <c r="CZ13" s="67" t="s">
        <v>169</v>
      </c>
      <c r="DA13" s="67" t="s">
        <v>170</v>
      </c>
      <c r="DB13" s="67" t="s">
        <v>171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365</v>
      </c>
      <c r="CJ27" s="27">
        <f t="shared" si="3"/>
        <v>365</v>
      </c>
      <c r="CK27" s="22">
        <v>0</v>
      </c>
      <c r="CL27" s="22">
        <f t="shared" si="4"/>
        <v>365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421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280</v>
      </c>
      <c r="CJ28" s="27">
        <f t="shared" si="3"/>
        <v>280</v>
      </c>
      <c r="CK28" s="22">
        <v>0</v>
      </c>
      <c r="CL28" s="22">
        <f t="shared" si="4"/>
        <v>280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-102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93</v>
      </c>
      <c r="CJ35" s="27">
        <f t="shared" si="3"/>
        <v>93</v>
      </c>
      <c r="CK35" s="22">
        <v>0</v>
      </c>
      <c r="CL35" s="22">
        <f t="shared" si="4"/>
        <v>93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6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46</v>
      </c>
      <c r="CJ36" s="27">
        <f t="shared" si="3"/>
        <v>46</v>
      </c>
      <c r="CK36" s="22">
        <v>0</v>
      </c>
      <c r="CL36" s="22">
        <f t="shared" si="4"/>
        <v>46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-46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43</v>
      </c>
      <c r="CJ37" s="27">
        <f t="shared" si="3"/>
        <v>43</v>
      </c>
      <c r="CK37" s="22">
        <v>0</v>
      </c>
      <c r="CL37" s="22">
        <f t="shared" si="4"/>
        <v>43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21</v>
      </c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34</v>
      </c>
      <c r="CJ41" s="27">
        <f t="shared" si="3"/>
        <v>34</v>
      </c>
      <c r="CK41" s="22">
        <v>0</v>
      </c>
      <c r="CL41" s="22">
        <f t="shared" si="4"/>
        <v>34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-21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107</v>
      </c>
      <c r="CJ43" s="27">
        <f t="shared" si="3"/>
        <v>107</v>
      </c>
      <c r="CK43" s="22">
        <v>0</v>
      </c>
      <c r="CL43" s="22">
        <f t="shared" si="4"/>
        <v>107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-87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173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226</v>
      </c>
      <c r="CJ46" s="27">
        <f t="shared" ref="CJ46:CJ76" si="11">CH46</f>
        <v>226</v>
      </c>
      <c r="CK46" s="22">
        <v>0</v>
      </c>
      <c r="CL46" s="22">
        <f t="shared" ref="CL46:CL77" si="12">CJ46+CK46</f>
        <v>226</v>
      </c>
      <c r="CM46" s="42"/>
      <c r="CN46" s="44"/>
      <c r="CO46" s="14">
        <f t="shared" si="9"/>
        <v>1504</v>
      </c>
      <c r="CP46" s="14">
        <f t="shared" ref="CP46:CP77" si="13">CO46</f>
        <v>1504</v>
      </c>
      <c r="CQ46" s="14">
        <f t="shared" ref="CQ46:CQ77" si="14">CP46-CJ46</f>
        <v>1278</v>
      </c>
      <c r="CR46" s="43"/>
      <c r="CS46" s="17"/>
      <c r="CT46">
        <v>289</v>
      </c>
      <c r="CV46">
        <v>42</v>
      </c>
      <c r="CY46">
        <v>564</v>
      </c>
      <c r="CZ46">
        <v>609</v>
      </c>
      <c r="DC46" s="14">
        <f t="shared" ref="DC46:DC77" si="15">SUM(CS46:DB46)</f>
        <v>1504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6</v>
      </c>
      <c r="CJ51" s="27">
        <f t="shared" si="11"/>
        <v>6</v>
      </c>
      <c r="CK51" s="22">
        <v>0</v>
      </c>
      <c r="CL51" s="22">
        <f t="shared" si="12"/>
        <v>6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-6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5</v>
      </c>
      <c r="CJ53" s="27">
        <f t="shared" si="11"/>
        <v>5</v>
      </c>
      <c r="CK53" s="22">
        <v>0</v>
      </c>
      <c r="CL53" s="22">
        <f t="shared" si="12"/>
        <v>5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63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80</v>
      </c>
      <c r="CJ55" s="27">
        <f t="shared" si="11"/>
        <v>80</v>
      </c>
      <c r="CK55" s="22">
        <v>0</v>
      </c>
      <c r="CL55" s="22">
        <f t="shared" si="12"/>
        <v>80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-50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69</v>
      </c>
      <c r="CJ57" s="27">
        <f t="shared" si="11"/>
        <v>69</v>
      </c>
      <c r="CK57" s="22">
        <v>0</v>
      </c>
      <c r="CL57" s="22">
        <f t="shared" si="12"/>
        <v>69</v>
      </c>
      <c r="CM57" s="42"/>
      <c r="CN57" s="44"/>
      <c r="CO57" s="14">
        <f t="shared" si="9"/>
        <v>253</v>
      </c>
      <c r="CP57" s="14">
        <f t="shared" si="13"/>
        <v>253</v>
      </c>
      <c r="CQ57" s="14">
        <f t="shared" si="14"/>
        <v>184</v>
      </c>
      <c r="CR57" s="43"/>
      <c r="CS57" s="17">
        <v>46</v>
      </c>
      <c r="CT57">
        <v>141</v>
      </c>
      <c r="CV57">
        <v>45</v>
      </c>
      <c r="CW57">
        <v>1</v>
      </c>
      <c r="DB57">
        <v>20</v>
      </c>
      <c r="DC57" s="14">
        <f t="shared" si="15"/>
        <v>253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47</v>
      </c>
      <c r="CJ61" s="27">
        <f t="shared" si="11"/>
        <v>47</v>
      </c>
      <c r="CK61" s="22">
        <v>0</v>
      </c>
      <c r="CL61" s="22">
        <f t="shared" si="12"/>
        <v>47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-15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20</v>
      </c>
      <c r="CP64" s="14">
        <f t="shared" si="13"/>
        <v>20</v>
      </c>
      <c r="CQ64" s="14">
        <f t="shared" si="14"/>
        <v>-27</v>
      </c>
      <c r="CR64" s="43"/>
      <c r="CS64" s="17"/>
      <c r="CV64">
        <v>3</v>
      </c>
      <c r="DB64">
        <v>17</v>
      </c>
      <c r="DC64" s="14">
        <f t="shared" si="15"/>
        <v>20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74</v>
      </c>
      <c r="CJ70" s="27">
        <f t="shared" si="11"/>
        <v>74</v>
      </c>
      <c r="CK70" s="22">
        <v>0</v>
      </c>
      <c r="CL70" s="22">
        <f t="shared" si="12"/>
        <v>74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-60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60</v>
      </c>
      <c r="CP75" s="14">
        <f t="shared" si="13"/>
        <v>60</v>
      </c>
      <c r="CQ75" s="14">
        <f t="shared" si="14"/>
        <v>53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466</v>
      </c>
      <c r="AS77" s="25">
        <f t="shared" si="17"/>
        <v>394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1719</v>
      </c>
      <c r="CJ77" s="25">
        <f>+SUM(CJ14:CJ76)</f>
        <v>1719</v>
      </c>
      <c r="CK77" s="25">
        <f>+SUM(CK14:CK76)</f>
        <v>0</v>
      </c>
      <c r="CL77" s="25">
        <f>+SUM(CL14:CL76)</f>
        <v>1719</v>
      </c>
      <c r="CM77" s="25"/>
      <c r="CN77" s="25"/>
      <c r="CO77" s="25">
        <f>+SUM(CO14:CO76)</f>
        <v>8507</v>
      </c>
      <c r="CP77" s="25">
        <f>+SUM(CP14:CP76)</f>
        <v>8507</v>
      </c>
      <c r="CQ77" s="25">
        <f>+SUM(CQ14:CQ76)</f>
        <v>6788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2026-10-29T02:39:29Z</dcterms:modified>
</cp:coreProperties>
</file>