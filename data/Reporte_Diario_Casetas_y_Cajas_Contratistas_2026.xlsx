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E0B0487B-9B34-4093-9718-374097DB06B2}" xr6:coauthVersionLast="47" xr6:coauthVersionMax="47" xr10:uidLastSave="{00000000-0000-0000-0000-000000000000}"/>
  <bookViews>
    <workbookView xWindow="2304" yWindow="230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U13" i="3" s="1"/>
  <c r="BT77" i="3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M13" i="3" s="1"/>
  <c r="AL77" i="3"/>
  <c r="AL13" i="3" s="1"/>
  <c r="AK77" i="3"/>
  <c r="AK13" i="3" s="1"/>
  <c r="AJ77" i="3"/>
  <c r="AJ13" i="3" s="1"/>
  <c r="AI77" i="3"/>
  <c r="AI13" i="3" s="1"/>
  <c r="AH77" i="3"/>
  <c r="AH13" i="3" s="1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T13" i="3"/>
  <c r="E16" i="1"/>
  <c r="E15" i="1"/>
  <c r="E14" i="1"/>
  <c r="E13" i="1"/>
  <c r="E12" i="1"/>
  <c r="E11" i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W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N14" i="2"/>
  <c r="CQ72" i="3" l="1"/>
  <c r="CN85" i="2"/>
  <c r="D20" i="1"/>
  <c r="AK13" i="2"/>
  <c r="D19" i="1"/>
  <c r="AJ13" i="2"/>
  <c r="D18" i="1"/>
  <c r="AI13" i="2"/>
  <c r="D17" i="1"/>
  <c r="AH13" i="2"/>
  <c r="D16" i="1"/>
  <c r="F16" i="1" s="1"/>
  <c r="AG13" i="2"/>
  <c r="D15" i="1"/>
  <c r="F15" i="1" s="1"/>
  <c r="AF13" i="2"/>
  <c r="D14" i="1"/>
  <c r="F14" i="1" s="1"/>
  <c r="AE13" i="2"/>
  <c r="D13" i="1"/>
  <c r="F13" i="1" s="1"/>
  <c r="AD13" i="2"/>
  <c r="D12" i="1"/>
  <c r="F12" i="1" s="1"/>
  <c r="AC13" i="2"/>
  <c r="D11" i="1"/>
  <c r="AB13" i="2"/>
  <c r="CQ74" i="3"/>
  <c r="CQ65" i="3"/>
  <c r="CQ63" i="3"/>
  <c r="CQ55" i="3"/>
  <c r="CQ54" i="3"/>
  <c r="CQ42" i="3"/>
  <c r="CQ41" i="3"/>
  <c r="CQ34" i="3"/>
  <c r="CQ33" i="3"/>
  <c r="CQ32" i="3"/>
  <c r="CQ31" i="3"/>
  <c r="CQ26" i="3"/>
  <c r="CQ24" i="3"/>
  <c r="CQ17" i="3"/>
  <c r="AO13" i="3"/>
  <c r="E18" i="1"/>
  <c r="F18" i="1" s="1"/>
  <c r="AN13" i="3"/>
  <c r="E17" i="1"/>
  <c r="F17" i="1" s="1"/>
  <c r="AQ13" i="3"/>
  <c r="E20" i="1"/>
  <c r="F20" i="1" s="1"/>
  <c r="AP13" i="3"/>
  <c r="E19" i="1"/>
  <c r="CP14" i="3"/>
  <c r="CO77" i="3"/>
  <c r="CJ14" i="3"/>
  <c r="CH77" i="3"/>
  <c r="F11" i="1"/>
  <c r="D21" i="1"/>
  <c r="CV14" i="2"/>
  <c r="CU79" i="2"/>
  <c r="CN79" i="2"/>
  <c r="CP14" i="2"/>
  <c r="CQ36" i="3"/>
  <c r="CQ23" i="3"/>
  <c r="CQ52" i="3"/>
  <c r="CQ51" i="3"/>
  <c r="CQ50" i="3"/>
  <c r="CQ49" i="3"/>
  <c r="CQ48" i="3"/>
  <c r="CQ47" i="3"/>
  <c r="CQ46" i="3"/>
  <c r="CQ30" i="3"/>
  <c r="CQ28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Q76" i="3"/>
  <c r="CQ75" i="3"/>
  <c r="CQ73" i="3"/>
  <c r="CQ71" i="3"/>
  <c r="CQ64" i="3"/>
  <c r="CQ62" i="3"/>
  <c r="CQ61" i="3"/>
  <c r="CQ57" i="3"/>
  <c r="CQ45" i="3"/>
  <c r="CQ44" i="3"/>
  <c r="CQ38" i="3"/>
  <c r="CQ27" i="3"/>
  <c r="CQ20" i="3"/>
  <c r="CQ18" i="3"/>
  <c r="CQ16" i="3"/>
  <c r="CQ15" i="3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70" i="3"/>
  <c r="CQ69" i="3"/>
  <c r="CQ68" i="3"/>
  <c r="CQ67" i="3"/>
  <c r="CQ66" i="3"/>
  <c r="CQ60" i="3"/>
  <c r="CQ59" i="3"/>
  <c r="CQ58" i="3"/>
  <c r="CQ56" i="3"/>
  <c r="CQ53" i="3"/>
  <c r="CQ43" i="3"/>
  <c r="CQ40" i="3"/>
  <c r="CQ39" i="3"/>
  <c r="CQ37" i="3"/>
  <c r="CQ35" i="3"/>
  <c r="CQ29" i="3"/>
  <c r="CQ25" i="3"/>
  <c r="CQ22" i="3"/>
  <c r="CQ21" i="3"/>
  <c r="CQ19" i="3"/>
  <c r="E21" i="1" l="1"/>
  <c r="F19" i="1"/>
  <c r="F21" i="1" s="1"/>
  <c r="G21" i="1" s="1"/>
  <c r="CQ14" i="3"/>
  <c r="CQ77" i="3" s="1"/>
  <c r="CP77" i="3"/>
  <c r="CJ77" i="3"/>
  <c r="CL14" i="3"/>
  <c r="CL77" i="3" s="1"/>
  <c r="I3" i="2"/>
  <c r="D3" i="3"/>
  <c r="E6" i="1"/>
  <c r="CH13" i="3"/>
  <c r="G11" i="1"/>
  <c r="G12" i="1" s="1"/>
  <c r="G13" i="1" s="1"/>
  <c r="G14" i="1" s="1"/>
  <c r="G15" i="1" s="1"/>
  <c r="G16" i="1" s="1"/>
  <c r="G17" i="1" s="1"/>
  <c r="G18" i="1" s="1"/>
  <c r="CW14" i="2"/>
  <c r="CW79" i="2" s="1"/>
  <c r="CV79" i="2"/>
  <c r="I3" i="3"/>
  <c r="B6" i="1"/>
  <c r="H6" i="1" s="1"/>
  <c r="CN13" i="2"/>
  <c r="D3" i="2"/>
  <c r="CR14" i="2"/>
  <c r="CR79" i="2" s="1"/>
  <c r="CP79" i="2"/>
  <c r="G19" i="1" l="1"/>
  <c r="G20" i="1" s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<sst xmlns="http://schemas.openxmlformats.org/spreadsheetml/2006/main" count="580" uniqueCount="171">
  <si>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</si>
  <si>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</si>
  <si>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</si>
  <si>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</si>
  <si>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</si>
  <si>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</si>
  <si>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</si>
  <si>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</si>
  <si>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</si>
  <si>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</si>
  <si>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</si>
  <si>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</si>
  <si>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</si>
  <si>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</si>
  <si>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</si>
  <si>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</si>
  <si>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</si>
  <si>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</si>
  <si>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</si>
  <si>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</si>
  <si>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</si>
  <si>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</si>
  <si>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</si>
  <si>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</si>
  <si>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</si>
  <si>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</si>
  <si>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</si>
  <si>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</si>
  <si>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</si>
  <si>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</si>
  <si>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</si>
  <si>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</si>
  <si>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</si>
  <si>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</si>
  <si>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</si>
  <si>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</si>
  <si>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</si>
  <si>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</si>
  <si>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</si>
  <si>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</si>
  <si>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</si>
  <si>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</si>
  <si>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</si>
  <si>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</si>
  <si>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</si>
  <si>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</si>
  <si>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</si>
  <si>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</si>
  <si>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</si>
  <si>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</si>
  <si>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</si>
  <si>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</si>
  <si>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</si>
  <si>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</si>
  <si>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</si>
  <si>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</si>
  <si>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</si>
  <si>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</si>
  <si>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</si>
  <si>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</si>
  <si>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</si>
  <si>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</si>
  <si>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</si>
  <si>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</si>
  <si>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</si>
  <si>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</si>
  <si>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</si>
  <si>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</si>
  <si>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</si>
  <si>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</si>
  <si>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</si>
  <si>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</si>
  <si>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</si>
  <si>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</si>
  <si>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</si>
  <si>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</si>
  <si>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</si>
  <si>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</si>
  <si>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</si>
  <si>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</si>
  <si>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</si>
  <si>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</si>
  <si>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</si>
  <si>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</si>
  <si>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</si>
  <si>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</si>
  <si>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</si>
  <si>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</si>
  <si>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</si>
  <si>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</si>
  <si>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</si>
  <si>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</si>
  <si>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</si>
  <si>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</si>
  <si>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</si>
  <si>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</si>
  <si>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</si>
  <si>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</si>
  <si>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</si>
  <si>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</si>
  <si>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</si>
  <si>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</si>
  <si>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</si>
  <si>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</si>
  <si>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</si>
  <si>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</si>
  <si>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</si>
  <si>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</si>
  <si>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</si>
  <si>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</si>
  <si>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</si>
  <si>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</si>
  <si>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10:14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</si>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</sst>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515</v>
      </c>
      <c r="C6" s="89"/>
      <c r="E6" s="88">
        <f>'Programa CAJAS REPORTE DIARIO'!CH77</f>
        <v>1352</v>
      </c>
      <c r="F6" s="89"/>
      <c r="H6" s="101">
        <f>B6+E6</f>
        <v>1867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515</v>
      </c>
      <c r="F3" s="79" t="s">
        <v>1</v>
      </c>
      <c r="I3" s="80">
        <f>'Programa CAJAS REPORTE DIARIO'!CH77+CN79</f>
        <v>1867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33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515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151</v>
      </c>
      <c r="CP27" s="27">
        <f t="shared" si="4"/>
        <v>151</v>
      </c>
      <c r="CQ27" s="22">
        <v>0</v>
      </c>
      <c r="CR27" s="22">
        <f t="shared" si="5"/>
        <v>151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219.5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117</v>
      </c>
      <c r="CP28" s="27">
        <f t="shared" si="4"/>
        <v>117</v>
      </c>
      <c r="CQ28" s="22">
        <v>0</v>
      </c>
      <c r="CR28" s="22">
        <f t="shared" si="5"/>
        <v>117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1260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33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515</v>
      </c>
      <c r="CP79" s="25">
        <f>+SUM(CP14:CP78)</f>
        <v>515</v>
      </c>
      <c r="CQ79" s="25">
        <f>+SUM(CQ14:CQ78)</f>
        <v>0</v>
      </c>
      <c r="CR79" s="25">
        <f>+SUM(CR14:CR78)</f>
        <v>515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2617.5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153</v>
      </c>
      <c r="D3" s="78">
        <f>+CH77</f>
        <v>1352</v>
      </c>
      <c r="F3" s="79" t="s">
        <v>1</v>
      </c>
      <c r="I3" s="80">
        <f>'Programa CASETAS REPORTE DIARIO'!CN79+CH77</f>
        <v>1867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25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27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1352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2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334</v>
      </c>
      <c r="CJ27" s="27">
        <f t="shared" si="3"/>
        <v>334</v>
      </c>
      <c r="CK27" s="22">
        <v>0</v>
      </c>
      <c r="CL27" s="22">
        <f t="shared" si="4"/>
        <v>334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452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218</v>
      </c>
      <c r="CJ28" s="27">
        <f t="shared" si="3"/>
        <v>218</v>
      </c>
      <c r="CK28" s="22">
        <v>0</v>
      </c>
      <c r="CL28" s="22">
        <f t="shared" si="4"/>
        <v>218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-40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2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84</v>
      </c>
      <c r="CJ35" s="27">
        <f t="shared" si="3"/>
        <v>84</v>
      </c>
      <c r="CK35" s="22">
        <v>0</v>
      </c>
      <c r="CL35" s="22">
        <f t="shared" si="4"/>
        <v>84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15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61</v>
      </c>
      <c r="CJ43" s="27">
        <f t="shared" si="3"/>
        <v>61</v>
      </c>
      <c r="CK43" s="22">
        <v>0</v>
      </c>
      <c r="CL43" s="22">
        <f t="shared" si="4"/>
        <v>61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169</v>
      </c>
      <c r="CJ46" s="27">
        <f t="shared" ref="CJ46:CJ76" si="11">CH46</f>
        <v>169</v>
      </c>
      <c r="CK46" s="22">
        <v>0</v>
      </c>
      <c r="CL46" s="22">
        <f t="shared" ref="CL46:CL77" si="12">CJ46+CK46</f>
        <v>169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162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6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49</v>
      </c>
      <c r="CJ55" s="27">
        <f t="shared" si="11"/>
        <v>49</v>
      </c>
      <c r="CK55" s="22">
        <v>0</v>
      </c>
      <c r="CL55" s="22">
        <f t="shared" si="12"/>
        <v>49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-19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2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33</v>
      </c>
      <c r="CJ61" s="27">
        <f t="shared" si="11"/>
        <v>33</v>
      </c>
      <c r="CK61" s="22">
        <v>0</v>
      </c>
      <c r="CL61" s="22">
        <f t="shared" si="12"/>
        <v>33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47</v>
      </c>
      <c r="CJ70" s="27">
        <f t="shared" si="11"/>
        <v>47</v>
      </c>
      <c r="CK70" s="22">
        <v>0</v>
      </c>
      <c r="CL70" s="22">
        <f t="shared" si="12"/>
        <v>47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27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1352</v>
      </c>
      <c r="CJ77" s="25">
        <f>+SUM(CJ14:CJ76)</f>
        <v>1352</v>
      </c>
      <c r="CK77" s="25">
        <f>+SUM(CK14:CK76)</f>
        <v>0</v>
      </c>
      <c r="CL77" s="25">
        <f>+SUM(CL14:CL76)</f>
        <v>1352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5635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2026-10-28T16:14:34Z</dcterms:modified>
</cp:coreProperties>
</file>