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3F1CF7E-F131-4364-9B1A-C3A835931C9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CW68" i="2" l="1"/>
  <c r="CW66" i="2"/>
  <c r="CW63" i="2"/>
  <c r="CW59" i="2"/>
  <c r="CW58" i="2"/>
  <c r="CW55" i="2"/>
  <c r="CW54" i="2"/>
  <c r="CW52" i="2"/>
  <c r="CW51" i="2"/>
  <c r="CW48" i="2"/>
  <c r="CW47" i="2"/>
  <c r="CW46" i="2"/>
  <c r="CW44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70" i="2"/>
  <c r="CW43" i="2"/>
  <c r="CW15" i="2"/>
  <c r="CN79" i="2"/>
  <c r="E23" i="1"/>
  <c r="F23" i="1" s="1"/>
  <c r="AT13" i="3"/>
  <c r="AS13" i="3"/>
  <c r="E22" i="1"/>
  <c r="F22" i="1" s="1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AI13" i="3"/>
  <c r="E12" i="1"/>
  <c r="F12" i="1" s="1"/>
  <c r="AH13" i="3"/>
  <c r="E11" i="1"/>
  <c r="CP14" i="3"/>
  <c r="CO77" i="3"/>
  <c r="CH77" i="3"/>
  <c r="CJ14" i="3"/>
  <c r="F11" i="1"/>
  <c r="D24" i="1"/>
  <c r="CU79" i="2"/>
  <c r="CV14" i="2"/>
  <c r="CP79" i="2"/>
  <c r="CR14" i="2"/>
  <c r="CR79" i="2" s="1"/>
  <c r="B6" i="1"/>
  <c r="I3" i="3"/>
  <c r="D3" i="2"/>
  <c r="CN13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6" i="2"/>
  <c r="CW75" i="2"/>
  <c r="CW74" i="2"/>
  <c r="CW72" i="2"/>
  <c r="CW71" i="2"/>
  <c r="CW64" i="2"/>
  <c r="CW62" i="2"/>
  <c r="CW61" i="2"/>
  <c r="CW56" i="2"/>
  <c r="CW53" i="2"/>
  <c r="CW45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67" i="2"/>
  <c r="CW65" i="2"/>
  <c r="CW60" i="2"/>
  <c r="CW57" i="2"/>
  <c r="CW49" i="2"/>
  <c r="CW73" i="2"/>
  <c r="CW69" i="2"/>
  <c r="CW50" i="2"/>
  <c r="E24" i="1" l="1"/>
  <c r="CP77" i="3"/>
  <c r="CQ14" i="3"/>
  <c r="CQ77" i="3" s="1"/>
  <c r="E6" i="1"/>
  <c r="H6" i="1" s="1"/>
  <c r="D3" i="3"/>
  <c r="CH13" i="3"/>
  <c r="I3" i="2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<sst xmlns="http://schemas.openxmlformats.org/spreadsheetml/2006/main" count="589" uniqueCount="175">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</sst>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699</v>
      </c>
      <c r="C6" s="89"/>
      <c r="E6" s="88">
        <f>'Programa CAJAS REPORTE DIARIO'!CH77</f>
        <v>1865</v>
      </c>
      <c r="F6" s="89"/>
      <c r="H6" s="101">
        <f>B6+E6</f>
        <v>2564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40</v>
      </c>
      <c r="E23" s="70">
        <f>'Programa CAJAS REPORTE DIARIO'!AT77</f>
        <v>136</v>
      </c>
      <c r="F23" s="70">
        <f t="shared" si="0"/>
        <v>176</v>
      </c>
      <c r="G23" s="70">
        <f t="shared" si="1"/>
        <v>2564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699</v>
      </c>
      <c r="E24" s="75">
        <f>SUM(E11:E23)</f>
        <v>1865</v>
      </c>
      <c r="F24" s="75">
        <f>SUM(F11:F23)</f>
        <v>2564</v>
      </c>
      <c r="G24" s="75">
        <f>F24</f>
        <v>2564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699</v>
      </c>
      <c r="F3" s="79" t="s">
        <v>1</v>
      </c>
      <c r="I3" s="80">
        <f>'Programa CAJAS REPORTE DIARIO'!CH77+CN79</f>
        <v>2564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11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156</v>
      </c>
      <c r="CP28" s="27">
        <f t="shared" si="4"/>
        <v>156</v>
      </c>
      <c r="CQ28" s="22">
        <v>0</v>
      </c>
      <c r="CR28" s="22">
        <f t="shared" si="5"/>
        <v>156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8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94</v>
      </c>
      <c r="CP29" s="27">
        <f t="shared" si="4"/>
        <v>94</v>
      </c>
      <c r="CQ29" s="22">
        <v>0</v>
      </c>
      <c r="CR29" s="22">
        <f t="shared" si="5"/>
        <v>94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16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16</v>
      </c>
      <c r="CP56" s="27">
        <f t="shared" si="11"/>
        <v>16</v>
      </c>
      <c r="CQ56" s="22">
        <v>0</v>
      </c>
      <c r="CR56" s="22">
        <f t="shared" si="12"/>
        <v>16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699</v>
      </c>
      <c r="CP79" s="25">
        <f>+SUM(CP14:CP78)</f>
        <v>699</v>
      </c>
      <c r="CQ79" s="25">
        <f>+SUM(CQ14:CQ78)</f>
        <v>0</v>
      </c>
      <c r="CR79" s="25">
        <f>+SUM(CR14:CR78)</f>
        <v>699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6567.5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1865</v>
      </c>
      <c r="F3" s="79" t="s">
        <v>1</v>
      </c>
      <c r="I3" s="80">
        <f>'Programa CASETAS REPORTE DIARIO'!CN79+CH77</f>
        <v>2564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136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1865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380</v>
      </c>
      <c r="CJ27" s="27">
        <f t="shared" si="3"/>
        <v>380</v>
      </c>
      <c r="CK27" s="22">
        <v>0</v>
      </c>
      <c r="CL27" s="22">
        <f t="shared" si="4"/>
        <v>380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289</v>
      </c>
      <c r="CJ28" s="27">
        <f t="shared" si="3"/>
        <v>289</v>
      </c>
      <c r="CK28" s="22">
        <v>0</v>
      </c>
      <c r="CL28" s="22">
        <f t="shared" si="4"/>
        <v>289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126</v>
      </c>
      <c r="CJ43" s="27">
        <f t="shared" si="3"/>
        <v>126</v>
      </c>
      <c r="CK43" s="22">
        <v>0</v>
      </c>
      <c r="CL43" s="22">
        <f t="shared" si="4"/>
        <v>126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</v>
      </c>
      <c r="CJ53" s="27">
        <f t="shared" si="11"/>
        <v>6</v>
      </c>
      <c r="CK53" s="22">
        <v>0</v>
      </c>
      <c r="CL53" s="22">
        <f t="shared" si="12"/>
        <v>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24</v>
      </c>
      <c r="CP64" s="14">
        <f t="shared" si="13"/>
        <v>24</v>
      </c>
      <c r="CQ64" s="14">
        <f t="shared" si="14"/>
        <v>-28</v>
      </c>
      <c r="CR64" s="43"/>
      <c r="CS64" s="17">
        <v>4</v>
      </c>
      <c r="CV64">
        <v>3</v>
      </c>
      <c r="DB64">
        <v>17</v>
      </c>
      <c r="DC64" s="14">
        <f t="shared" si="15"/>
        <v>24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136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1865</v>
      </c>
      <c r="CJ77" s="25">
        <f>+SUM(CJ14:CJ76)</f>
        <v>1865</v>
      </c>
      <c r="CK77" s="25">
        <f>+SUM(CK14:CK76)</f>
        <v>0</v>
      </c>
      <c r="CL77" s="25">
        <f>+SUM(CL14:CL76)</f>
        <v>1865</v>
      </c>
      <c r="CM77" s="25"/>
      <c r="CN77" s="25"/>
      <c r="CO77" s="25">
        <f>+SUM(CO14:CO76)</f>
        <v>10295</v>
      </c>
      <c r="CP77" s="25">
        <f>+SUM(CP14:CP76)</f>
        <v>10295</v>
      </c>
      <c r="CQ77" s="25">
        <f>+SUM(CQ14:CQ76)</f>
        <v>8430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2026-10-29T17:15:19Z</dcterms:modified>
</cp:coreProperties>
</file>