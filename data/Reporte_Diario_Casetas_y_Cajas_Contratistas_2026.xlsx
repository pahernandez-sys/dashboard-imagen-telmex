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1AE6F444-9890-492A-AF9C-3A79E92E5CEF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DD63" i="2"/>
  <c r="CU63" i="2" s="1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DD16" i="2"/>
  <c r="CU16" i="2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/>
  <c r="CV14" i="2" s="1"/>
  <c r="CN14" i="2"/>
  <c r="CP14" i="2" s="1"/>
  <c r="CQ57" i="3" l="1"/>
  <c r="CW75" i="2"/>
  <c r="CQ49" i="3"/>
  <c r="CQ47" i="3"/>
  <c r="CQ30" i="3"/>
  <c r="CQ17" i="3"/>
  <c r="CQ24" i="3"/>
  <c r="CN85" i="2"/>
  <c r="CW64" i="2"/>
  <c r="CR64" i="2"/>
  <c r="CW60" i="2"/>
  <c r="E22" i="1"/>
  <c r="AS13" i="3"/>
  <c r="E21" i="1"/>
  <c r="AR13" i="3"/>
  <c r="E20" i="1"/>
  <c r="AQ13" i="3"/>
  <c r="E19" i="1"/>
  <c r="AP13" i="3"/>
  <c r="AO13" i="3"/>
  <c r="E18" i="1"/>
  <c r="AN13" i="3"/>
  <c r="E17" i="1"/>
  <c r="AM13" i="3"/>
  <c r="E16" i="1"/>
  <c r="AL13" i="3"/>
  <c r="E15" i="1"/>
  <c r="E14" i="1"/>
  <c r="AK13" i="3"/>
  <c r="AJ13" i="3"/>
  <c r="E13" i="1"/>
  <c r="E12" i="1"/>
  <c r="AI13" i="3"/>
  <c r="E11" i="1"/>
  <c r="E23" i="1" s="1"/>
  <c r="AH13" i="3"/>
  <c r="CH77" i="3"/>
  <c r="CJ19" i="3"/>
  <c r="CP14" i="3"/>
  <c r="CO77" i="3"/>
  <c r="CL14" i="3"/>
  <c r="CJ77" i="3"/>
  <c r="D22" i="1"/>
  <c r="F22" i="1" s="1"/>
  <c r="AM13" i="2"/>
  <c r="D21" i="1"/>
  <c r="F21" i="1" s="1"/>
  <c r="AL13" i="2"/>
  <c r="D20" i="1"/>
  <c r="F20" i="1" s="1"/>
  <c r="AK13" i="2"/>
  <c r="AJ13" i="2"/>
  <c r="D19" i="1"/>
  <c r="AI13" i="2"/>
  <c r="D18" i="1"/>
  <c r="D17" i="1"/>
  <c r="AH13" i="2"/>
  <c r="D16" i="1"/>
  <c r="AG13" i="2"/>
  <c r="D15" i="1"/>
  <c r="AF13" i="2"/>
  <c r="D14" i="1"/>
  <c r="AE13" i="2"/>
  <c r="D13" i="1"/>
  <c r="AD13" i="2"/>
  <c r="AC13" i="2"/>
  <c r="D12" i="1"/>
  <c r="D11" i="1"/>
  <c r="AB13" i="2"/>
  <c r="CV30" i="2"/>
  <c r="CW30" i="2" s="1"/>
  <c r="CU79" i="2"/>
  <c r="CN79" i="2"/>
  <c r="CP17" i="2"/>
  <c r="CW14" i="2"/>
  <c r="CV79" i="2"/>
  <c r="CR14" i="2"/>
  <c r="CP79" i="2"/>
  <c r="CQ42" i="3"/>
  <c r="CQ41" i="3"/>
  <c r="CQ40" i="3"/>
  <c r="CQ39" i="3"/>
  <c r="CQ38" i="3"/>
  <c r="CQ37" i="3"/>
  <c r="CQ36" i="3"/>
  <c r="CQ35" i="3"/>
  <c r="CQ34" i="3"/>
  <c r="CQ33" i="3"/>
  <c r="CQ32" i="3"/>
  <c r="CQ31" i="3"/>
  <c r="CQ28" i="3"/>
  <c r="CQ27" i="3"/>
  <c r="CQ26" i="3"/>
  <c r="CQ25" i="3"/>
  <c r="CQ23" i="3"/>
  <c r="CQ22" i="3"/>
  <c r="CQ21" i="3"/>
  <c r="CQ18" i="3"/>
  <c r="CQ16" i="3"/>
  <c r="CQ15" i="3"/>
  <c r="CQ46" i="3"/>
  <c r="CQ45" i="3"/>
  <c r="CQ44" i="3"/>
  <c r="CQ29" i="3"/>
  <c r="CQ20" i="3"/>
  <c r="CQ48" i="3"/>
  <c r="CW78" i="2"/>
  <c r="CW77" i="2"/>
  <c r="CW76" i="2"/>
  <c r="CW74" i="2"/>
  <c r="CW73" i="2"/>
  <c r="CW72" i="2"/>
  <c r="CW71" i="2"/>
  <c r="CW70" i="2"/>
  <c r="CW69" i="2"/>
  <c r="CW68" i="2"/>
  <c r="CW67" i="2"/>
  <c r="CW66" i="2"/>
  <c r="CW65" i="2"/>
  <c r="CW63" i="2"/>
  <c r="CW62" i="2"/>
  <c r="CW61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6" i="2"/>
  <c r="CW15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6" i="3"/>
  <c r="CQ55" i="3"/>
  <c r="CQ54" i="3"/>
  <c r="CQ52" i="3"/>
  <c r="CQ51" i="3"/>
  <c r="CQ43" i="3"/>
  <c r="CQ53" i="3"/>
  <c r="CQ50" i="3"/>
  <c r="I3" i="2" l="1"/>
  <c r="D3" i="3"/>
  <c r="E6" i="1"/>
  <c r="CH13" i="3"/>
  <c r="CQ19" i="3"/>
  <c r="CL19" i="3"/>
  <c r="CL77" i="3" s="1"/>
  <c r="CQ14" i="3"/>
  <c r="CQ77" i="3" s="1"/>
  <c r="CP77" i="3"/>
  <c r="F11" i="1"/>
  <c r="D23" i="1"/>
  <c r="D3" i="2"/>
  <c r="CN13" i="2"/>
  <c r="I3" i="3"/>
  <c r="B6" i="1"/>
  <c r="H6" i="1" s="1"/>
  <c r="CW17" i="2"/>
  <c r="CW79" i="2" s="1"/>
  <c r="CR17" i="2"/>
  <c r="CR79" i="2" s="1"/>
  <c r="F19" i="1"/>
  <c r="F18" i="1"/>
  <c r="F17" i="1"/>
  <c r="F16" i="1"/>
  <c r="F15" i="1"/>
  <c r="F14" i="1"/>
  <c r="F13" i="1"/>
  <c r="F12" i="1"/>
  <c r="F23" i="1" l="1"/>
  <c r="G23" i="1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<sst xmlns="http://schemas.openxmlformats.org/spreadsheetml/2006/main" count="586" uniqueCount="174">
  <si>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</si>
  <si>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</si>
  <si>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</si>
  <si>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</si>
  <si>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</si>
  <si>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</si>
  <si>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</si>
  <si>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</si>
  <si>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</si>
  <si>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</si>
  <si>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</si>
  <si>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</si>
  <si>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</si>
  <si>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</si>
  <si>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</si>
  <si>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</si>
  <si>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</si>
  <si>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</si>
  <si>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</si>
  <si>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</si>
  <si>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</si>
  <si>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</si>
  <si>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</si>
  <si>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</si>
  <si>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</si>
  <si>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</si>
  <si>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</si>
  <si>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</si>
  <si>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</si>
  <si>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</si>
  <si>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</si>
  <si>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</si>
  <si>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</si>
  <si>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</si>
  <si>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</si>
  <si>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</si>
  <si>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</si>
  <si>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</si>
  <si>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</si>
  <si>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</si>
  <si>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</si>
  <si>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</si>
  <si>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</si>
  <si>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</si>
  <si>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</si>
  <si>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</si>
  <si>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</si>
  <si>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</si>
  <si>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</si>
  <si>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</si>
  <si>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</si>
  <si>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</si>
  <si>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</si>
  <si>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</si>
  <si>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</si>
  <si>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</si>
  <si>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</si>
  <si>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</si>
  <si>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</si>
  <si>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</si>
  <si>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</si>
  <si>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</si>
  <si>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</si>
  <si>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</si>
  <si>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</si>
  <si>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</si>
  <si>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</si>
  <si>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</si>
  <si>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</si>
  <si>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</si>
  <si>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</si>
  <si>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</si>
  <si>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</si>
  <si>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</si>
  <si>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</si>
  <si>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</si>
  <si>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</si>
  <si>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</si>
  <si>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</si>
  <si>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</si>
  <si>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</si>
  <si>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</si>
  <si>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</si>
  <si>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</si>
  <si>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</si>
  <si>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</si>
  <si>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</si>
  <si>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</si>
  <si>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</si>
  <si>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</si>
  <si>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</si>
  <si>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</si>
  <si>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</si>
  <si>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</si>
  <si>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</si>
  <si>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</si>
  <si>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</si>
  <si>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</si>
  <si>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</si>
  <si>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</si>
  <si>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</si>
  <si>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</si>
  <si>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</si>
  <si>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</si>
  <si>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</si>
  <si>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</si>
  <si>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</si>
  <si>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</si>
  <si>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</si>
  <si>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</si>
  <si>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</si>
  <si>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</si>
  <si>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15:55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</si>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</sst>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617</v>
      </c>
      <c r="C6" s="89"/>
      <c r="E6" s="88">
        <f>'Programa CAJAS REPORTE DIARIO'!CH77</f>
        <v>1558</v>
      </c>
      <c r="F6" s="89"/>
      <c r="H6" s="101">
        <f>B6+E6</f>
        <v>2175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135</v>
      </c>
      <c r="E22" s="72">
        <f>'Programa CAJAS REPORTE DIARIO'!AS77</f>
        <v>233</v>
      </c>
      <c r="F22" s="72">
        <f t="shared" si="0"/>
        <v>368</v>
      </c>
      <c r="G22" s="72">
        <f t="shared" si="1"/>
        <v>2175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617</v>
      </c>
      <c r="E23" s="75">
        <f>SUM(E11:E22)</f>
        <v>1558</v>
      </c>
      <c r="F23" s="75">
        <f>SUM(F11:F22)</f>
        <v>2175</v>
      </c>
      <c r="G23" s="75">
        <f>F23</f>
        <v>2175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617</v>
      </c>
      <c r="F3" s="79" t="s">
        <v>1</v>
      </c>
      <c r="I3" s="80">
        <f>'Programa CAJAS REPORTE DIARIO'!CH77+CN79</f>
        <v>2175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135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617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28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178</v>
      </c>
      <c r="CP27" s="27">
        <f t="shared" si="4"/>
        <v>178</v>
      </c>
      <c r="CQ27" s="22">
        <v>0</v>
      </c>
      <c r="CR27" s="22">
        <f t="shared" si="5"/>
        <v>178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192.5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26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141</v>
      </c>
      <c r="CP28" s="27">
        <f t="shared" si="4"/>
        <v>141</v>
      </c>
      <c r="CQ28" s="22">
        <v>0</v>
      </c>
      <c r="CR28" s="22">
        <f t="shared" si="5"/>
        <v>141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1236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17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60</v>
      </c>
      <c r="CP42" s="27">
        <f t="shared" si="4"/>
        <v>60</v>
      </c>
      <c r="CQ42" s="22">
        <v>0</v>
      </c>
      <c r="CR42" s="22">
        <f t="shared" si="5"/>
        <v>60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-60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3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17</v>
      </c>
      <c r="CP51" s="27">
        <f t="shared" si="11"/>
        <v>17</v>
      </c>
      <c r="CQ51" s="22">
        <v>0</v>
      </c>
      <c r="CR51" s="22">
        <f t="shared" si="12"/>
        <v>17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733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34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36</v>
      </c>
      <c r="CP58" s="27">
        <f t="shared" si="11"/>
        <v>36</v>
      </c>
      <c r="CQ58" s="22">
        <v>0</v>
      </c>
      <c r="CR58" s="22">
        <f t="shared" si="12"/>
        <v>36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1643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135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617</v>
      </c>
      <c r="CP79" s="25">
        <f>+SUM(CP14:CP78)</f>
        <v>617</v>
      </c>
      <c r="CQ79" s="25">
        <f>+SUM(CQ14:CQ78)</f>
        <v>0</v>
      </c>
      <c r="CR79" s="25">
        <f>+SUM(CR14:CR78)</f>
        <v>617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6465.5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1558</v>
      </c>
      <c r="F3" s="79" t="s">
        <v>1</v>
      </c>
      <c r="I3" s="80">
        <f>'Programa CASETAS REPORTE DIARIO'!CN79+CH77</f>
        <v>2175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233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1558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29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361</v>
      </c>
      <c r="CJ27" s="27">
        <f t="shared" si="3"/>
        <v>361</v>
      </c>
      <c r="CK27" s="22">
        <v>0</v>
      </c>
      <c r="CL27" s="22">
        <f t="shared" si="4"/>
        <v>361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425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45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257</v>
      </c>
      <c r="CJ28" s="27">
        <f t="shared" si="3"/>
        <v>257</v>
      </c>
      <c r="CK28" s="22">
        <v>0</v>
      </c>
      <c r="CL28" s="22">
        <f t="shared" si="4"/>
        <v>257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-79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6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88</v>
      </c>
      <c r="CJ35" s="27">
        <f t="shared" si="3"/>
        <v>88</v>
      </c>
      <c r="CK35" s="22">
        <v>0</v>
      </c>
      <c r="CL35" s="22">
        <f t="shared" si="4"/>
        <v>88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11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13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43</v>
      </c>
      <c r="CJ36" s="27">
        <f t="shared" si="3"/>
        <v>43</v>
      </c>
      <c r="CK36" s="22">
        <v>0</v>
      </c>
      <c r="CL36" s="22">
        <f t="shared" si="4"/>
        <v>43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-43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1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14</v>
      </c>
      <c r="CJ41" s="27">
        <f t="shared" si="3"/>
        <v>14</v>
      </c>
      <c r="CK41" s="22">
        <v>0</v>
      </c>
      <c r="CL41" s="22">
        <f t="shared" si="4"/>
        <v>14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-1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13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73</v>
      </c>
      <c r="CJ43" s="27">
        <f t="shared" si="3"/>
        <v>73</v>
      </c>
      <c r="CK43" s="22">
        <v>0</v>
      </c>
      <c r="CL43" s="22">
        <f t="shared" si="4"/>
        <v>73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-53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14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183</v>
      </c>
      <c r="CJ46" s="27">
        <f t="shared" ref="CJ46:CJ76" si="11">CH46</f>
        <v>183</v>
      </c>
      <c r="CK46" s="22">
        <v>0</v>
      </c>
      <c r="CL46" s="22">
        <f t="shared" ref="CL46:CL77" si="12">CJ46+CK46</f>
        <v>183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1321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2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31</v>
      </c>
      <c r="CJ50" s="27">
        <f t="shared" si="11"/>
        <v>31</v>
      </c>
      <c r="CK50" s="22">
        <v>0</v>
      </c>
      <c r="CL50" s="22">
        <f t="shared" si="12"/>
        <v>31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171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</v>
      </c>
      <c r="CJ53" s="27">
        <f t="shared" si="11"/>
        <v>5</v>
      </c>
      <c r="CK53" s="22">
        <v>0</v>
      </c>
      <c r="CL53" s="22">
        <f t="shared" si="12"/>
        <v>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22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63</v>
      </c>
      <c r="CJ57" s="27">
        <f t="shared" si="11"/>
        <v>63</v>
      </c>
      <c r="CK57" s="22">
        <v>0</v>
      </c>
      <c r="CL57" s="22">
        <f t="shared" si="12"/>
        <v>63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190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13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44</v>
      </c>
      <c r="CJ61" s="27">
        <f t="shared" si="11"/>
        <v>44</v>
      </c>
      <c r="CK61" s="22">
        <v>0</v>
      </c>
      <c r="CL61" s="22">
        <f t="shared" si="12"/>
        <v>44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-12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27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72</v>
      </c>
      <c r="CJ70" s="27">
        <f t="shared" si="11"/>
        <v>72</v>
      </c>
      <c r="CK70" s="22">
        <v>0</v>
      </c>
      <c r="CL70" s="22">
        <f t="shared" si="12"/>
        <v>72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-58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233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1558</v>
      </c>
      <c r="CJ77" s="25">
        <f>+SUM(CJ14:CJ76)</f>
        <v>1558</v>
      </c>
      <c r="CK77" s="25">
        <f>+SUM(CK14:CK76)</f>
        <v>0</v>
      </c>
      <c r="CL77" s="25">
        <f>+SUM(CL14:CL76)</f>
        <v>1558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6949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2026-10-28T21:55:46Z</dcterms:modified>
</cp:coreProperties>
</file>