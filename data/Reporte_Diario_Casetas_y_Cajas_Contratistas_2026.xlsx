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2746A27-8AE5-4101-8738-D3FA961D639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I13" i="2"/>
  <c r="BH13" i="2"/>
  <c r="BG13" i="2"/>
  <c r="BF13" i="2"/>
  <c r="BE13" i="2"/>
  <c r="BD13" i="2"/>
  <c r="BC13" i="2"/>
  <c r="CW57" i="2" l="1"/>
  <c r="CQ15" i="3"/>
  <c r="CW59" i="2"/>
  <c r="CW51" i="2"/>
  <c r="CW48" i="2"/>
  <c r="AT13" i="3"/>
  <c r="E23" i="1"/>
  <c r="E22" i="1"/>
  <c r="AS13" i="3"/>
  <c r="E21" i="1"/>
  <c r="AR13" i="3"/>
  <c r="AQ13" i="3"/>
  <c r="E20" i="1"/>
  <c r="AP13" i="3"/>
  <c r="E19" i="1"/>
  <c r="AO13" i="3"/>
  <c r="E18" i="1"/>
  <c r="AN13" i="3"/>
  <c r="E17" i="1"/>
  <c r="AM13" i="3"/>
  <c r="E16" i="1"/>
  <c r="AL13" i="3"/>
  <c r="E15" i="1"/>
  <c r="E14" i="1"/>
  <c r="AK13" i="3"/>
  <c r="E13" i="1"/>
  <c r="AJ13" i="3"/>
  <c r="E12" i="1"/>
  <c r="AI13" i="3"/>
  <c r="E11" i="1"/>
  <c r="E24" i="1" s="1"/>
  <c r="AH13" i="3"/>
  <c r="CQ70" i="3"/>
  <c r="CQ66" i="3"/>
  <c r="CQ64" i="3"/>
  <c r="CQ60" i="3"/>
  <c r="CQ59" i="3"/>
  <c r="CQ20" i="3"/>
  <c r="CW44" i="2"/>
  <c r="CW41" i="2"/>
  <c r="CW40" i="2"/>
  <c r="CW38" i="2"/>
  <c r="CW35" i="2"/>
  <c r="CW33" i="2"/>
  <c r="CW31" i="2"/>
  <c r="CW29" i="2"/>
  <c r="CW28" i="2"/>
  <c r="CW27" i="2"/>
  <c r="CW26" i="2"/>
  <c r="CW25" i="2"/>
  <c r="CW24" i="2"/>
  <c r="CW23" i="2"/>
  <c r="CW19" i="2"/>
  <c r="CW17" i="2"/>
  <c r="CW15" i="2"/>
  <c r="CW61" i="2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AB13" i="2"/>
  <c r="D11" i="1"/>
  <c r="CP21" i="2"/>
  <c r="CN79" i="2"/>
  <c r="CW71" i="2"/>
  <c r="CP14" i="3"/>
  <c r="CO77" i="3"/>
  <c r="CH77" i="3"/>
  <c r="CJ14" i="3"/>
  <c r="D24" i="1"/>
  <c r="F11" i="1"/>
  <c r="CV30" i="2"/>
  <c r="CW30" i="2" s="1"/>
  <c r="CU79" i="2"/>
  <c r="CV79" i="2"/>
  <c r="CW14" i="2"/>
  <c r="CR14" i="2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18" i="3"/>
  <c r="CQ17" i="3"/>
  <c r="CQ16" i="3"/>
  <c r="CW22" i="2"/>
  <c r="CW20" i="2"/>
  <c r="CQ76" i="3"/>
  <c r="CQ71" i="3"/>
  <c r="CQ67" i="3"/>
  <c r="CQ62" i="3"/>
  <c r="CQ61" i="3"/>
  <c r="CQ19" i="3"/>
  <c r="CW32" i="2"/>
  <c r="CW18" i="2"/>
  <c r="CW16" i="2"/>
  <c r="CQ74" i="3"/>
  <c r="CQ73" i="3"/>
  <c r="CQ72" i="3"/>
  <c r="CQ68" i="3"/>
  <c r="CW78" i="2"/>
  <c r="CW77" i="2"/>
  <c r="CW76" i="2"/>
  <c r="CW75" i="2"/>
  <c r="CW74" i="2"/>
  <c r="CW58" i="2"/>
  <c r="CW55" i="2"/>
  <c r="CW54" i="2"/>
  <c r="CW52" i="2"/>
  <c r="CW49" i="2"/>
  <c r="CW43" i="2"/>
  <c r="CW42" i="2"/>
  <c r="CQ75" i="3"/>
  <c r="CQ65" i="3"/>
  <c r="CQ63" i="3"/>
  <c r="CW73" i="2"/>
  <c r="CW72" i="2"/>
  <c r="CW70" i="2"/>
  <c r="CW69" i="2"/>
  <c r="CW68" i="2"/>
  <c r="CW67" i="2"/>
  <c r="CW66" i="2"/>
  <c r="CW65" i="2"/>
  <c r="CW64" i="2"/>
  <c r="CW63" i="2"/>
  <c r="CW62" i="2"/>
  <c r="CW60" i="2"/>
  <c r="CW56" i="2"/>
  <c r="CW50" i="2"/>
  <c r="CW47" i="2"/>
  <c r="CW46" i="2"/>
  <c r="CW45" i="2"/>
  <c r="CW39" i="2"/>
  <c r="CW37" i="2"/>
  <c r="CW36" i="2"/>
  <c r="CW34" i="2"/>
  <c r="CQ69" i="3"/>
  <c r="CR21" i="2" l="1"/>
  <c r="CR79" i="2" s="1"/>
  <c r="CP79" i="2"/>
  <c r="CW21" i="2"/>
  <c r="CW79" i="2" s="1"/>
  <c r="I3" i="3"/>
  <c r="CN13" i="2"/>
  <c r="D3" i="2"/>
  <c r="B6" i="1"/>
  <c r="CP77" i="3"/>
  <c r="CQ14" i="3"/>
  <c r="CQ77" i="3" s="1"/>
  <c r="I3" i="2"/>
  <c r="CH13" i="3"/>
  <c r="E6" i="1"/>
  <c r="H6" i="1" s="1"/>
  <c r="D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<sst xmlns="http://schemas.openxmlformats.org/spreadsheetml/2006/main" count="589" uniqueCount="175">
  <si>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</si>
  <si>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</si>
  <si>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</si>
  <si>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</si>
  <si>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</si>
  <si>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</si>
  <si>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</si>
  <si>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</si>
  <si>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</si>
  <si>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</si>
  <si>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</si>
  <si>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</si>
  <si>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</si>
  <si>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</si>
  <si>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</si>
  <si>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</si>
  <si>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</si>
  <si>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</si>
  <si>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</si>
  <si>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</si>
  <si>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</si>
  <si>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</si>
  <si>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</si>
  <si>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</si>
  <si>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</si>
  <si>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</si>
  <si>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</si>
  <si>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</si>
  <si>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</si>
  <si>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</si>
  <si>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</si>
  <si>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</si>
  <si>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</si>
  <si>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</si>
  <si>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</si>
  <si>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</si>
  <si>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</si>
  <si>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</si>
  <si>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</si>
  <si>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</si>
  <si>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</si>
  <si>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</si>
  <si>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</si>
  <si>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</si>
  <si>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</si>
  <si>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</si>
  <si>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</si>
  <si>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</si>
  <si>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</si>
  <si>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</si>
  <si>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</si>
  <si>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</si>
  <si>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</si>
  <si>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</si>
  <si>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</si>
  <si>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</si>
  <si>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</si>
  <si>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</si>
  <si>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</si>
  <si>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</si>
  <si>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</si>
  <si>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</si>
  <si>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</si>
  <si>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</si>
  <si>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</si>
  <si>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</si>
  <si>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</si>
  <si>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</si>
  <si>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</si>
  <si>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</si>
  <si>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</si>
  <si>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</si>
  <si>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</si>
  <si>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</si>
  <si>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</si>
  <si>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</si>
  <si>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</si>
  <si>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</si>
  <si>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</si>
  <si>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</si>
  <si>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</si>
  <si>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</si>
  <si>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</si>
  <si>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</si>
  <si>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</si>
  <si>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</si>
  <si>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</si>
  <si>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</si>
  <si>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</si>
  <si>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</si>
  <si>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</si>
  <si>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</si>
  <si>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</si>
  <si>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</si>
  <si>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</si>
  <si>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</si>
  <si>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</si>
  <si>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</si>
  <si>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</si>
  <si>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</si>
  <si>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</si>
  <si>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</si>
  <si>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</si>
  <si>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</si>
  <si>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</si>
  <si>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</si>
  <si>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</si>
  <si>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</si>
  <si>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</si>
  <si>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</si>
  <si>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</si>
  <si>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</si>
  <si>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15:43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</si>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</sst>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816</v>
      </c>
      <c r="C6" s="89"/>
      <c r="E6" s="88">
        <f>'Programa CAJAS REPORTE DIARIO'!CH77</f>
        <v>2202</v>
      </c>
      <c r="F6" s="89"/>
      <c r="H6" s="101">
        <f>B6+E6</f>
        <v>3018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157</v>
      </c>
      <c r="E23" s="70">
        <f>'Programa CAJAS REPORTE DIARIO'!AT77</f>
        <v>473</v>
      </c>
      <c r="F23" s="70">
        <f t="shared" si="0"/>
        <v>630</v>
      </c>
      <c r="G23" s="70">
        <f t="shared" si="1"/>
        <v>3018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816</v>
      </c>
      <c r="E24" s="75">
        <f>SUM(E11:E23)</f>
        <v>2202</v>
      </c>
      <c r="F24" s="75">
        <f>SUM(F11:F23)</f>
        <v>3018</v>
      </c>
      <c r="G24" s="75">
        <f>F24</f>
        <v>3018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816</v>
      </c>
      <c r="F3" s="79" t="s">
        <v>1</v>
      </c>
      <c r="I3" s="80">
        <f>'Programa CAJAS REPORTE DIARIO'!CH77+CN79</f>
        <v>3018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157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816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190</v>
      </c>
      <c r="CP27" s="27">
        <f t="shared" si="4"/>
        <v>190</v>
      </c>
      <c r="CQ27" s="22">
        <v>0</v>
      </c>
      <c r="CR27" s="22">
        <f t="shared" si="5"/>
        <v>190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25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170</v>
      </c>
      <c r="CP28" s="27">
        <f t="shared" si="4"/>
        <v>170</v>
      </c>
      <c r="CQ28" s="22">
        <v>0</v>
      </c>
      <c r="CR28" s="22">
        <f t="shared" si="5"/>
        <v>170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20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90</v>
      </c>
      <c r="CP42" s="27">
        <f t="shared" si="4"/>
        <v>90</v>
      </c>
      <c r="CQ42" s="22">
        <v>0</v>
      </c>
      <c r="CR42" s="22">
        <f t="shared" si="5"/>
        <v>90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-90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43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43</v>
      </c>
      <c r="CP56" s="27">
        <f t="shared" si="11"/>
        <v>43</v>
      </c>
      <c r="CQ56" s="22">
        <v>0</v>
      </c>
      <c r="CR56" s="22">
        <f t="shared" si="12"/>
        <v>43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-43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157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816</v>
      </c>
      <c r="CP79" s="25">
        <f>+SUM(CP14:CP78)</f>
        <v>816</v>
      </c>
      <c r="CQ79" s="25">
        <f>+SUM(CQ14:CQ78)</f>
        <v>0</v>
      </c>
      <c r="CR79" s="25">
        <f>+SUM(CR14:CR78)</f>
        <v>816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2202</v>
      </c>
      <c r="F3" s="79" t="s">
        <v>1</v>
      </c>
      <c r="I3" s="80">
        <f>'Programa CASETAS REPORTE DIARIO'!CN79+CH77</f>
        <v>3018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473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2202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405</v>
      </c>
      <c r="CJ27" s="27">
        <f t="shared" si="3"/>
        <v>405</v>
      </c>
      <c r="CK27" s="22">
        <v>0</v>
      </c>
      <c r="CL27" s="22">
        <f t="shared" si="4"/>
        <v>405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56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93</v>
      </c>
      <c r="CJ29" s="27">
        <f t="shared" si="3"/>
        <v>93</v>
      </c>
      <c r="CK29" s="22">
        <v>0</v>
      </c>
      <c r="CL29" s="22">
        <f t="shared" si="4"/>
        <v>93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1243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273</v>
      </c>
      <c r="CJ46" s="27">
        <f t="shared" ref="CJ46:CJ76" si="11">CH46</f>
        <v>273</v>
      </c>
      <c r="CK46" s="22">
        <v>0</v>
      </c>
      <c r="CL46" s="22">
        <f t="shared" ref="CL46:CL77" si="12">CJ46+CK46</f>
        <v>273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108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113</v>
      </c>
      <c r="CJ53" s="27">
        <f t="shared" si="11"/>
        <v>113</v>
      </c>
      <c r="CK53" s="22">
        <v>0</v>
      </c>
      <c r="CL53" s="22">
        <f t="shared" si="12"/>
        <v>113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-45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17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64</v>
      </c>
      <c r="CJ61" s="27">
        <f t="shared" si="11"/>
        <v>64</v>
      </c>
      <c r="CK61" s="22">
        <v>0</v>
      </c>
      <c r="CL61" s="22">
        <f t="shared" si="12"/>
        <v>64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473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2202</v>
      </c>
      <c r="CJ77" s="25">
        <f>+SUM(CJ14:CJ76)</f>
        <v>2202</v>
      </c>
      <c r="CK77" s="25">
        <f>+SUM(CK14:CK76)</f>
        <v>0</v>
      </c>
      <c r="CL77" s="25">
        <f>+SUM(CL14:CL76)</f>
        <v>2202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9030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2026-10-29T21:43:02Z</dcterms:modified>
</cp:coreProperties>
</file>