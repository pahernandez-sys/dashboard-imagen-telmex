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711C710-1C3E-42FF-862B-560C562FF2C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T13" i="3" s="1"/>
  <c r="AS77" i="3"/>
  <c r="AS13" i="3" s="1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Q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Q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E23" i="1"/>
  <c r="E22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DD71" i="2"/>
  <c r="CU71" i="2"/>
  <c r="CV71" i="2" s="1"/>
  <c r="CN71" i="2"/>
  <c r="CP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N85" i="2" l="1"/>
  <c r="CW76" i="2"/>
  <c r="CW74" i="2"/>
  <c r="CW70" i="2"/>
  <c r="CW69" i="2"/>
  <c r="CW67" i="2"/>
  <c r="CW66" i="2"/>
  <c r="CW60" i="2"/>
  <c r="CW59" i="2"/>
  <c r="CW54" i="2"/>
  <c r="CW65" i="2"/>
  <c r="CW63" i="2"/>
  <c r="CW62" i="2"/>
  <c r="CW57" i="2"/>
  <c r="CQ42" i="3"/>
  <c r="CQ36" i="3"/>
  <c r="CW64" i="2"/>
  <c r="CQ15" i="3"/>
  <c r="CW53" i="2"/>
  <c r="CW51" i="2"/>
  <c r="CW50" i="2"/>
  <c r="CW49" i="2"/>
  <c r="CW48" i="2"/>
  <c r="CW46" i="2"/>
  <c r="CW44" i="2"/>
  <c r="CW43" i="2"/>
  <c r="CW42" i="2"/>
  <c r="CW41" i="2"/>
  <c r="CW40" i="2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F11" i="1" s="1"/>
  <c r="AN13" i="2"/>
  <c r="D23" i="1"/>
  <c r="F23" i="1" s="1"/>
  <c r="AM13" i="2"/>
  <c r="D22" i="1"/>
  <c r="F22" i="1" s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W71" i="2"/>
  <c r="CR71" i="2"/>
  <c r="CP14" i="3"/>
  <c r="CO77" i="3"/>
  <c r="CH77" i="3"/>
  <c r="CJ14" i="3"/>
  <c r="CP72" i="2"/>
  <c r="CP79" i="2" s="1"/>
  <c r="CN79" i="2"/>
  <c r="CV30" i="2"/>
  <c r="CW30" i="2" s="1"/>
  <c r="CU79" i="2"/>
  <c r="CW14" i="2"/>
  <c r="CV79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5" i="3"/>
  <c r="CQ44" i="3"/>
  <c r="CQ41" i="3"/>
  <c r="CQ40" i="3"/>
  <c r="CQ48" i="3"/>
  <c r="CQ47" i="3"/>
  <c r="CQ46" i="3"/>
  <c r="CQ43" i="3"/>
  <c r="CQ39" i="3"/>
  <c r="CQ38" i="3"/>
  <c r="CQ37" i="3"/>
  <c r="CQ16" i="3"/>
  <c r="CW47" i="2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W78" i="2"/>
  <c r="CW77" i="2"/>
  <c r="CW75" i="2"/>
  <c r="CW68" i="2"/>
  <c r="CW56" i="2"/>
  <c r="CW73" i="2"/>
  <c r="CW61" i="2"/>
  <c r="CW58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W55" i="2"/>
  <c r="CW52" i="2"/>
  <c r="CW45" i="2"/>
  <c r="F16" i="1" l="1"/>
  <c r="F15" i="1"/>
  <c r="F14" i="1"/>
  <c r="F13" i="1"/>
  <c r="F12" i="1"/>
  <c r="F17" i="1"/>
  <c r="D24" i="1"/>
  <c r="E24" i="1"/>
  <c r="F21" i="1"/>
  <c r="F20" i="1"/>
  <c r="F19" i="1"/>
  <c r="F18" i="1"/>
  <c r="CQ14" i="3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CW72" i="2"/>
  <c r="CR72" i="2"/>
  <c r="CR79" i="2" s="1"/>
  <c r="I3" i="3"/>
  <c r="B6" i="1"/>
  <c r="CN13" i="2"/>
  <c r="D3" i="2"/>
  <c r="CW79" i="2"/>
  <c r="F24" i="1" l="1"/>
  <c r="G24" i="1" s="1"/>
  <c r="H6" i="1"/>
  <c r="G21" i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<sst xmlns="http://schemas.openxmlformats.org/spreadsheetml/2006/main" count="589" uniqueCount="175">
  <si>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</si>
  <si>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</si>
  <si>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</si>
  <si>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</si>
  <si>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</si>
  <si>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</si>
  <si>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</si>
  <si>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</si>
  <si>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</si>
  <si>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</si>
  <si>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</si>
  <si>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</si>
  <si>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</si>
  <si>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</si>
  <si>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</si>
  <si>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</si>
  <si>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</si>
  <si>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</si>
  <si>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</si>
  <si>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</si>
  <si>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</si>
  <si>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</si>
  <si>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</si>
  <si>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</si>
  <si>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</si>
  <si>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</si>
  <si>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</si>
  <si>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</si>
  <si>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</si>
  <si>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</si>
  <si>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</si>
  <si>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</si>
  <si>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</si>
  <si>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</si>
  <si>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</si>
  <si>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</si>
  <si>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</si>
  <si>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</si>
  <si>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</si>
  <si>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</si>
  <si>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</si>
  <si>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</si>
  <si>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</si>
  <si>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</si>
  <si>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</si>
  <si>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</si>
  <si>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</si>
  <si>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</si>
  <si>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</si>
  <si>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</si>
  <si>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</si>
  <si>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</si>
  <si>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</si>
  <si>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</si>
  <si>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</si>
  <si>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</si>
  <si>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</si>
  <si>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</si>
  <si>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</si>
  <si>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</si>
  <si>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</si>
  <si>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</si>
  <si>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</si>
  <si>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</si>
  <si>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</si>
  <si>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</si>
  <si>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</si>
  <si>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</si>
  <si>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</si>
  <si>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</si>
  <si>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</si>
  <si>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</si>
  <si>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</si>
  <si>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</si>
  <si>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</si>
  <si>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</si>
  <si>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</si>
  <si>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</si>
  <si>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</si>
  <si>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</si>
  <si>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</si>
  <si>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</si>
  <si>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</si>
  <si>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</si>
  <si>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</si>
  <si>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</si>
  <si>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</si>
  <si>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</si>
  <si>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</si>
  <si>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</si>
  <si>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</si>
  <si>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</si>
  <si>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</si>
  <si>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</si>
  <si>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</si>
  <si>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</si>
  <si>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</si>
  <si>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</si>
  <si>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</si>
  <si>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</si>
  <si>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</si>
  <si>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</si>
  <si>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</si>
  <si>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</si>
  <si>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</si>
  <si>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</si>
  <si>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</si>
  <si>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</si>
  <si>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</si>
  <si>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</si>
  <si>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</si>
  <si>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</si>
  <si>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15:23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</si>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</sst>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788</v>
      </c>
      <c r="C6" s="89"/>
      <c r="E6" s="88">
        <f>'Programa CAJAS REPORTE DIARIO'!CH77</f>
        <v>2116</v>
      </c>
      <c r="F6" s="89"/>
      <c r="H6" s="101">
        <f>B6+E6</f>
        <v>2904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129</v>
      </c>
      <c r="E23" s="70">
        <f>'Programa CAJAS REPORTE DIARIO'!AT77</f>
        <v>387</v>
      </c>
      <c r="F23" s="70">
        <f t="shared" si="0"/>
        <v>516</v>
      </c>
      <c r="G23" s="70">
        <f t="shared" si="1"/>
        <v>2904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788</v>
      </c>
      <c r="E24" s="75">
        <f>SUM(E11:E23)</f>
        <v>2116</v>
      </c>
      <c r="F24" s="75">
        <f>SUM(F11:F23)</f>
        <v>2904</v>
      </c>
      <c r="G24" s="75">
        <f>F24</f>
        <v>2904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788</v>
      </c>
      <c r="F3" s="79" t="s">
        <v>1</v>
      </c>
      <c r="I3" s="80">
        <f>'Programa CAJAS REPORTE DIARIO'!CH77+CN79</f>
        <v>2904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129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788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190</v>
      </c>
      <c r="CP27" s="27">
        <f t="shared" si="4"/>
        <v>190</v>
      </c>
      <c r="CQ27" s="22">
        <v>0</v>
      </c>
      <c r="CR27" s="22">
        <f t="shared" si="5"/>
        <v>190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25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170</v>
      </c>
      <c r="CP28" s="27">
        <f t="shared" si="4"/>
        <v>170</v>
      </c>
      <c r="CQ28" s="22">
        <v>0</v>
      </c>
      <c r="CR28" s="22">
        <f t="shared" si="5"/>
        <v>170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17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87</v>
      </c>
      <c r="CP42" s="27">
        <f t="shared" si="4"/>
        <v>87</v>
      </c>
      <c r="CQ42" s="22">
        <v>0</v>
      </c>
      <c r="CR42" s="22">
        <f t="shared" si="5"/>
        <v>87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39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39</v>
      </c>
      <c r="CP56" s="27">
        <f t="shared" si="11"/>
        <v>39</v>
      </c>
      <c r="CQ56" s="22">
        <v>0</v>
      </c>
      <c r="CR56" s="22">
        <f t="shared" si="12"/>
        <v>39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-39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129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788</v>
      </c>
      <c r="CP79" s="25">
        <f>+SUM(CP14:CP78)</f>
        <v>788</v>
      </c>
      <c r="CQ79" s="25">
        <f>+SUM(CQ14:CQ78)</f>
        <v>0</v>
      </c>
      <c r="CR79" s="25">
        <f>+SUM(CR14:CR78)</f>
        <v>788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6478.5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2116</v>
      </c>
      <c r="F3" s="79" t="s">
        <v>1</v>
      </c>
      <c r="I3" s="80">
        <f>'Programa CASETAS REPORTE DIARIO'!CN79+CH77</f>
        <v>2904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387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2116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405</v>
      </c>
      <c r="CJ27" s="27">
        <f t="shared" si="3"/>
        <v>405</v>
      </c>
      <c r="CK27" s="22">
        <v>0</v>
      </c>
      <c r="CL27" s="22">
        <f t="shared" si="4"/>
        <v>405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19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56</v>
      </c>
      <c r="CJ29" s="27">
        <f t="shared" si="3"/>
        <v>56</v>
      </c>
      <c r="CK29" s="22">
        <v>0</v>
      </c>
      <c r="CL29" s="22">
        <f t="shared" si="4"/>
        <v>56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1280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147</v>
      </c>
      <c r="CJ35" s="27">
        <f t="shared" si="3"/>
        <v>147</v>
      </c>
      <c r="CK35" s="22">
        <v>0</v>
      </c>
      <c r="CL35" s="22">
        <f t="shared" si="4"/>
        <v>147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14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57</v>
      </c>
      <c r="CJ37" s="27">
        <f t="shared" si="3"/>
        <v>57</v>
      </c>
      <c r="CK37" s="22">
        <v>0</v>
      </c>
      <c r="CL37" s="22">
        <f t="shared" si="4"/>
        <v>57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518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99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104</v>
      </c>
      <c r="CJ53" s="27">
        <f t="shared" si="11"/>
        <v>104</v>
      </c>
      <c r="CK53" s="22">
        <v>0</v>
      </c>
      <c r="CL53" s="22">
        <f t="shared" si="12"/>
        <v>104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16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63</v>
      </c>
      <c r="CJ61" s="27">
        <f t="shared" si="11"/>
        <v>63</v>
      </c>
      <c r="CK61" s="22">
        <v>0</v>
      </c>
      <c r="CL61" s="22">
        <f t="shared" si="12"/>
        <v>63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387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2116</v>
      </c>
      <c r="CJ77" s="25">
        <f>+SUM(CJ14:CJ76)</f>
        <v>2116</v>
      </c>
      <c r="CK77" s="25">
        <f>+SUM(CK14:CK76)</f>
        <v>0</v>
      </c>
      <c r="CL77" s="25">
        <f>+SUM(CL14:CL76)</f>
        <v>2116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9116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2026-10-29T21:23:18Z</dcterms:modified>
</cp:coreProperties>
</file>