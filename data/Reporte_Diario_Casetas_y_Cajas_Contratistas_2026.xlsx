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5BBA8C42-44BD-42CA-A3C5-08734612B7E6}" xr6:coauthVersionLast="47" xr6:coauthVersionMax="47" xr10:uidLastSave="{00000000-0000-0000-0000-000000000000}"/>
  <bookViews>
    <workbookView xWindow="2232" yWindow="2232" windowWidth="17280" windowHeight="9960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_FilterDatabase" localSheetId="2" hidden="1">'Programa CAJAS REPORTE DIARIO'!$A$13:$CQ$77</definedName>
    <definedName name="_xlnm._FilterDatabase" localSheetId="1" hidden="1">'Programa CASETAS REPORTE DIARIO'!$A$13:$CW$79</definedName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Q13" i="3" s="1"/>
  <c r="AP77" i="3"/>
  <c r="AP13" i="3" s="1"/>
  <c r="AO77" i="3"/>
  <c r="AO13" i="3" s="1"/>
  <c r="AN77" i="3"/>
  <c r="AN13" i="3" s="1"/>
  <c r="AM77" i="3"/>
  <c r="AM13" i="3" s="1"/>
  <c r="AL77" i="3"/>
  <c r="AL13" i="3" s="1"/>
  <c r="AK77" i="3"/>
  <c r="AK13" i="3" s="1"/>
  <c r="AJ77" i="3"/>
  <c r="AJ13" i="3" s="1"/>
  <c r="AI77" i="3"/>
  <c r="AI13" i="3" s="1"/>
  <c r="AH77" i="3"/>
  <c r="AH13" i="3" s="1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 s="1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P50" i="3"/>
  <c r="CH50" i="3"/>
  <c r="CJ50" i="3" s="1"/>
  <c r="CL50" i="3" s="1"/>
  <c r="DC49" i="3"/>
  <c r="CO49" i="3" s="1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 s="1"/>
  <c r="CP22" i="3" s="1"/>
  <c r="CQ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Z79" i="2"/>
  <c r="Y79" i="2"/>
  <c r="X79" i="2"/>
  <c r="W79" i="2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W15" i="2" s="1"/>
  <c r="CN15" i="2"/>
  <c r="CP15" i="2" s="1"/>
  <c r="CR15" i="2" s="1"/>
  <c r="DD14" i="2"/>
  <c r="CU14" i="2" s="1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E19" i="1"/>
  <c r="D19" i="1"/>
  <c r="F19" i="1" s="1"/>
  <c r="E18" i="1"/>
  <c r="D18" i="1"/>
  <c r="F18" i="1" s="1"/>
  <c r="E17" i="1"/>
  <c r="D17" i="1"/>
  <c r="F17" i="1" s="1"/>
  <c r="E16" i="1"/>
  <c r="D16" i="1"/>
  <c r="F16" i="1" s="1"/>
  <c r="E15" i="1"/>
  <c r="D15" i="1"/>
  <c r="F15" i="1" s="1"/>
  <c r="E14" i="1"/>
  <c r="D14" i="1"/>
  <c r="F14" i="1" s="1"/>
  <c r="E13" i="1"/>
  <c r="D13" i="1"/>
  <c r="F13" i="1" s="1"/>
  <c r="E12" i="1"/>
  <c r="D12" i="1"/>
  <c r="F12" i="1" s="1"/>
  <c r="E11" i="1"/>
  <c r="E20" i="1" s="1"/>
  <c r="D11" i="1"/>
  <c r="CQ25" i="3" l="1"/>
  <c r="CQ63" i="3"/>
  <c r="CQ62" i="3"/>
  <c r="CQ51" i="3"/>
  <c r="CW38" i="2"/>
  <c r="CQ52" i="3"/>
  <c r="CQ24" i="3"/>
  <c r="CQ48" i="3"/>
  <c r="CQ30" i="3"/>
  <c r="CQ29" i="3"/>
  <c r="CQ20" i="3"/>
  <c r="CQ19" i="3"/>
  <c r="CQ16" i="3"/>
  <c r="CW24" i="2"/>
  <c r="CR24" i="2"/>
  <c r="CP14" i="3"/>
  <c r="CO77" i="3"/>
  <c r="CH77" i="3"/>
  <c r="CJ14" i="3"/>
  <c r="CU79" i="2"/>
  <c r="CV14" i="2"/>
  <c r="CP14" i="2"/>
  <c r="CN79" i="2"/>
  <c r="D20" i="1"/>
  <c r="F11" i="1"/>
  <c r="CQ61" i="3"/>
  <c r="CQ60" i="3"/>
  <c r="CQ59" i="3"/>
  <c r="CQ58" i="3"/>
  <c r="CQ57" i="3"/>
  <c r="CQ56" i="3"/>
  <c r="CQ55" i="3"/>
  <c r="CQ54" i="3"/>
  <c r="CQ53" i="3"/>
  <c r="CQ41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3" i="2"/>
  <c r="CW22" i="2"/>
  <c r="CW21" i="2"/>
  <c r="CW19" i="2"/>
  <c r="CQ65" i="3"/>
  <c r="CQ45" i="3"/>
  <c r="CQ43" i="3"/>
  <c r="CQ34" i="3"/>
  <c r="CQ23" i="3"/>
  <c r="CQ21" i="3"/>
  <c r="CQ18" i="3"/>
  <c r="CQ17" i="3"/>
  <c r="CW20" i="2"/>
  <c r="CW18" i="2"/>
  <c r="CW17" i="2"/>
  <c r="CW16" i="2"/>
  <c r="CQ50" i="3"/>
  <c r="CQ40" i="3"/>
  <c r="CQ76" i="3"/>
  <c r="CQ75" i="3"/>
  <c r="CQ74" i="3"/>
  <c r="CQ73" i="3"/>
  <c r="CQ72" i="3"/>
  <c r="CQ71" i="3"/>
  <c r="CQ70" i="3"/>
  <c r="CQ69" i="3"/>
  <c r="CQ68" i="3"/>
  <c r="CQ67" i="3"/>
  <c r="CQ66" i="3"/>
  <c r="CQ64" i="3"/>
  <c r="CQ49" i="3"/>
  <c r="CQ47" i="3"/>
  <c r="CQ46" i="3"/>
  <c r="CQ44" i="3"/>
  <c r="CQ42" i="3"/>
  <c r="CQ39" i="3"/>
  <c r="CQ38" i="3"/>
  <c r="CQ37" i="3"/>
  <c r="CQ36" i="3"/>
  <c r="CQ35" i="3"/>
  <c r="CQ33" i="3"/>
  <c r="CQ32" i="3"/>
  <c r="CQ31" i="3"/>
  <c r="CQ28" i="3"/>
  <c r="CQ27" i="3"/>
  <c r="CQ26" i="3"/>
  <c r="CQ15" i="3"/>
  <c r="CQ14" i="3" l="1"/>
  <c r="CQ77" i="3" s="1"/>
  <c r="CP77" i="3"/>
  <c r="E6" i="1"/>
  <c r="I3" i="2"/>
  <c r="D3" i="3"/>
  <c r="CH13" i="3"/>
  <c r="CJ77" i="3"/>
  <c r="CL14" i="3"/>
  <c r="CL77" i="3" s="1"/>
  <c r="CW14" i="2"/>
  <c r="CW79" i="2" s="1"/>
  <c r="CV79" i="2"/>
  <c r="CR14" i="2"/>
  <c r="CR79" i="2" s="1"/>
  <c r="CP79" i="2"/>
  <c r="B6" i="1"/>
  <c r="D3" i="2"/>
  <c r="CN13" i="2"/>
  <c r="I3" i="3"/>
  <c r="G11" i="1"/>
  <c r="G12" i="1" s="1"/>
  <c r="G13" i="1" s="1"/>
  <c r="G14" i="1" s="1"/>
  <c r="G15" i="1" s="1"/>
  <c r="G16" i="1" s="1"/>
  <c r="G17" i="1" s="1"/>
  <c r="G18" i="1" s="1"/>
  <c r="G19" i="1" s="1"/>
  <c r="F20" i="1"/>
  <c r="G20" i="1" s="1"/>
  <c r="H6" i="1" l="1"/>
</calcChain>
</file>

<file path=xl/sharedStrings.xml><?xml version="1.0" encoding="utf-8"?>
<sst xmlns="http://schemas.openxmlformats.org/spreadsheetml/2006/main" count="577" uniqueCount="171">
  <si>
    <t>REPORTE DIARIO DE CASETAS Y CAJAS CONTRATISTAS 2026 - IASA / TELMEX</t>
  </si>
  <si>
    <t>RESUMEN EJECUTIVO CONSOLIDADO AL MOMENTO • Reporte matutino cerrado al 25/10/2026 (22:00 hrs). La jornada de hoy se liberará a las 10:00 AM.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</si>
  <si>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</si>
  <si>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</si>
  <si>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</si>
  <si>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</si>
  <si>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</si>
  <si>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</si>
  <si>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</si>
  <si>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</si>
  <si>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</si>
  <si>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</si>
  <si>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</si>
  <si>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</si>
  <si>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</si>
  <si>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</si>
  <si>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</si>
  <si>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</si>
  <si>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Base Histórica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</si>
  <si>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</si>
  <si>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</si>
  <si>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</si>
  <si>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</si>
  <si>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</si>
  <si>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</si>
  <si>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</si>
  <si>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</si>
  <si>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Validado Oficial</t>
  </si>
  <si>
    <t>2026-10-22</t>
  </si>
  <si>
    <t>Jueves</t>
  </si>
  <si>
    <t>2026-10-23</t>
  </si>
  <si>
    <t>Viernes</t>
  </si>
  <si>
    <t>2026-10-24</t>
  </si>
  <si>
    <t>2026-10-25</t>
  </si>
  <si>
    <t>Corte Fin de Semana</t>
  </si>
  <si>
    <t>TOTAL GENERAL AL MOMENTO</t>
  </si>
  <si>
    <t>100% CONCILIADO</t>
  </si>
  <si>
    <t>NOTAS DE INTEGRIDAD Y REGLAS DE AUDITORÍA</t>
  </si>
  <si>
    <t>1. La suma total al momento es de 921 intervenciones oficiales validadas (245 casetas + 676 cajas).</t>
  </si>
  <si>
    <t>2. Cero Data Leakage y Deduplicación Estricta: Cada caseta o caja se contabiliza una sola vez por activo en orden cronológico.</t>
  </si>
  <si>
    <t>3. Diferencia con Linkaform: Los folios registrados en Linkaform que corresponden a reintentos de captura o activos repetidos se deduplican para evitar duplicidades frente a Telmex.</t>
  </si>
  <si>
    <t>4. Regla de Horario de Corte: Las capturas realizadas después de las 22:00 hrs se contabilizan oficialmente para el ciclo del día siguiente.</t>
  </si>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</sst>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29" fillId="0" borderId="0" xfId="0" applyFont="1"/>
    <xf numFmtId="0" fontId="0" fillId="0" borderId="0" xfId="0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30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6"/>
  <sheetViews>
    <sheetView tabSelected="1"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93" t="s">
        <v>0</v>
      </c>
      <c r="C2" s="82"/>
      <c r="D2" s="82"/>
      <c r="E2" s="82"/>
      <c r="F2" s="82"/>
      <c r="G2" s="82"/>
      <c r="H2" s="82"/>
      <c r="I2" s="82"/>
      <c r="J2" s="82"/>
    </row>
    <row r="3" spans="2:10" ht="19.95" customHeight="1" x14ac:dyDescent="0.3">
      <c r="B3" s="85" t="s">
        <v>1</v>
      </c>
      <c r="C3" s="82"/>
      <c r="D3" s="82"/>
      <c r="E3" s="82"/>
      <c r="F3" s="82"/>
      <c r="G3" s="82"/>
      <c r="H3" s="82"/>
      <c r="I3" s="82"/>
      <c r="J3" s="82"/>
    </row>
    <row r="5" spans="2:10" ht="18" customHeight="1" x14ac:dyDescent="0.3">
      <c r="B5" s="88" t="s">
        <v>2</v>
      </c>
      <c r="C5" s="84"/>
      <c r="E5" s="88" t="s">
        <v>3</v>
      </c>
      <c r="F5" s="84"/>
      <c r="H5" s="89" t="s">
        <v>4</v>
      </c>
      <c r="I5" s="90"/>
      <c r="J5" s="90"/>
    </row>
    <row r="6" spans="2:10" ht="31.95" customHeight="1" x14ac:dyDescent="0.3">
      <c r="B6" s="83">
        <f>'Programa CASETAS REPORTE DIARIO'!CN79</f>
        <v>245</v>
      </c>
      <c r="C6" s="84"/>
      <c r="E6" s="83">
        <f>'Programa CAJAS REPORTE DIARIO'!CH77</f>
        <v>676</v>
      </c>
      <c r="F6" s="84"/>
      <c r="H6" s="94">
        <f>B6+E6</f>
        <v>921</v>
      </c>
      <c r="I6" s="90"/>
      <c r="J6" s="90"/>
    </row>
    <row r="7" spans="2:10" ht="16.05" customHeight="1" x14ac:dyDescent="0.3">
      <c r="B7" s="87" t="s">
        <v>5</v>
      </c>
      <c r="C7" s="84"/>
      <c r="E7" s="87" t="s">
        <v>6</v>
      </c>
      <c r="F7" s="84"/>
      <c r="H7" s="92" t="s">
        <v>7</v>
      </c>
      <c r="I7" s="90"/>
      <c r="J7" s="90"/>
    </row>
    <row r="9" spans="2:10" ht="15.6" x14ac:dyDescent="0.3">
      <c r="B9" s="91" t="s">
        <v>8</v>
      </c>
      <c r="C9" s="82"/>
      <c r="D9" s="82"/>
      <c r="E9" s="82"/>
      <c r="F9" s="82"/>
      <c r="G9" s="82"/>
      <c r="H9" s="82"/>
      <c r="I9" s="82"/>
      <c r="J9" s="82"/>
    </row>
    <row r="10" spans="2:10" ht="24" customHeight="1" x14ac:dyDescent="0.3">
      <c r="B10" s="68" t="s">
        <v>9</v>
      </c>
      <c r="C10" s="68" t="s">
        <v>10</v>
      </c>
      <c r="D10" s="68" t="s">
        <v>11</v>
      </c>
      <c r="E10" s="68" t="s">
        <v>12</v>
      </c>
      <c r="F10" s="68" t="s">
        <v>13</v>
      </c>
      <c r="G10" s="68" t="s">
        <v>14</v>
      </c>
      <c r="H10" s="68" t="s">
        <v>15</v>
      </c>
    </row>
    <row r="11" spans="2:10" ht="19.95" customHeight="1" x14ac:dyDescent="0.3">
      <c r="B11" s="69" t="s">
        <v>16</v>
      </c>
      <c r="C11" s="69" t="s">
        <v>17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19" si="0">D11+E11</f>
        <v>76</v>
      </c>
      <c r="G11" s="70">
        <f>F11</f>
        <v>76</v>
      </c>
      <c r="H11" s="69" t="s">
        <v>18</v>
      </c>
    </row>
    <row r="12" spans="2:10" ht="19.95" customHeight="1" x14ac:dyDescent="0.3">
      <c r="B12" s="71" t="s">
        <v>19</v>
      </c>
      <c r="C12" s="71" t="s">
        <v>20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19" si="1">G11+F12</f>
        <v>76</v>
      </c>
      <c r="H12" s="71" t="s">
        <v>18</v>
      </c>
    </row>
    <row r="13" spans="2:10" ht="19.95" customHeight="1" x14ac:dyDescent="0.3">
      <c r="B13" s="69" t="s">
        <v>21</v>
      </c>
      <c r="C13" s="69" t="s">
        <v>22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18</v>
      </c>
    </row>
    <row r="14" spans="2:10" ht="19.95" customHeight="1" x14ac:dyDescent="0.3">
      <c r="B14" s="71" t="s">
        <v>23</v>
      </c>
      <c r="C14" s="71" t="s">
        <v>24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18</v>
      </c>
    </row>
    <row r="15" spans="2:10" ht="19.95" customHeight="1" x14ac:dyDescent="0.3">
      <c r="B15" s="69" t="s">
        <v>25</v>
      </c>
      <c r="C15" s="69" t="s">
        <v>26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27</v>
      </c>
    </row>
    <row r="16" spans="2:10" ht="19.95" customHeight="1" x14ac:dyDescent="0.3">
      <c r="B16" s="71" t="s">
        <v>28</v>
      </c>
      <c r="C16" s="71" t="s">
        <v>29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27</v>
      </c>
    </row>
    <row r="17" spans="2:8" ht="19.95" customHeight="1" x14ac:dyDescent="0.3">
      <c r="B17" s="69" t="s">
        <v>30</v>
      </c>
      <c r="C17" s="69" t="s">
        <v>31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27</v>
      </c>
    </row>
    <row r="18" spans="2:8" ht="19.95" customHeight="1" x14ac:dyDescent="0.3">
      <c r="B18" s="71" t="s">
        <v>32</v>
      </c>
      <c r="C18" s="71" t="s">
        <v>17</v>
      </c>
      <c r="D18" s="72">
        <f>'Programa CASETAS REPORTE DIARIO'!AI79</f>
        <v>68</v>
      </c>
      <c r="E18" s="72">
        <f>'Programa CAJAS REPORTE DIARIO'!AO77</f>
        <v>140</v>
      </c>
      <c r="F18" s="72">
        <f t="shared" si="0"/>
        <v>208</v>
      </c>
      <c r="G18" s="72">
        <f t="shared" si="1"/>
        <v>858</v>
      </c>
      <c r="H18" s="71" t="s">
        <v>27</v>
      </c>
    </row>
    <row r="19" spans="2:8" ht="19.95" customHeight="1" x14ac:dyDescent="0.3">
      <c r="B19" s="69" t="s">
        <v>33</v>
      </c>
      <c r="C19" s="69" t="s">
        <v>20</v>
      </c>
      <c r="D19" s="70">
        <f>'Programa CASETAS REPORTE DIARIO'!AJ79</f>
        <v>13</v>
      </c>
      <c r="E19" s="70">
        <f>'Programa CAJAS REPORTE DIARIO'!AP77</f>
        <v>50</v>
      </c>
      <c r="F19" s="70">
        <f t="shared" si="0"/>
        <v>63</v>
      </c>
      <c r="G19" s="70">
        <f t="shared" si="1"/>
        <v>921</v>
      </c>
      <c r="H19" s="69" t="s">
        <v>34</v>
      </c>
    </row>
    <row r="20" spans="2:8" ht="24" customHeight="1" x14ac:dyDescent="0.3">
      <c r="B20" s="73" t="s">
        <v>35</v>
      </c>
      <c r="C20" s="74"/>
      <c r="D20" s="75">
        <f>SUM(D11:D19)</f>
        <v>245</v>
      </c>
      <c r="E20" s="75">
        <f>SUM(E11:E19)</f>
        <v>676</v>
      </c>
      <c r="F20" s="75">
        <f>SUM(F11:F19)</f>
        <v>921</v>
      </c>
      <c r="G20" s="75">
        <f>F20</f>
        <v>921</v>
      </c>
      <c r="H20" s="76" t="s">
        <v>36</v>
      </c>
    </row>
    <row r="22" spans="2:8" x14ac:dyDescent="0.3">
      <c r="B22" s="81" t="s">
        <v>37</v>
      </c>
      <c r="C22" s="82"/>
      <c r="D22" s="82"/>
      <c r="E22" s="82"/>
      <c r="F22" s="82"/>
      <c r="G22" s="82"/>
      <c r="H22" s="82"/>
    </row>
    <row r="23" spans="2:8" ht="18" customHeight="1" x14ac:dyDescent="0.3">
      <c r="B23" s="86" t="s">
        <v>38</v>
      </c>
      <c r="C23" s="82"/>
      <c r="D23" s="82"/>
      <c r="E23" s="82"/>
      <c r="F23" s="82"/>
      <c r="G23" s="82"/>
      <c r="H23" s="82"/>
    </row>
    <row r="24" spans="2:8" ht="18" customHeight="1" x14ac:dyDescent="0.3">
      <c r="B24" s="86" t="s">
        <v>39</v>
      </c>
      <c r="C24" s="82"/>
      <c r="D24" s="82"/>
      <c r="E24" s="82"/>
      <c r="F24" s="82"/>
      <c r="G24" s="82"/>
      <c r="H24" s="82"/>
    </row>
    <row r="25" spans="2:8" ht="18" customHeight="1" x14ac:dyDescent="0.3">
      <c r="B25" s="86" t="s">
        <v>40</v>
      </c>
      <c r="C25" s="82"/>
      <c r="D25" s="82"/>
      <c r="E25" s="82"/>
      <c r="F25" s="82"/>
      <c r="G25" s="82"/>
      <c r="H25" s="82"/>
    </row>
    <row r="26" spans="2:8" ht="18" customHeight="1" x14ac:dyDescent="0.3">
      <c r="B26" s="86" t="s">
        <v>41</v>
      </c>
      <c r="C26" s="82"/>
      <c r="D26" s="82"/>
      <c r="E26" s="82"/>
      <c r="F26" s="82"/>
      <c r="G26" s="82"/>
      <c r="H26" s="82"/>
    </row>
  </sheetData>
  <mergeCells count="17">
    <mergeCell ref="B2:J2"/>
    <mergeCell ref="H6:J6"/>
    <mergeCell ref="B26:H26"/>
    <mergeCell ref="E7:F7"/>
    <mergeCell ref="B5:C5"/>
    <mergeCell ref="H5:J5"/>
    <mergeCell ref="E5:F5"/>
    <mergeCell ref="B9:J9"/>
    <mergeCell ref="B24:H24"/>
    <mergeCell ref="B25:H25"/>
    <mergeCell ref="H7:J7"/>
    <mergeCell ref="B22:H22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CJ17" activePane="bottomRight" state="frozen"/>
      <selection pane="topRight"/>
      <selection pane="bottomLeft"/>
      <selection pane="bottomRight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42</v>
      </c>
      <c r="D3" s="78">
        <f>+CN79</f>
        <v>245</v>
      </c>
      <c r="F3" s="79" t="s">
        <v>43</v>
      </c>
      <c r="I3" s="80">
        <f>'Programa CAJAS REPORTE DIARIO'!CH77+CN79</f>
        <v>921</v>
      </c>
    </row>
    <row r="10" spans="1:108" x14ac:dyDescent="0.3">
      <c r="A10" s="31"/>
      <c r="E10" s="95" t="s">
        <v>44</v>
      </c>
      <c r="F10" s="96"/>
      <c r="G10" s="96"/>
      <c r="H10" s="96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97" t="s">
        <v>45</v>
      </c>
      <c r="X11" s="98"/>
      <c r="Y11" s="98"/>
      <c r="Z11" s="98"/>
      <c r="AA11" s="98"/>
      <c r="AB11" s="98"/>
      <c r="AC11" s="98"/>
      <c r="AD11" s="98"/>
      <c r="AE11" s="98"/>
      <c r="AF11" s="98"/>
      <c r="AG11" s="98"/>
      <c r="AH11" s="98"/>
      <c r="AI11" s="98"/>
      <c r="AJ11" s="98"/>
      <c r="AK11" s="98"/>
      <c r="AL11" s="98"/>
      <c r="AM11" s="98"/>
      <c r="AN11" s="98"/>
      <c r="AO11" s="98"/>
      <c r="AP11" s="98"/>
      <c r="AQ11" s="98"/>
      <c r="AR11" s="98"/>
      <c r="AS11" s="98"/>
      <c r="AT11" s="98"/>
      <c r="AU11" s="98"/>
      <c r="AV11" s="98"/>
      <c r="AW11" s="98"/>
      <c r="AX11" s="98"/>
      <c r="AY11" s="98"/>
      <c r="AZ11" s="98"/>
      <c r="BA11" s="98"/>
      <c r="BB11" s="98"/>
      <c r="BC11" s="98"/>
      <c r="BD11" s="98"/>
      <c r="BE11" s="98"/>
      <c r="BF11" s="98"/>
      <c r="BG11" s="98"/>
      <c r="BH11" s="98"/>
      <c r="BI11" s="98"/>
      <c r="BJ11" s="98"/>
      <c r="BK11" s="98"/>
      <c r="BL11" s="98"/>
      <c r="BM11" s="98"/>
      <c r="BN11" s="98"/>
      <c r="BO11" s="98"/>
      <c r="BP11" s="98"/>
      <c r="BQ11" s="98"/>
      <c r="BR11" s="98"/>
      <c r="BS11" s="98"/>
      <c r="BT11" s="98"/>
      <c r="BU11" s="98"/>
      <c r="BV11" s="98"/>
      <c r="BW11" s="98"/>
      <c r="BX11" s="98"/>
      <c r="BY11" s="98"/>
      <c r="BZ11" s="98"/>
      <c r="CA11" s="98"/>
      <c r="CB11" s="98"/>
      <c r="CC11" s="98"/>
      <c r="CD11" s="98"/>
      <c r="CE11" s="98"/>
      <c r="CF11" s="98"/>
      <c r="CG11" s="98"/>
      <c r="CH11" s="98"/>
      <c r="CI11" s="98"/>
      <c r="CJ11" s="98"/>
      <c r="CK11" s="98"/>
      <c r="CL11" s="98"/>
      <c r="CM11" s="98"/>
      <c r="CN11" s="99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100" t="s">
        <v>46</v>
      </c>
      <c r="F12" s="101"/>
      <c r="G12" s="101"/>
      <c r="H12" s="101"/>
      <c r="I12" s="101"/>
      <c r="J12" s="101"/>
      <c r="L12" s="36" t="s">
        <v>47</v>
      </c>
      <c r="M12" s="36" t="s">
        <v>48</v>
      </c>
      <c r="N12" s="36" t="s">
        <v>49</v>
      </c>
      <c r="O12" s="36" t="s">
        <v>50</v>
      </c>
      <c r="P12" s="36" t="s">
        <v>51</v>
      </c>
      <c r="R12" s="8" t="s">
        <v>52</v>
      </c>
      <c r="S12" s="9"/>
      <c r="T12" s="8" t="s">
        <v>53</v>
      </c>
      <c r="U12" s="8" t="s">
        <v>54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55</v>
      </c>
      <c r="CP12" s="29" t="s">
        <v>56</v>
      </c>
      <c r="CQ12" s="29" t="s">
        <v>57</v>
      </c>
      <c r="CR12" s="29" t="s">
        <v>58</v>
      </c>
      <c r="CS12" s="29" t="s">
        <v>59</v>
      </c>
      <c r="CT12" s="29" t="s">
        <v>60</v>
      </c>
      <c r="CU12" s="29" t="s">
        <v>61</v>
      </c>
      <c r="CV12" s="29" t="s">
        <v>62</v>
      </c>
      <c r="CW12" s="29" t="s">
        <v>63</v>
      </c>
    </row>
    <row r="13" spans="1:108" s="12" customFormat="1" ht="51.75" customHeight="1" x14ac:dyDescent="0.25">
      <c r="A13" s="10" t="s">
        <v>64</v>
      </c>
      <c r="B13" s="45" t="s">
        <v>65</v>
      </c>
      <c r="C13" s="45" t="s">
        <v>66</v>
      </c>
      <c r="D13" s="10" t="s">
        <v>67</v>
      </c>
      <c r="E13" s="62" t="s">
        <v>68</v>
      </c>
      <c r="F13" s="62" t="s">
        <v>69</v>
      </c>
      <c r="G13" s="62" t="s">
        <v>70</v>
      </c>
      <c r="H13" s="62" t="s">
        <v>71</v>
      </c>
      <c r="I13" s="62" t="s">
        <v>72</v>
      </c>
      <c r="J13" s="62" t="s">
        <v>73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68</v>
      </c>
      <c r="AJ13" s="23">
        <f t="shared" si="0"/>
        <v>13</v>
      </c>
      <c r="AK13" s="23">
        <f t="shared" si="0"/>
        <v>0</v>
      </c>
      <c r="AL13" s="23">
        <f t="shared" si="0"/>
        <v>0</v>
      </c>
      <c r="AM13" s="23">
        <f t="shared" si="0"/>
        <v>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245</v>
      </c>
      <c r="CP13" s="39"/>
      <c r="CQ13" s="40"/>
      <c r="CR13" s="40"/>
      <c r="CS13" s="41"/>
      <c r="CT13" s="29"/>
      <c r="CU13" s="29"/>
      <c r="CV13" s="29"/>
      <c r="CW13" s="29"/>
      <c r="CY13" s="65" t="s">
        <v>68</v>
      </c>
      <c r="CZ13" s="65" t="s">
        <v>69</v>
      </c>
      <c r="DA13" s="65" t="s">
        <v>70</v>
      </c>
      <c r="DB13" s="65" t="s">
        <v>71</v>
      </c>
      <c r="DC13" s="65" t="s">
        <v>72</v>
      </c>
      <c r="DD13" s="65" t="s">
        <v>74</v>
      </c>
    </row>
    <row r="14" spans="1:108" ht="15" customHeight="1" x14ac:dyDescent="0.3">
      <c r="A14" s="33" t="s">
        <v>75</v>
      </c>
      <c r="B14" s="46" t="s">
        <v>76</v>
      </c>
      <c r="C14" s="47" t="s">
        <v>77</v>
      </c>
      <c r="D14" s="33" t="s">
        <v>48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75</v>
      </c>
      <c r="B15" s="48"/>
      <c r="C15" s="47" t="s">
        <v>78</v>
      </c>
      <c r="D15" s="33" t="s">
        <v>48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75</v>
      </c>
      <c r="B16" s="48"/>
      <c r="C16" s="47" t="s">
        <v>79</v>
      </c>
      <c r="D16" s="33" t="s">
        <v>48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75</v>
      </c>
      <c r="B17" s="48"/>
      <c r="C17" s="47" t="s">
        <v>80</v>
      </c>
      <c r="D17" s="33" t="s">
        <v>48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75</v>
      </c>
      <c r="B18" s="48"/>
      <c r="C18" s="47" t="s">
        <v>81</v>
      </c>
      <c r="D18" s="33" t="s">
        <v>48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75</v>
      </c>
      <c r="B19" s="48"/>
      <c r="C19" s="47" t="s">
        <v>82</v>
      </c>
      <c r="D19" s="33" t="s">
        <v>48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75</v>
      </c>
      <c r="B20" s="48"/>
      <c r="C20" s="47" t="s">
        <v>83</v>
      </c>
      <c r="D20" s="33" t="s">
        <v>48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75</v>
      </c>
      <c r="B21" s="48"/>
      <c r="C21" s="47" t="s">
        <v>84</v>
      </c>
      <c r="D21" s="33" t="s">
        <v>48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75</v>
      </c>
      <c r="B22" s="48"/>
      <c r="C22" s="47" t="s">
        <v>85</v>
      </c>
      <c r="D22" s="33" t="s">
        <v>48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75</v>
      </c>
      <c r="B23" s="48"/>
      <c r="C23" s="47" t="s">
        <v>86</v>
      </c>
      <c r="D23" s="33" t="s">
        <v>48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75</v>
      </c>
      <c r="B24" s="48"/>
      <c r="C24" s="47" t="s">
        <v>87</v>
      </c>
      <c r="D24" s="33" t="s">
        <v>48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75</v>
      </c>
      <c r="B25" s="48"/>
      <c r="C25" s="47" t="s">
        <v>88</v>
      </c>
      <c r="D25" s="33" t="s">
        <v>48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75</v>
      </c>
      <c r="B26" s="49"/>
      <c r="C26" s="47" t="s">
        <v>89</v>
      </c>
      <c r="D26" s="33" t="s">
        <v>48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75</v>
      </c>
      <c r="B27" s="50" t="s">
        <v>90</v>
      </c>
      <c r="C27" s="47" t="s">
        <v>90</v>
      </c>
      <c r="D27" s="33" t="s">
        <v>47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/>
      <c r="AL27" s="24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106</v>
      </c>
      <c r="CP27" s="27">
        <f t="shared" si="4"/>
        <v>106</v>
      </c>
      <c r="CQ27" s="22">
        <v>0</v>
      </c>
      <c r="CR27" s="22">
        <f t="shared" si="5"/>
        <v>106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264.5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75</v>
      </c>
      <c r="B28" s="50" t="s">
        <v>91</v>
      </c>
      <c r="C28" s="47" t="s">
        <v>91</v>
      </c>
      <c r="D28" s="33" t="s">
        <v>47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/>
      <c r="AL28" s="24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98</v>
      </c>
      <c r="CP28" s="27">
        <f t="shared" si="4"/>
        <v>98</v>
      </c>
      <c r="CQ28" s="22">
        <v>0</v>
      </c>
      <c r="CR28" s="22">
        <f t="shared" si="5"/>
        <v>98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1279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92</v>
      </c>
      <c r="C29" s="47" t="s">
        <v>93</v>
      </c>
      <c r="D29" s="33" t="s">
        <v>47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>
        <v>9</v>
      </c>
      <c r="AJ29" s="24">
        <v>13</v>
      </c>
      <c r="AK29" s="24"/>
      <c r="AL29" s="24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40</v>
      </c>
      <c r="CP29" s="27">
        <f t="shared" si="4"/>
        <v>40</v>
      </c>
      <c r="CQ29" s="22">
        <v>0</v>
      </c>
      <c r="CR29" s="22">
        <f t="shared" si="5"/>
        <v>40</v>
      </c>
      <c r="CS29" s="42"/>
      <c r="CT29" s="44"/>
      <c r="CU29" s="14">
        <f t="shared" si="6"/>
        <v>1228</v>
      </c>
      <c r="CV29" s="14">
        <f t="shared" si="7"/>
        <v>614</v>
      </c>
      <c r="CW29" s="14">
        <f t="shared" si="8"/>
        <v>574</v>
      </c>
      <c r="CX29" s="43"/>
      <c r="CY29" s="17">
        <v>1156</v>
      </c>
      <c r="CZ29">
        <v>72</v>
      </c>
      <c r="DD29" s="14">
        <f t="shared" si="9"/>
        <v>1228</v>
      </c>
    </row>
    <row r="30" spans="1:108" ht="15" customHeight="1" x14ac:dyDescent="0.3">
      <c r="A30" s="33">
        <v>1</v>
      </c>
      <c r="B30" s="60"/>
      <c r="C30" s="47" t="s">
        <v>94</v>
      </c>
      <c r="D30" s="33" t="s">
        <v>47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0</v>
      </c>
      <c r="CP30" s="27">
        <f t="shared" si="4"/>
        <v>0</v>
      </c>
      <c r="CQ30" s="22">
        <v>0</v>
      </c>
      <c r="CR30" s="22">
        <f t="shared" si="5"/>
        <v>0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2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95</v>
      </c>
      <c r="D31" s="33" t="s">
        <v>48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96</v>
      </c>
      <c r="C32" s="47" t="s">
        <v>97</v>
      </c>
      <c r="D32" s="33" t="s">
        <v>47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0</v>
      </c>
      <c r="CP32" s="27">
        <f t="shared" si="4"/>
        <v>0</v>
      </c>
      <c r="CQ32" s="22">
        <v>0</v>
      </c>
      <c r="CR32" s="22">
        <f t="shared" si="5"/>
        <v>0</v>
      </c>
      <c r="CS32" s="42"/>
      <c r="CT32" s="44"/>
      <c r="CU32" s="14">
        <f t="shared" si="6"/>
        <v>196</v>
      </c>
      <c r="CV32" s="14">
        <f t="shared" si="7"/>
        <v>98</v>
      </c>
      <c r="CW32" s="14">
        <f t="shared" si="8"/>
        <v>98</v>
      </c>
      <c r="CX32" s="43"/>
      <c r="CY32" s="17">
        <v>196</v>
      </c>
      <c r="DD32" s="14">
        <f t="shared" si="9"/>
        <v>196</v>
      </c>
    </row>
    <row r="33" spans="1:108" x14ac:dyDescent="0.3">
      <c r="A33" s="33">
        <v>2</v>
      </c>
      <c r="B33" s="60"/>
      <c r="C33" s="47" t="s">
        <v>98</v>
      </c>
      <c r="D33" s="33" t="s">
        <v>47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99</v>
      </c>
      <c r="D34" s="33" t="s">
        <v>47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100</v>
      </c>
      <c r="C35" s="47" t="s">
        <v>100</v>
      </c>
      <c r="D35" s="33" t="s">
        <v>47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0</v>
      </c>
      <c r="CP35" s="27">
        <f t="shared" si="4"/>
        <v>0</v>
      </c>
      <c r="CQ35" s="22">
        <v>0</v>
      </c>
      <c r="CR35" s="22">
        <f t="shared" si="5"/>
        <v>0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0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101</v>
      </c>
      <c r="C36" s="47" t="s">
        <v>101</v>
      </c>
      <c r="D36" s="33" t="s">
        <v>47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/>
      <c r="AL36" s="24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0</v>
      </c>
      <c r="CP36" s="27">
        <f t="shared" si="4"/>
        <v>0</v>
      </c>
      <c r="CQ36" s="22">
        <v>0</v>
      </c>
      <c r="CR36" s="22">
        <f t="shared" si="5"/>
        <v>0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0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102</v>
      </c>
      <c r="C37" s="47" t="s">
        <v>102</v>
      </c>
      <c r="D37" s="33" t="s">
        <v>47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103</v>
      </c>
      <c r="C38" s="47" t="s">
        <v>103</v>
      </c>
      <c r="D38" s="33" t="s">
        <v>47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104</v>
      </c>
      <c r="C39" s="47" t="s">
        <v>104</v>
      </c>
      <c r="D39" s="33" t="s">
        <v>47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105</v>
      </c>
      <c r="C40" s="47" t="s">
        <v>105</v>
      </c>
      <c r="D40" s="33" t="s">
        <v>47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0</v>
      </c>
      <c r="CP40" s="27">
        <f t="shared" si="4"/>
        <v>0</v>
      </c>
      <c r="CQ40" s="22">
        <v>0</v>
      </c>
      <c r="CR40" s="22">
        <f t="shared" si="5"/>
        <v>0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0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106</v>
      </c>
      <c r="C41" s="47" t="s">
        <v>106</v>
      </c>
      <c r="D41" s="33" t="s">
        <v>48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107</v>
      </c>
      <c r="C42" s="47" t="s">
        <v>107</v>
      </c>
      <c r="D42" s="33" t="s">
        <v>47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0</v>
      </c>
      <c r="CP42" s="27">
        <f t="shared" si="4"/>
        <v>0</v>
      </c>
      <c r="CQ42" s="22">
        <v>0</v>
      </c>
      <c r="CR42" s="22">
        <f t="shared" si="5"/>
        <v>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108</v>
      </c>
      <c r="C43" s="47" t="s">
        <v>108</v>
      </c>
      <c r="D43" s="33" t="s">
        <v>47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109</v>
      </c>
      <c r="C44" s="47" t="s">
        <v>109</v>
      </c>
      <c r="D44" s="33" t="s">
        <v>47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110</v>
      </c>
      <c r="C45" s="47" t="s">
        <v>110</v>
      </c>
      <c r="D45" s="33" t="s">
        <v>48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111</v>
      </c>
      <c r="C46" s="47" t="s">
        <v>111</v>
      </c>
      <c r="D46" s="33" t="s">
        <v>47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112</v>
      </c>
      <c r="C47" s="47" t="s">
        <v>113</v>
      </c>
      <c r="D47" s="33" t="s">
        <v>48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114</v>
      </c>
      <c r="D48" s="33" t="s">
        <v>47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154</v>
      </c>
      <c r="CV48" s="14">
        <f t="shared" si="14"/>
        <v>77</v>
      </c>
      <c r="CW48" s="14">
        <f t="shared" si="15"/>
        <v>77</v>
      </c>
      <c r="CX48" s="43"/>
      <c r="CY48" s="17"/>
      <c r="CZ48">
        <v>154</v>
      </c>
      <c r="DD48" s="14">
        <f t="shared" si="16"/>
        <v>154</v>
      </c>
    </row>
    <row r="49" spans="1:108" x14ac:dyDescent="0.3">
      <c r="A49" s="33">
        <v>21</v>
      </c>
      <c r="B49" s="50" t="s">
        <v>115</v>
      </c>
      <c r="C49" s="47" t="s">
        <v>115</v>
      </c>
      <c r="D49" s="33" t="s">
        <v>47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0</v>
      </c>
      <c r="CP49" s="27">
        <f t="shared" si="11"/>
        <v>0</v>
      </c>
      <c r="CQ49" s="22">
        <v>0</v>
      </c>
      <c r="CR49" s="22">
        <f t="shared" si="12"/>
        <v>0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0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116</v>
      </c>
      <c r="C50" s="47" t="s">
        <v>116</v>
      </c>
      <c r="D50" s="33" t="s">
        <v>47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117</v>
      </c>
      <c r="C51" s="47" t="s">
        <v>117</v>
      </c>
      <c r="D51" s="33" t="s">
        <v>47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</v>
      </c>
      <c r="CP51" s="27">
        <f t="shared" si="11"/>
        <v>1</v>
      </c>
      <c r="CQ51" s="22">
        <v>0</v>
      </c>
      <c r="CR51" s="22">
        <f t="shared" si="12"/>
        <v>1</v>
      </c>
      <c r="CS51" s="42"/>
      <c r="CT51" s="44"/>
      <c r="CU51" s="14">
        <f t="shared" si="13"/>
        <v>0</v>
      </c>
      <c r="CV51" s="14">
        <f t="shared" si="14"/>
        <v>0</v>
      </c>
      <c r="CW51" s="14">
        <f t="shared" si="15"/>
        <v>-1</v>
      </c>
      <c r="CX51" s="43"/>
      <c r="CY51" s="17"/>
      <c r="DD51" s="14">
        <f t="shared" si="16"/>
        <v>0</v>
      </c>
    </row>
    <row r="52" spans="1:108" x14ac:dyDescent="0.3">
      <c r="A52" s="33">
        <v>24</v>
      </c>
      <c r="B52" s="50" t="s">
        <v>118</v>
      </c>
      <c r="C52" s="47" t="s">
        <v>118</v>
      </c>
      <c r="D52" s="33" t="s">
        <v>47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0</v>
      </c>
      <c r="CP52" s="27">
        <f t="shared" si="11"/>
        <v>0</v>
      </c>
      <c r="CQ52" s="22">
        <v>0</v>
      </c>
      <c r="CR52" s="22">
        <f t="shared" si="12"/>
        <v>0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0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119</v>
      </c>
      <c r="C53" s="47" t="s">
        <v>119</v>
      </c>
      <c r="D53" s="33" t="s">
        <v>47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120</v>
      </c>
      <c r="C54" s="47" t="s">
        <v>120</v>
      </c>
      <c r="D54" s="33" t="s">
        <v>47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121</v>
      </c>
      <c r="C55" s="47" t="s">
        <v>121</v>
      </c>
      <c r="D55" s="33" t="s">
        <v>47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122</v>
      </c>
      <c r="C56" s="47" t="s">
        <v>122</v>
      </c>
      <c r="D56" s="33" t="s">
        <v>47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123</v>
      </c>
      <c r="C57" s="51" t="s">
        <v>123</v>
      </c>
      <c r="D57" s="33" t="s">
        <v>48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124</v>
      </c>
      <c r="C58" s="51" t="s">
        <v>124</v>
      </c>
      <c r="D58" s="33" t="s">
        <v>47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0</v>
      </c>
      <c r="CP58" s="27">
        <f t="shared" si="11"/>
        <v>0</v>
      </c>
      <c r="CQ58" s="22">
        <v>0</v>
      </c>
      <c r="CR58" s="22">
        <f t="shared" si="12"/>
        <v>0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0</v>
      </c>
      <c r="CX58" s="43"/>
      <c r="CY58" s="17"/>
      <c r="DD58" s="14">
        <f t="shared" si="16"/>
        <v>0</v>
      </c>
    </row>
    <row r="59" spans="1:108" x14ac:dyDescent="0.3">
      <c r="A59" s="33">
        <v>31</v>
      </c>
      <c r="B59" s="50" t="s">
        <v>125</v>
      </c>
      <c r="C59" s="47" t="s">
        <v>125</v>
      </c>
      <c r="D59" s="33" t="s">
        <v>47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126</v>
      </c>
      <c r="C60" s="47" t="s">
        <v>126</v>
      </c>
      <c r="D60" s="33" t="s">
        <v>48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127</v>
      </c>
      <c r="C61" s="47" t="s">
        <v>127</v>
      </c>
      <c r="D61" s="33" t="s">
        <v>47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128</v>
      </c>
      <c r="C62" s="47" t="s">
        <v>128</v>
      </c>
      <c r="D62" s="33" t="s">
        <v>47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129</v>
      </c>
      <c r="C63" s="47" t="s">
        <v>129</v>
      </c>
      <c r="D63" s="33" t="s">
        <v>47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130</v>
      </c>
      <c r="C64" s="47" t="s">
        <v>130</v>
      </c>
      <c r="D64" s="33" t="s">
        <v>131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132</v>
      </c>
      <c r="C65" s="47" t="s">
        <v>132</v>
      </c>
      <c r="D65" s="33" t="s">
        <v>47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0</v>
      </c>
      <c r="CP65" s="27">
        <f t="shared" si="11"/>
        <v>0</v>
      </c>
      <c r="CQ65" s="22">
        <v>0</v>
      </c>
      <c r="CR65" s="22">
        <f t="shared" si="12"/>
        <v>0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0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133</v>
      </c>
      <c r="C66" s="47" t="s">
        <v>133</v>
      </c>
      <c r="D66" s="33" t="s">
        <v>48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134</v>
      </c>
      <c r="C67" s="47" t="s">
        <v>134</v>
      </c>
      <c r="D67" s="33" t="s">
        <v>48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135</v>
      </c>
      <c r="C68" s="47" t="s">
        <v>135</v>
      </c>
      <c r="D68" s="33" t="s">
        <v>48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136</v>
      </c>
      <c r="C69" s="47" t="s">
        <v>136</v>
      </c>
      <c r="D69" s="33" t="s">
        <v>48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137</v>
      </c>
      <c r="C70" s="47" t="s">
        <v>137</v>
      </c>
      <c r="D70" s="33" t="s">
        <v>47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138</v>
      </c>
      <c r="C71" s="47" t="s">
        <v>138</v>
      </c>
      <c r="D71" s="33" t="s">
        <v>47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139</v>
      </c>
      <c r="B72" s="50" t="s">
        <v>140</v>
      </c>
      <c r="C72" s="47" t="s">
        <v>140</v>
      </c>
      <c r="D72" s="33" t="s">
        <v>47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139</v>
      </c>
      <c r="B73" s="50" t="s">
        <v>141</v>
      </c>
      <c r="C73" s="47" t="s">
        <v>141</v>
      </c>
      <c r="D73" s="33" t="s">
        <v>48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139</v>
      </c>
      <c r="B74" s="50" t="s">
        <v>142</v>
      </c>
      <c r="C74" s="47" t="s">
        <v>142</v>
      </c>
      <c r="D74" s="33" t="s">
        <v>48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139</v>
      </c>
      <c r="B75" s="50" t="s">
        <v>143</v>
      </c>
      <c r="C75" s="47" t="s">
        <v>143</v>
      </c>
      <c r="D75" s="33" t="s">
        <v>47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0</v>
      </c>
      <c r="CP75" s="27">
        <f t="shared" si="11"/>
        <v>0</v>
      </c>
      <c r="CQ75" s="22">
        <v>0</v>
      </c>
      <c r="CR75" s="22">
        <f t="shared" si="12"/>
        <v>0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0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139</v>
      </c>
      <c r="B76" s="50" t="s">
        <v>144</v>
      </c>
      <c r="C76" s="47" t="s">
        <v>144</v>
      </c>
      <c r="D76" s="33" t="s">
        <v>47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139</v>
      </c>
      <c r="B77" s="50" t="s">
        <v>145</v>
      </c>
      <c r="C77" s="47" t="s">
        <v>145</v>
      </c>
      <c r="D77" s="33" t="s">
        <v>48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139</v>
      </c>
      <c r="B78" s="50" t="s">
        <v>146</v>
      </c>
      <c r="C78" s="47" t="s">
        <v>146</v>
      </c>
      <c r="D78" s="33" t="s">
        <v>48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73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68</v>
      </c>
      <c r="AJ79" s="25">
        <f t="shared" si="22"/>
        <v>13</v>
      </c>
      <c r="AK79" s="25">
        <f t="shared" si="22"/>
        <v>0</v>
      </c>
      <c r="AL79" s="25">
        <f t="shared" si="22"/>
        <v>0</v>
      </c>
      <c r="AM79" s="25">
        <f t="shared" si="22"/>
        <v>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245</v>
      </c>
      <c r="CP79" s="25">
        <f>+SUM(CP14:CP78)</f>
        <v>245</v>
      </c>
      <c r="CQ79" s="25">
        <f>+SUM(CQ14:CQ78)</f>
        <v>0</v>
      </c>
      <c r="CR79" s="25">
        <f>+SUM(CR14:CR78)</f>
        <v>245</v>
      </c>
      <c r="CS79" s="25"/>
      <c r="CT79" s="25"/>
      <c r="CU79" s="25">
        <f>+SUM(CU14:CU78)</f>
        <v>5077</v>
      </c>
      <c r="CV79" s="25">
        <f>+SUM(CV14:CV78)</f>
        <v>2538.5</v>
      </c>
      <c r="CW79" s="25">
        <f>+SUM(CW14:CW78)</f>
        <v>2293.5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147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147</v>
      </c>
      <c r="CP81" s="53"/>
      <c r="CQ81" s="53"/>
      <c r="CR81" s="53"/>
    </row>
    <row r="82" spans="1:101" hidden="1" x14ac:dyDescent="0.3">
      <c r="A82" s="33"/>
      <c r="B82" s="50" t="s">
        <v>148</v>
      </c>
      <c r="C82" s="47" t="s">
        <v>148</v>
      </c>
      <c r="D82" s="33" t="s">
        <v>149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150</v>
      </c>
      <c r="C83" s="47" t="s">
        <v>150</v>
      </c>
      <c r="D83" s="33" t="s">
        <v>151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152</v>
      </c>
      <c r="C84" s="47" t="s">
        <v>152</v>
      </c>
      <c r="D84" s="33" t="s">
        <v>149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73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147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152</v>
      </c>
      <c r="C90" s="47" t="s">
        <v>152</v>
      </c>
      <c r="D90" s="33" t="s">
        <v>149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150</v>
      </c>
      <c r="C91" s="47" t="s">
        <v>150</v>
      </c>
      <c r="D91" s="33" t="s">
        <v>151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148</v>
      </c>
      <c r="C92" s="47" t="s">
        <v>148</v>
      </c>
      <c r="D92" s="33" t="s">
        <v>149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73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autoFilter ref="A13:CW79" xr:uid="{00000000-0009-0000-0000-000001000000}"/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opLeftCell="A11" zoomScale="70" zoomScaleNormal="70" workbookViewId="0">
      <pane xSplit="4" ySplit="3" topLeftCell="CK42" activePane="bottomRight" state="frozen"/>
      <selection activeCell="A11" sqref="A11"/>
      <selection pane="topRight" activeCell="E11" sqref="E11"/>
      <selection pane="bottomLeft" activeCell="A14" sqref="A14"/>
      <selection pane="bottomRight" activeCell="CK61" sqref="CK61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153</v>
      </c>
      <c r="D3" s="78">
        <f>+CH77</f>
        <v>676</v>
      </c>
      <c r="F3" s="79" t="s">
        <v>43</v>
      </c>
      <c r="I3" s="80">
        <f>'Programa CASETAS REPORTE DIARIO'!CN79+CH77</f>
        <v>921</v>
      </c>
    </row>
    <row r="10" spans="1:107" x14ac:dyDescent="0.3">
      <c r="A10" s="31"/>
      <c r="E10" s="95" t="s">
        <v>44</v>
      </c>
      <c r="F10" s="96"/>
      <c r="G10" s="96"/>
      <c r="H10" s="96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97" t="s">
        <v>154</v>
      </c>
      <c r="AD11" s="98"/>
      <c r="AE11" s="98"/>
      <c r="AF11" s="98"/>
      <c r="AG11" s="98"/>
      <c r="AH11" s="98"/>
      <c r="AI11" s="98"/>
      <c r="AJ11" s="98"/>
      <c r="AK11" s="98"/>
      <c r="AL11" s="98"/>
      <c r="AM11" s="98"/>
      <c r="AN11" s="98"/>
      <c r="AO11" s="98"/>
      <c r="AP11" s="98"/>
      <c r="AQ11" s="98"/>
      <c r="AR11" s="98"/>
      <c r="AS11" s="98"/>
      <c r="AT11" s="98"/>
      <c r="AU11" s="98"/>
      <c r="AV11" s="98"/>
      <c r="AW11" s="98"/>
      <c r="AX11" s="98"/>
      <c r="AY11" s="98"/>
      <c r="AZ11" s="98"/>
      <c r="BA11" s="98"/>
      <c r="BB11" s="98"/>
      <c r="BC11" s="98"/>
      <c r="BD11" s="98"/>
      <c r="BE11" s="98"/>
      <c r="BF11" s="98"/>
      <c r="BG11" s="98"/>
      <c r="BH11" s="98"/>
      <c r="BI11" s="98"/>
      <c r="BJ11" s="98"/>
      <c r="BK11" s="98"/>
      <c r="BL11" s="98"/>
      <c r="BM11" s="98"/>
      <c r="BN11" s="98"/>
      <c r="BO11" s="98"/>
      <c r="BP11" s="98"/>
      <c r="BQ11" s="98"/>
      <c r="BR11" s="98"/>
      <c r="BS11" s="98"/>
      <c r="BT11" s="98"/>
      <c r="BU11" s="98"/>
      <c r="BV11" s="98"/>
      <c r="BW11" s="98"/>
      <c r="BX11" s="98"/>
      <c r="BY11" s="98"/>
      <c r="BZ11" s="98"/>
      <c r="CA11" s="98"/>
      <c r="CB11" s="98"/>
      <c r="CC11" s="98"/>
      <c r="CD11" s="98"/>
      <c r="CE11" s="98"/>
      <c r="CF11" s="98"/>
      <c r="CG11" s="98"/>
      <c r="CH11" s="99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100" t="s">
        <v>12</v>
      </c>
      <c r="F12" s="101"/>
      <c r="G12" s="101"/>
      <c r="H12" s="101"/>
      <c r="I12" s="101"/>
      <c r="J12" s="101"/>
      <c r="K12" s="101"/>
      <c r="L12" s="101"/>
      <c r="M12" s="101"/>
      <c r="N12" s="101"/>
      <c r="O12" s="101"/>
      <c r="P12" s="101"/>
      <c r="R12" s="36" t="s">
        <v>47</v>
      </c>
      <c r="S12" s="36" t="s">
        <v>48</v>
      </c>
      <c r="T12" s="36" t="s">
        <v>49</v>
      </c>
      <c r="U12" s="36" t="s">
        <v>50</v>
      </c>
      <c r="V12" s="36" t="s">
        <v>51</v>
      </c>
      <c r="X12" s="8" t="s">
        <v>52</v>
      </c>
      <c r="Y12" s="9"/>
      <c r="Z12" s="8" t="s">
        <v>53</v>
      </c>
      <c r="AA12" s="8" t="s">
        <v>54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55</v>
      </c>
      <c r="CJ12" s="29" t="s">
        <v>56</v>
      </c>
      <c r="CK12" s="29" t="s">
        <v>57</v>
      </c>
      <c r="CL12" s="29" t="s">
        <v>58</v>
      </c>
      <c r="CM12" s="29" t="s">
        <v>59</v>
      </c>
      <c r="CN12" s="29" t="s">
        <v>60</v>
      </c>
      <c r="CO12" s="29" t="s">
        <v>61</v>
      </c>
      <c r="CP12" s="29" t="s">
        <v>155</v>
      </c>
      <c r="CQ12" s="29" t="s">
        <v>63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25">
      <c r="A13" s="10" t="s">
        <v>64</v>
      </c>
      <c r="B13" s="10" t="s">
        <v>158</v>
      </c>
      <c r="C13" s="10" t="s">
        <v>66</v>
      </c>
      <c r="D13" s="57" t="s">
        <v>67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73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140</v>
      </c>
      <c r="AP13" s="38">
        <f t="shared" si="0"/>
        <v>50</v>
      </c>
      <c r="AQ13" s="38">
        <f t="shared" si="0"/>
        <v>0</v>
      </c>
      <c r="AR13" s="38">
        <f t="shared" si="0"/>
        <v>0</v>
      </c>
      <c r="AS13" s="38">
        <f t="shared" si="0"/>
        <v>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676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74</v>
      </c>
    </row>
    <row r="14" spans="1:107" ht="15" customHeight="1" x14ac:dyDescent="0.3">
      <c r="A14" s="33" t="s">
        <v>75</v>
      </c>
      <c r="B14" s="46" t="s">
        <v>76</v>
      </c>
      <c r="C14" s="56" t="s">
        <v>77</v>
      </c>
      <c r="D14" s="33" t="s">
        <v>48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75</v>
      </c>
      <c r="B15" s="48"/>
      <c r="C15" s="56" t="s">
        <v>78</v>
      </c>
      <c r="D15" s="33" t="s">
        <v>48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75</v>
      </c>
      <c r="B16" s="48"/>
      <c r="C16" s="56" t="s">
        <v>79</v>
      </c>
      <c r="D16" s="33" t="s">
        <v>48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75</v>
      </c>
      <c r="B17" s="48"/>
      <c r="C17" s="56" t="s">
        <v>80</v>
      </c>
      <c r="D17" s="33" t="s">
        <v>48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75</v>
      </c>
      <c r="B18" s="48"/>
      <c r="C18" s="56" t="s">
        <v>81</v>
      </c>
      <c r="D18" s="33" t="s">
        <v>48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75</v>
      </c>
      <c r="B19" s="48"/>
      <c r="C19" s="56" t="s">
        <v>82</v>
      </c>
      <c r="D19" s="33" t="s">
        <v>48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75</v>
      </c>
      <c r="B20" s="48"/>
      <c r="C20" s="56" t="s">
        <v>83</v>
      </c>
      <c r="D20" s="33" t="s">
        <v>48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75</v>
      </c>
      <c r="B21" s="48"/>
      <c r="C21" s="56" t="s">
        <v>84</v>
      </c>
      <c r="D21" s="33" t="s">
        <v>48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75</v>
      </c>
      <c r="B22" s="48"/>
      <c r="C22" s="56" t="s">
        <v>85</v>
      </c>
      <c r="D22" s="33" t="s">
        <v>48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75</v>
      </c>
      <c r="B23" s="48"/>
      <c r="C23" s="56" t="s">
        <v>86</v>
      </c>
      <c r="D23" s="33" t="s">
        <v>48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75</v>
      </c>
      <c r="B24" s="48"/>
      <c r="C24" s="56" t="s">
        <v>87</v>
      </c>
      <c r="D24" s="33" t="s">
        <v>48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75</v>
      </c>
      <c r="B25" s="48"/>
      <c r="C25" s="56" t="s">
        <v>88</v>
      </c>
      <c r="D25" s="33" t="s">
        <v>48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75</v>
      </c>
      <c r="B26" s="49"/>
      <c r="C26" s="56" t="s">
        <v>89</v>
      </c>
      <c r="D26" s="33" t="s">
        <v>48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75</v>
      </c>
      <c r="B27" s="50" t="s">
        <v>90</v>
      </c>
      <c r="C27" s="56" t="s">
        <v>90</v>
      </c>
      <c r="D27" s="33" t="s">
        <v>47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237</v>
      </c>
      <c r="CJ27" s="27">
        <f t="shared" si="3"/>
        <v>237</v>
      </c>
      <c r="CK27" s="22">
        <v>0</v>
      </c>
      <c r="CL27" s="22">
        <f t="shared" si="4"/>
        <v>237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549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75</v>
      </c>
      <c r="B28" s="50" t="s">
        <v>91</v>
      </c>
      <c r="C28" s="56" t="s">
        <v>91</v>
      </c>
      <c r="D28" s="33" t="s">
        <v>47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29</v>
      </c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105</v>
      </c>
      <c r="CJ28" s="27">
        <f t="shared" si="3"/>
        <v>105</v>
      </c>
      <c r="CK28" s="22">
        <v>0</v>
      </c>
      <c r="CL28" s="22">
        <f t="shared" si="4"/>
        <v>105</v>
      </c>
      <c r="CM28" s="42"/>
      <c r="CN28" s="44"/>
      <c r="CO28" s="14">
        <f t="shared" si="5"/>
        <v>1931</v>
      </c>
      <c r="CP28" s="14">
        <f t="shared" si="6"/>
        <v>1931</v>
      </c>
      <c r="CQ28" s="14">
        <f t="shared" si="7"/>
        <v>1826</v>
      </c>
      <c r="CR28" s="43"/>
      <c r="CS28" s="17">
        <v>67</v>
      </c>
      <c r="CT28">
        <v>38</v>
      </c>
      <c r="CV28">
        <v>5</v>
      </c>
      <c r="CX28">
        <v>642</v>
      </c>
      <c r="CY28">
        <v>1135</v>
      </c>
      <c r="CZ28">
        <v>17</v>
      </c>
      <c r="DA28">
        <v>27</v>
      </c>
      <c r="DC28" s="14">
        <f t="shared" si="8"/>
        <v>1931</v>
      </c>
    </row>
    <row r="29" spans="1:107" ht="15" customHeight="1" x14ac:dyDescent="0.3">
      <c r="A29" s="33">
        <v>1</v>
      </c>
      <c r="B29" s="58" t="s">
        <v>92</v>
      </c>
      <c r="C29" s="56" t="s">
        <v>93</v>
      </c>
      <c r="D29" s="33" t="s">
        <v>47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>
        <v>9</v>
      </c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30</v>
      </c>
      <c r="CJ29" s="27">
        <f t="shared" si="3"/>
        <v>30</v>
      </c>
      <c r="CK29" s="22">
        <v>0</v>
      </c>
      <c r="CL29" s="22">
        <f t="shared" si="4"/>
        <v>30</v>
      </c>
      <c r="CM29" s="42"/>
      <c r="CN29" s="44"/>
      <c r="CO29" s="14">
        <f t="shared" si="5"/>
        <v>197</v>
      </c>
      <c r="CP29" s="14">
        <f t="shared" si="6"/>
        <v>197</v>
      </c>
      <c r="CQ29" s="14">
        <f t="shared" si="7"/>
        <v>167</v>
      </c>
      <c r="CR29" s="43"/>
      <c r="CS29" s="17"/>
      <c r="CT29">
        <v>80</v>
      </c>
      <c r="DA29">
        <v>1</v>
      </c>
      <c r="DB29">
        <v>116</v>
      </c>
      <c r="DC29" s="14">
        <f t="shared" si="8"/>
        <v>197</v>
      </c>
    </row>
    <row r="30" spans="1:107" ht="15" customHeight="1" x14ac:dyDescent="0.3">
      <c r="A30" s="33">
        <v>1</v>
      </c>
      <c r="B30" s="60"/>
      <c r="C30" s="56" t="s">
        <v>94</v>
      </c>
      <c r="D30" s="33" t="s">
        <v>47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420</v>
      </c>
      <c r="CP30" s="14">
        <f t="shared" si="6"/>
        <v>420</v>
      </c>
      <c r="CQ30" s="14">
        <f t="shared" si="7"/>
        <v>420</v>
      </c>
      <c r="CR30" s="43"/>
      <c r="CS30" s="17"/>
      <c r="CZ30">
        <v>380</v>
      </c>
      <c r="DB30">
        <v>40</v>
      </c>
      <c r="DC30" s="14">
        <f t="shared" si="8"/>
        <v>420</v>
      </c>
    </row>
    <row r="31" spans="1:107" x14ac:dyDescent="0.3">
      <c r="A31" s="33">
        <v>1</v>
      </c>
      <c r="B31" s="59"/>
      <c r="C31" s="56" t="s">
        <v>95</v>
      </c>
      <c r="D31" s="33" t="s">
        <v>48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96</v>
      </c>
      <c r="C32" s="56" t="s">
        <v>97</v>
      </c>
      <c r="D32" s="33" t="s">
        <v>47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0</v>
      </c>
      <c r="CJ32" s="27">
        <f t="shared" si="3"/>
        <v>0</v>
      </c>
      <c r="CK32" s="22">
        <v>0</v>
      </c>
      <c r="CL32" s="22">
        <f t="shared" si="4"/>
        <v>0</v>
      </c>
      <c r="CM32" s="42"/>
      <c r="CN32" s="44"/>
      <c r="CO32" s="14">
        <f t="shared" si="5"/>
        <v>132</v>
      </c>
      <c r="CP32" s="14">
        <f t="shared" si="6"/>
        <v>132</v>
      </c>
      <c r="CQ32" s="14">
        <f t="shared" si="7"/>
        <v>132</v>
      </c>
      <c r="CR32" s="43"/>
      <c r="CS32" s="17"/>
      <c r="CT32">
        <v>12</v>
      </c>
      <c r="DA32">
        <v>2</v>
      </c>
      <c r="DB32">
        <v>118</v>
      </c>
      <c r="DC32" s="14">
        <f t="shared" si="8"/>
        <v>132</v>
      </c>
    </row>
    <row r="33" spans="1:107" x14ac:dyDescent="0.3">
      <c r="A33" s="33">
        <v>2</v>
      </c>
      <c r="B33" s="60"/>
      <c r="C33" s="56" t="s">
        <v>98</v>
      </c>
      <c r="D33" s="33" t="s">
        <v>47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99</v>
      </c>
      <c r="D34" s="33" t="s">
        <v>47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100</v>
      </c>
      <c r="C35" s="56" t="s">
        <v>100</v>
      </c>
      <c r="D35" s="33" t="s">
        <v>47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0</v>
      </c>
      <c r="CJ35" s="27">
        <f t="shared" si="3"/>
        <v>0</v>
      </c>
      <c r="CK35" s="22">
        <v>0</v>
      </c>
      <c r="CL35" s="22">
        <f t="shared" si="4"/>
        <v>0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99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101</v>
      </c>
      <c r="C36" s="56" t="s">
        <v>101</v>
      </c>
      <c r="D36" s="33" t="s">
        <v>47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20</v>
      </c>
      <c r="CJ36" s="27">
        <f t="shared" si="3"/>
        <v>20</v>
      </c>
      <c r="CK36" s="22">
        <v>0</v>
      </c>
      <c r="CL36" s="22">
        <f t="shared" si="4"/>
        <v>20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-20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102</v>
      </c>
      <c r="C37" s="56" t="s">
        <v>102</v>
      </c>
      <c r="D37" s="33" t="s">
        <v>47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>
        <v>5</v>
      </c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7</v>
      </c>
      <c r="CJ37" s="27">
        <f t="shared" si="3"/>
        <v>7</v>
      </c>
      <c r="CK37" s="22">
        <v>0</v>
      </c>
      <c r="CL37" s="22">
        <f t="shared" si="4"/>
        <v>7</v>
      </c>
      <c r="CM37" s="42"/>
      <c r="CN37" s="44"/>
      <c r="CO37" s="14">
        <f t="shared" si="5"/>
        <v>72</v>
      </c>
      <c r="CP37" s="14">
        <f t="shared" si="6"/>
        <v>72</v>
      </c>
      <c r="CQ37" s="14">
        <f t="shared" si="7"/>
        <v>65</v>
      </c>
      <c r="CR37" s="43"/>
      <c r="CS37" s="17"/>
      <c r="CU37">
        <v>1</v>
      </c>
      <c r="CV37">
        <v>38</v>
      </c>
      <c r="CW37">
        <v>33</v>
      </c>
      <c r="DC37" s="14">
        <f t="shared" si="8"/>
        <v>72</v>
      </c>
    </row>
    <row r="38" spans="1:107" ht="15" customHeight="1" x14ac:dyDescent="0.3">
      <c r="A38" s="33">
        <v>8</v>
      </c>
      <c r="B38" s="50" t="s">
        <v>103</v>
      </c>
      <c r="C38" s="56" t="s">
        <v>103</v>
      </c>
      <c r="D38" s="33" t="s">
        <v>47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104</v>
      </c>
      <c r="C39" s="56" t="s">
        <v>104</v>
      </c>
      <c r="D39" s="33" t="s">
        <v>47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106</v>
      </c>
      <c r="C40" s="56" t="s">
        <v>106</v>
      </c>
      <c r="D40" s="33" t="s">
        <v>48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107</v>
      </c>
      <c r="C41" s="56" t="s">
        <v>107</v>
      </c>
      <c r="D41" s="33" t="s">
        <v>47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</v>
      </c>
      <c r="CJ41" s="27">
        <f t="shared" si="3"/>
        <v>4</v>
      </c>
      <c r="CK41" s="22">
        <v>0</v>
      </c>
      <c r="CL41" s="22">
        <f t="shared" si="4"/>
        <v>4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9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108</v>
      </c>
      <c r="C42" s="56" t="s">
        <v>108</v>
      </c>
      <c r="D42" s="33" t="s">
        <v>47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109</v>
      </c>
      <c r="C43" s="56" t="s">
        <v>109</v>
      </c>
      <c r="D43" s="33" t="s">
        <v>47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33</v>
      </c>
      <c r="CJ43" s="27">
        <f t="shared" si="3"/>
        <v>33</v>
      </c>
      <c r="CK43" s="22">
        <v>0</v>
      </c>
      <c r="CL43" s="22">
        <f t="shared" si="4"/>
        <v>33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-13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110</v>
      </c>
      <c r="C44" s="56" t="s">
        <v>110</v>
      </c>
      <c r="D44" s="33" t="s">
        <v>48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4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111</v>
      </c>
      <c r="C45" s="56" t="s">
        <v>111</v>
      </c>
      <c r="D45" s="33" t="s">
        <v>47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170</v>
      </c>
      <c r="C46" s="56" t="s">
        <v>114</v>
      </c>
      <c r="D46" s="33" t="s">
        <v>47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104</v>
      </c>
      <c r="CJ46" s="27">
        <f t="shared" ref="CJ46:CJ76" si="11">CH46</f>
        <v>104</v>
      </c>
      <c r="CK46" s="22">
        <v>0</v>
      </c>
      <c r="CL46" s="22">
        <f t="shared" ref="CL46:CL77" si="12">CJ46+CK46</f>
        <v>104</v>
      </c>
      <c r="CM46" s="42"/>
      <c r="CN46" s="44"/>
      <c r="CO46" s="14">
        <f t="shared" si="9"/>
        <v>603</v>
      </c>
      <c r="CP46" s="14">
        <f t="shared" ref="CP46:CP77" si="13">CO46</f>
        <v>603</v>
      </c>
      <c r="CQ46" s="14">
        <f t="shared" ref="CQ46:CQ77" si="14">CP46-CJ46</f>
        <v>499</v>
      </c>
      <c r="CR46" s="43"/>
      <c r="CS46" s="17"/>
      <c r="CT46">
        <v>421</v>
      </c>
      <c r="CV46">
        <v>42</v>
      </c>
      <c r="DA46">
        <v>2</v>
      </c>
      <c r="DB46">
        <v>138</v>
      </c>
      <c r="DC46" s="14">
        <f t="shared" ref="DC46:DC77" si="15">SUM(CS46:DB46)</f>
        <v>603</v>
      </c>
    </row>
    <row r="47" spans="1:107" x14ac:dyDescent="0.3">
      <c r="A47" s="33">
        <v>20</v>
      </c>
      <c r="B47" s="59"/>
      <c r="C47" s="56" t="s">
        <v>113</v>
      </c>
      <c r="D47" s="33" t="s">
        <v>48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115</v>
      </c>
      <c r="C48" s="56" t="s">
        <v>115</v>
      </c>
      <c r="D48" s="33" t="s">
        <v>47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116</v>
      </c>
      <c r="C49" s="56" t="s">
        <v>116</v>
      </c>
      <c r="D49" s="33" t="s">
        <v>47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117</v>
      </c>
      <c r="C50" s="56" t="s">
        <v>117</v>
      </c>
      <c r="D50" s="33" t="s">
        <v>47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15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28</v>
      </c>
      <c r="CJ50" s="27">
        <f t="shared" si="11"/>
        <v>28</v>
      </c>
      <c r="CK50" s="22">
        <v>0</v>
      </c>
      <c r="CL50" s="22">
        <f t="shared" si="12"/>
        <v>28</v>
      </c>
      <c r="CM50" s="42"/>
      <c r="CN50" s="44"/>
      <c r="CO50" s="14">
        <v>11</v>
      </c>
      <c r="CP50" s="14">
        <f t="shared" si="13"/>
        <v>11</v>
      </c>
      <c r="CQ50" s="14">
        <f t="shared" si="14"/>
        <v>-17</v>
      </c>
      <c r="CR50" s="43"/>
      <c r="CS50" s="17"/>
      <c r="DC50" s="14">
        <f t="shared" si="15"/>
        <v>0</v>
      </c>
    </row>
    <row r="51" spans="1:107" x14ac:dyDescent="0.3">
      <c r="A51" s="33">
        <v>24</v>
      </c>
      <c r="B51" s="50" t="s">
        <v>118</v>
      </c>
      <c r="C51" s="56" t="s">
        <v>118</v>
      </c>
      <c r="D51" s="33" t="s">
        <v>47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</v>
      </c>
      <c r="CJ51" s="27">
        <f t="shared" si="11"/>
        <v>1</v>
      </c>
      <c r="CK51" s="22">
        <v>0</v>
      </c>
      <c r="CL51" s="22">
        <f t="shared" si="12"/>
        <v>1</v>
      </c>
      <c r="CM51" s="42"/>
      <c r="CN51" s="44"/>
      <c r="CO51" s="14">
        <f t="shared" ref="CO51:CO59" si="16">DC51</f>
        <v>0</v>
      </c>
      <c r="CP51" s="14">
        <f t="shared" si="13"/>
        <v>0</v>
      </c>
      <c r="CQ51" s="14">
        <f t="shared" si="14"/>
        <v>-1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119</v>
      </c>
      <c r="C52" s="56" t="s">
        <v>119</v>
      </c>
      <c r="D52" s="33" t="s">
        <v>47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16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120</v>
      </c>
      <c r="C53" s="56" t="s">
        <v>120</v>
      </c>
      <c r="D53" s="33" t="s">
        <v>47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16"/>
        <v>98</v>
      </c>
      <c r="CP53" s="14">
        <f t="shared" si="13"/>
        <v>98</v>
      </c>
      <c r="CQ53" s="14">
        <f t="shared" si="14"/>
        <v>98</v>
      </c>
      <c r="CR53" s="43"/>
      <c r="CS53" s="17">
        <v>93</v>
      </c>
      <c r="CT53">
        <v>5</v>
      </c>
      <c r="DC53" s="14">
        <f t="shared" si="15"/>
        <v>98</v>
      </c>
    </row>
    <row r="54" spans="1:107" x14ac:dyDescent="0.3">
      <c r="A54" s="33">
        <v>28</v>
      </c>
      <c r="B54" s="50" t="s">
        <v>121</v>
      </c>
      <c r="C54" s="56" t="s">
        <v>121</v>
      </c>
      <c r="D54" s="33" t="s">
        <v>47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0</v>
      </c>
      <c r="CJ54" s="27">
        <f t="shared" si="11"/>
        <v>0</v>
      </c>
      <c r="CK54" s="22">
        <v>0</v>
      </c>
      <c r="CL54" s="22">
        <f t="shared" si="12"/>
        <v>0</v>
      </c>
      <c r="CM54" s="42"/>
      <c r="CN54" s="44"/>
      <c r="CO54" s="14">
        <f t="shared" si="16"/>
        <v>26</v>
      </c>
      <c r="CP54" s="14">
        <f t="shared" si="13"/>
        <v>26</v>
      </c>
      <c r="CQ54" s="14">
        <f t="shared" si="14"/>
        <v>26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122</v>
      </c>
      <c r="C55" s="56" t="s">
        <v>122</v>
      </c>
      <c r="D55" s="33" t="s">
        <v>47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21</v>
      </c>
      <c r="CJ55" s="27">
        <f t="shared" si="11"/>
        <v>21</v>
      </c>
      <c r="CK55" s="22">
        <v>0</v>
      </c>
      <c r="CL55" s="22">
        <f t="shared" si="12"/>
        <v>21</v>
      </c>
      <c r="CM55" s="42"/>
      <c r="CN55" s="44"/>
      <c r="CO55" s="14">
        <f t="shared" si="16"/>
        <v>30</v>
      </c>
      <c r="CP55" s="14">
        <f t="shared" si="13"/>
        <v>30</v>
      </c>
      <c r="CQ55" s="14">
        <f t="shared" si="14"/>
        <v>9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123</v>
      </c>
      <c r="C56" s="56" t="s">
        <v>123</v>
      </c>
      <c r="D56" s="33" t="s">
        <v>48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16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124</v>
      </c>
      <c r="C57" s="56" t="s">
        <v>124</v>
      </c>
      <c r="D57" s="33" t="s">
        <v>47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31</v>
      </c>
      <c r="CJ57" s="27">
        <f t="shared" si="11"/>
        <v>31</v>
      </c>
      <c r="CK57" s="22">
        <v>0</v>
      </c>
      <c r="CL57" s="22">
        <f t="shared" si="12"/>
        <v>31</v>
      </c>
      <c r="CM57" s="42"/>
      <c r="CN57" s="44"/>
      <c r="CO57" s="14">
        <f t="shared" si="16"/>
        <v>92</v>
      </c>
      <c r="CP57" s="14">
        <f t="shared" si="13"/>
        <v>92</v>
      </c>
      <c r="CQ57" s="14">
        <f t="shared" si="14"/>
        <v>61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">
      <c r="A58" s="33">
        <v>31</v>
      </c>
      <c r="B58" s="49" t="s">
        <v>125</v>
      </c>
      <c r="C58" s="56" t="s">
        <v>125</v>
      </c>
      <c r="D58" s="33" t="s">
        <v>47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16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126</v>
      </c>
      <c r="C59" s="56" t="s">
        <v>126</v>
      </c>
      <c r="D59" s="33" t="s">
        <v>48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16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127</v>
      </c>
      <c r="C60" s="56" t="s">
        <v>127</v>
      </c>
      <c r="D60" s="33" t="s">
        <v>47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128</v>
      </c>
      <c r="C61" s="56" t="s">
        <v>128</v>
      </c>
      <c r="D61" s="33" t="s">
        <v>47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21</v>
      </c>
      <c r="CJ61" s="27">
        <f t="shared" si="11"/>
        <v>21</v>
      </c>
      <c r="CK61" s="22">
        <v>0</v>
      </c>
      <c r="CL61" s="22">
        <f t="shared" si="12"/>
        <v>21</v>
      </c>
      <c r="CM61" s="42"/>
      <c r="CN61" s="44"/>
      <c r="CO61" s="14">
        <f t="shared" ref="CO61:CO76" si="17">DC61</f>
        <v>32</v>
      </c>
      <c r="CP61" s="14">
        <f t="shared" si="13"/>
        <v>32</v>
      </c>
      <c r="CQ61" s="14">
        <f t="shared" si="14"/>
        <v>11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129</v>
      </c>
      <c r="C62" s="56" t="s">
        <v>129</v>
      </c>
      <c r="D62" s="33" t="s">
        <v>47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7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130</v>
      </c>
      <c r="C63" s="56" t="s">
        <v>130</v>
      </c>
      <c r="D63" s="33" t="s">
        <v>131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7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132</v>
      </c>
      <c r="C64" s="56" t="s">
        <v>132</v>
      </c>
      <c r="D64" s="33" t="s">
        <v>47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12</v>
      </c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22</v>
      </c>
      <c r="CJ64" s="27">
        <f t="shared" si="11"/>
        <v>22</v>
      </c>
      <c r="CK64" s="22">
        <v>0</v>
      </c>
      <c r="CL64" s="22">
        <f t="shared" si="12"/>
        <v>22</v>
      </c>
      <c r="CM64" s="42"/>
      <c r="CN64" s="44"/>
      <c r="CO64" s="14">
        <f t="shared" si="17"/>
        <v>12</v>
      </c>
      <c r="CP64" s="14">
        <f t="shared" si="13"/>
        <v>12</v>
      </c>
      <c r="CQ64" s="14">
        <f t="shared" si="14"/>
        <v>-10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">
      <c r="A65" s="33">
        <v>38</v>
      </c>
      <c r="B65" s="50" t="s">
        <v>133</v>
      </c>
      <c r="C65" s="56" t="s">
        <v>133</v>
      </c>
      <c r="D65" s="33" t="s">
        <v>48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7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134</v>
      </c>
      <c r="C66" s="56" t="s">
        <v>134</v>
      </c>
      <c r="D66" s="33" t="s">
        <v>48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7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135</v>
      </c>
      <c r="C67" s="56" t="s">
        <v>135</v>
      </c>
      <c r="D67" s="33" t="s">
        <v>48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7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136</v>
      </c>
      <c r="C68" s="56" t="s">
        <v>136</v>
      </c>
      <c r="D68" s="33" t="s">
        <v>48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7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137</v>
      </c>
      <c r="C69" s="56" t="s">
        <v>137</v>
      </c>
      <c r="D69" s="33" t="s">
        <v>47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0</v>
      </c>
      <c r="CJ69" s="27">
        <f t="shared" si="11"/>
        <v>0</v>
      </c>
      <c r="CK69" s="22">
        <v>0</v>
      </c>
      <c r="CL69" s="22">
        <f t="shared" si="12"/>
        <v>0</v>
      </c>
      <c r="CM69" s="42"/>
      <c r="CN69" s="44"/>
      <c r="CO69" s="14">
        <f t="shared" si="17"/>
        <v>0</v>
      </c>
      <c r="CP69" s="14">
        <f t="shared" si="13"/>
        <v>0</v>
      </c>
      <c r="CQ69" s="14">
        <f t="shared" si="14"/>
        <v>0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138</v>
      </c>
      <c r="C70" s="56" t="s">
        <v>138</v>
      </c>
      <c r="D70" s="33" t="s">
        <v>47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0</v>
      </c>
      <c r="CJ70" s="27">
        <f t="shared" si="11"/>
        <v>0</v>
      </c>
      <c r="CK70" s="22">
        <v>0</v>
      </c>
      <c r="CL70" s="22">
        <f t="shared" si="12"/>
        <v>0</v>
      </c>
      <c r="CM70" s="42"/>
      <c r="CN70" s="44"/>
      <c r="CO70" s="14">
        <f t="shared" si="17"/>
        <v>2</v>
      </c>
      <c r="CP70" s="14">
        <f t="shared" si="13"/>
        <v>2</v>
      </c>
      <c r="CQ70" s="14">
        <f t="shared" si="14"/>
        <v>2</v>
      </c>
      <c r="CR70" s="43"/>
      <c r="CS70" s="17"/>
      <c r="CW70">
        <v>2</v>
      </c>
      <c r="DC70" s="14">
        <f t="shared" si="15"/>
        <v>2</v>
      </c>
    </row>
    <row r="71" spans="1:107" ht="15" customHeight="1" x14ac:dyDescent="0.3">
      <c r="A71" s="33" t="s">
        <v>139</v>
      </c>
      <c r="B71" s="50" t="s">
        <v>140</v>
      </c>
      <c r="C71" s="56" t="s">
        <v>140</v>
      </c>
      <c r="D71" s="33" t="s">
        <v>47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7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139</v>
      </c>
      <c r="B72" s="50" t="s">
        <v>141</v>
      </c>
      <c r="C72" s="56" t="s">
        <v>141</v>
      </c>
      <c r="D72" s="33" t="s">
        <v>48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7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139</v>
      </c>
      <c r="B73" s="50" t="s">
        <v>142</v>
      </c>
      <c r="C73" s="56" t="s">
        <v>142</v>
      </c>
      <c r="D73" s="33" t="s">
        <v>48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7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139</v>
      </c>
      <c r="B74" s="50" t="s">
        <v>143</v>
      </c>
      <c r="C74" s="56" t="s">
        <v>143</v>
      </c>
      <c r="D74" s="33" t="s">
        <v>47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7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139</v>
      </c>
      <c r="B75" s="50" t="s">
        <v>144</v>
      </c>
      <c r="C75" s="56" t="s">
        <v>144</v>
      </c>
      <c r="D75" s="33" t="s">
        <v>47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1</v>
      </c>
      <c r="CJ75" s="27">
        <f t="shared" si="11"/>
        <v>1</v>
      </c>
      <c r="CK75" s="22">
        <v>0</v>
      </c>
      <c r="CL75" s="22">
        <f t="shared" si="12"/>
        <v>1</v>
      </c>
      <c r="CM75" s="42"/>
      <c r="CN75" s="44"/>
      <c r="CO75" s="14">
        <f t="shared" si="17"/>
        <v>1</v>
      </c>
      <c r="CP75" s="14">
        <f t="shared" si="13"/>
        <v>1</v>
      </c>
      <c r="CQ75" s="14">
        <f t="shared" si="14"/>
        <v>0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35">
      <c r="A76" s="33" t="s">
        <v>139</v>
      </c>
      <c r="B76" s="50" t="s">
        <v>145</v>
      </c>
      <c r="C76" s="56" t="s">
        <v>145</v>
      </c>
      <c r="D76" s="33" t="s">
        <v>48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7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73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8">+SUM(AC14:AC76)</f>
        <v>0</v>
      </c>
      <c r="AD77" s="25">
        <f t="shared" si="18"/>
        <v>0</v>
      </c>
      <c r="AE77" s="25">
        <f t="shared" si="18"/>
        <v>0</v>
      </c>
      <c r="AF77" s="25">
        <f t="shared" si="18"/>
        <v>0</v>
      </c>
      <c r="AG77" s="25">
        <f t="shared" si="18"/>
        <v>0</v>
      </c>
      <c r="AH77" s="25">
        <f t="shared" si="18"/>
        <v>52</v>
      </c>
      <c r="AI77" s="25">
        <f t="shared" si="18"/>
        <v>0</v>
      </c>
      <c r="AJ77" s="25">
        <f t="shared" si="18"/>
        <v>24</v>
      </c>
      <c r="AK77" s="25">
        <f t="shared" si="18"/>
        <v>54</v>
      </c>
      <c r="AL77" s="25">
        <f t="shared" si="18"/>
        <v>66</v>
      </c>
      <c r="AM77" s="25">
        <f t="shared" si="18"/>
        <v>103</v>
      </c>
      <c r="AN77" s="25">
        <f t="shared" si="18"/>
        <v>187</v>
      </c>
      <c r="AO77" s="25">
        <f t="shared" si="18"/>
        <v>140</v>
      </c>
      <c r="AP77" s="25">
        <f t="shared" si="18"/>
        <v>50</v>
      </c>
      <c r="AQ77" s="25">
        <f t="shared" si="18"/>
        <v>0</v>
      </c>
      <c r="AR77" s="25">
        <f t="shared" si="18"/>
        <v>0</v>
      </c>
      <c r="AS77" s="25">
        <f t="shared" si="18"/>
        <v>0</v>
      </c>
      <c r="AT77" s="25">
        <f t="shared" si="18"/>
        <v>0</v>
      </c>
      <c r="AU77" s="25">
        <f t="shared" si="18"/>
        <v>0</v>
      </c>
      <c r="AV77" s="25">
        <f t="shared" si="18"/>
        <v>0</v>
      </c>
      <c r="AW77" s="25">
        <f t="shared" si="18"/>
        <v>0</v>
      </c>
      <c r="AX77" s="25">
        <f t="shared" si="18"/>
        <v>0</v>
      </c>
      <c r="AY77" s="25">
        <f t="shared" si="18"/>
        <v>0</v>
      </c>
      <c r="AZ77" s="25">
        <f t="shared" si="18"/>
        <v>0</v>
      </c>
      <c r="BA77" s="25">
        <f t="shared" si="18"/>
        <v>0</v>
      </c>
      <c r="BB77" s="25">
        <f t="shared" si="18"/>
        <v>0</v>
      </c>
      <c r="BC77" s="25">
        <f t="shared" si="18"/>
        <v>0</v>
      </c>
      <c r="BD77" s="25">
        <f t="shared" si="18"/>
        <v>0</v>
      </c>
      <c r="BE77" s="25">
        <f t="shared" si="18"/>
        <v>0</v>
      </c>
      <c r="BF77" s="25">
        <f t="shared" si="18"/>
        <v>0</v>
      </c>
      <c r="BG77" s="25">
        <f t="shared" si="18"/>
        <v>0</v>
      </c>
      <c r="BH77" s="25">
        <f t="shared" si="18"/>
        <v>0</v>
      </c>
      <c r="BI77" s="25">
        <f t="shared" ref="BI77:CN77" si="19">+SUM(BI14:BI76)</f>
        <v>0</v>
      </c>
      <c r="BJ77" s="25">
        <f t="shared" si="19"/>
        <v>0</v>
      </c>
      <c r="BK77" s="25">
        <f t="shared" si="19"/>
        <v>0</v>
      </c>
      <c r="BL77" s="25">
        <f t="shared" si="19"/>
        <v>0</v>
      </c>
      <c r="BM77" s="25">
        <f t="shared" si="19"/>
        <v>0</v>
      </c>
      <c r="BN77" s="25">
        <f t="shared" si="19"/>
        <v>0</v>
      </c>
      <c r="BO77" s="25">
        <f t="shared" si="19"/>
        <v>0</v>
      </c>
      <c r="BP77" s="25">
        <f t="shared" si="19"/>
        <v>0</v>
      </c>
      <c r="BQ77" s="25">
        <f t="shared" si="19"/>
        <v>0</v>
      </c>
      <c r="BR77" s="25">
        <f t="shared" si="19"/>
        <v>0</v>
      </c>
      <c r="BS77" s="25">
        <f t="shared" si="19"/>
        <v>0</v>
      </c>
      <c r="BT77" s="25">
        <f t="shared" si="19"/>
        <v>0</v>
      </c>
      <c r="BU77" s="25">
        <f t="shared" si="19"/>
        <v>0</v>
      </c>
      <c r="BV77" s="25">
        <f t="shared" si="19"/>
        <v>0</v>
      </c>
      <c r="BW77" s="25">
        <f t="shared" si="19"/>
        <v>0</v>
      </c>
      <c r="BX77" s="25">
        <f t="shared" si="19"/>
        <v>0</v>
      </c>
      <c r="BY77" s="25">
        <f t="shared" si="19"/>
        <v>0</v>
      </c>
      <c r="BZ77" s="25">
        <f t="shared" si="19"/>
        <v>0</v>
      </c>
      <c r="CA77" s="25">
        <f t="shared" si="19"/>
        <v>0</v>
      </c>
      <c r="CB77" s="25">
        <f t="shared" si="19"/>
        <v>0</v>
      </c>
      <c r="CC77" s="25">
        <f t="shared" si="19"/>
        <v>0</v>
      </c>
      <c r="CD77" s="25">
        <f t="shared" si="19"/>
        <v>0</v>
      </c>
      <c r="CE77" s="25">
        <f t="shared" si="19"/>
        <v>0</v>
      </c>
      <c r="CF77" s="25">
        <f t="shared" si="19"/>
        <v>0</v>
      </c>
      <c r="CG77" s="25">
        <f t="shared" si="19"/>
        <v>0</v>
      </c>
      <c r="CH77" s="25">
        <f t="shared" si="19"/>
        <v>676</v>
      </c>
      <c r="CJ77" s="25">
        <f>+SUM(CJ14:CJ76)</f>
        <v>676</v>
      </c>
      <c r="CK77" s="25">
        <f>+SUM(CK14:CK76)</f>
        <v>0</v>
      </c>
      <c r="CL77" s="25">
        <f>+SUM(CL14:CL76)</f>
        <v>676</v>
      </c>
      <c r="CM77" s="25"/>
      <c r="CN77" s="25"/>
      <c r="CO77" s="25">
        <f>+SUM(CO14:CO76)</f>
        <v>4712</v>
      </c>
      <c r="CP77" s="25">
        <f>+SUM(CP14:CP76)</f>
        <v>4712</v>
      </c>
      <c r="CQ77" s="25">
        <f>+SUM(CQ14:CQ76)</f>
        <v>4036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147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147</v>
      </c>
      <c r="CJ79" s="53"/>
      <c r="CK79" s="53"/>
      <c r="CL79" s="53"/>
    </row>
    <row r="80" spans="1:107" x14ac:dyDescent="0.3">
      <c r="A80" s="33"/>
      <c r="B80" s="50" t="s">
        <v>148</v>
      </c>
      <c r="C80" s="47" t="s">
        <v>148</v>
      </c>
      <c r="D80" s="33" t="s">
        <v>149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150</v>
      </c>
      <c r="C81" s="47" t="s">
        <v>150</v>
      </c>
      <c r="D81" s="33" t="s">
        <v>151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152</v>
      </c>
      <c r="C82" s="47" t="s">
        <v>152</v>
      </c>
      <c r="D82" s="33" t="s">
        <v>149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73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autoFilter ref="A13:CQ77" xr:uid="{00000000-0009-0000-0000-000002000000}"/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2026-10-26T15:54:12Z</dcterms:modified>
</cp:coreProperties>
</file>