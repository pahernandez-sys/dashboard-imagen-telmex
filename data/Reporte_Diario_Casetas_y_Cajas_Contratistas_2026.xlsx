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AD356A34-ADE2-49CB-BAB1-81921B192FC9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L13" i="3" s="1"/>
  <c r="BK77" i="3"/>
  <c r="BJ77" i="3"/>
  <c r="BI77" i="3"/>
  <c r="BH77" i="3"/>
  <c r="BG77" i="3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K13" i="3"/>
  <c r="BJ13" i="3"/>
  <c r="BI13" i="3"/>
  <c r="BH13" i="3"/>
  <c r="BG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DD71" i="2"/>
  <c r="CU71" i="2"/>
  <c r="CV71" i="2" s="1"/>
  <c r="CN71" i="2"/>
  <c r="CP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N15" i="2"/>
  <c r="CP15" i="2" s="1"/>
  <c r="CR15" i="2" s="1"/>
  <c r="DD14" i="2"/>
  <c r="CU14" i="2"/>
  <c r="CV14" i="2" s="1"/>
  <c r="CN14" i="2"/>
  <c r="CP14" i="2" s="1"/>
  <c r="CQ60" i="3" l="1"/>
  <c r="CQ24" i="3"/>
  <c r="CQ16" i="3"/>
  <c r="CW44" i="2"/>
  <c r="AT13" i="3"/>
  <c r="E23" i="1"/>
  <c r="AS13" i="3"/>
  <c r="E22" i="1"/>
  <c r="E21" i="1"/>
  <c r="AR13" i="3"/>
  <c r="E20" i="1"/>
  <c r="AQ13" i="3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CW71" i="2"/>
  <c r="CR71" i="2"/>
  <c r="CP14" i="3"/>
  <c r="CO77" i="3"/>
  <c r="CH77" i="3"/>
  <c r="CJ14" i="3"/>
  <c r="AN13" i="2"/>
  <c r="D23" i="1"/>
  <c r="F23" i="1" s="1"/>
  <c r="AM13" i="2"/>
  <c r="D22" i="1"/>
  <c r="F22" i="1" s="1"/>
  <c r="AL13" i="2"/>
  <c r="D21" i="1"/>
  <c r="AK13" i="2"/>
  <c r="D20" i="1"/>
  <c r="AJ13" i="2"/>
  <c r="D19" i="1"/>
  <c r="AI13" i="2"/>
  <c r="D18" i="1"/>
  <c r="AH13" i="2"/>
  <c r="D17" i="1"/>
  <c r="D16" i="1"/>
  <c r="AG13" i="2"/>
  <c r="AF13" i="2"/>
  <c r="D15" i="1"/>
  <c r="D14" i="1"/>
  <c r="AE13" i="2"/>
  <c r="D13" i="1"/>
  <c r="AD13" i="2"/>
  <c r="D12" i="1"/>
  <c r="AC13" i="2"/>
  <c r="AB13" i="2"/>
  <c r="D11" i="1"/>
  <c r="CN79" i="2"/>
  <c r="CP72" i="2"/>
  <c r="CP79" i="2" s="1"/>
  <c r="CV15" i="2"/>
  <c r="CU79" i="2"/>
  <c r="CW14" i="2"/>
  <c r="CR14" i="2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2" i="3"/>
  <c r="CQ15" i="3"/>
  <c r="CW77" i="2"/>
  <c r="CW76" i="2"/>
  <c r="CW75" i="2"/>
  <c r="CW74" i="2"/>
  <c r="CW73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Q20" i="3"/>
  <c r="CQ18" i="3"/>
  <c r="CQ17" i="3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23" i="3"/>
  <c r="CQ21" i="3"/>
  <c r="CQ19" i="3"/>
  <c r="F21" i="1" l="1"/>
  <c r="F20" i="1"/>
  <c r="F19" i="1"/>
  <c r="F18" i="1"/>
  <c r="F17" i="1"/>
  <c r="F15" i="1"/>
  <c r="F14" i="1"/>
  <c r="F13" i="1"/>
  <c r="F12" i="1"/>
  <c r="E24" i="1"/>
  <c r="F16" i="1"/>
  <c r="CQ14" i="3"/>
  <c r="CQ77" i="3" s="1"/>
  <c r="CP77" i="3"/>
  <c r="I3" i="2"/>
  <c r="D3" i="3"/>
  <c r="E6" i="1"/>
  <c r="CH13" i="3"/>
  <c r="CL14" i="3"/>
  <c r="CL77" i="3" s="1"/>
  <c r="CJ77" i="3"/>
  <c r="D24" i="1"/>
  <c r="F11" i="1"/>
  <c r="I3" i="3"/>
  <c r="B6" i="1"/>
  <c r="D3" i="2"/>
  <c r="CN13" i="2"/>
  <c r="CW72" i="2"/>
  <c r="CR72" i="2"/>
  <c r="CR79" i="2" s="1"/>
  <c r="CW15" i="2"/>
  <c r="CV79" i="2"/>
  <c r="CW79" i="2" l="1"/>
  <c r="H6" i="1"/>
  <c r="F24" i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<sst xmlns="http://schemas.openxmlformats.org/spreadsheetml/2006/main" count="589" uniqueCount="175">
  <si>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</si>
  <si>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</si>
  <si>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</si>
  <si>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</si>
  <si>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</si>
  <si>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</si>
  <si>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</si>
  <si>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</si>
  <si>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</si>
  <si>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</si>
  <si>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</si>
  <si>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</si>
  <si>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</si>
  <si>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</si>
  <si>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</si>
  <si>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</si>
  <si>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</si>
  <si>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</si>
  <si>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</si>
  <si>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</si>
  <si>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</si>
  <si>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</si>
  <si>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</si>
  <si>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</si>
  <si>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</si>
  <si>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</si>
  <si>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</si>
  <si>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</si>
  <si>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</si>
  <si>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</si>
  <si>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</si>
  <si>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</si>
  <si>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</si>
  <si>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</si>
  <si>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</si>
  <si>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</si>
  <si>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</si>
  <si>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</si>
  <si>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</si>
  <si>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</si>
  <si>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</si>
  <si>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</si>
  <si>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</si>
  <si>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</si>
  <si>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</si>
  <si>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</si>
  <si>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</si>
  <si>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</si>
  <si>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</si>
  <si>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</si>
  <si>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</si>
  <si>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</si>
  <si>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</si>
  <si>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</si>
  <si>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</si>
  <si>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</si>
  <si>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</si>
  <si>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</si>
  <si>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</si>
  <si>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</si>
  <si>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</si>
  <si>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</si>
  <si>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</si>
  <si>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</si>
  <si>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</si>
  <si>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</si>
  <si>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</si>
  <si>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</si>
  <si>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</si>
  <si>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</si>
  <si>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</si>
  <si>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</si>
  <si>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</si>
  <si>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</si>
  <si>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</si>
  <si>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</si>
  <si>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</si>
  <si>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</si>
  <si>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</si>
  <si>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</si>
  <si>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</si>
  <si>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</si>
  <si>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</si>
  <si>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</si>
  <si>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</si>
  <si>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</si>
  <si>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</si>
  <si>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</si>
  <si>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</si>
  <si>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</si>
  <si>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</si>
  <si>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</si>
  <si>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</si>
  <si>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</si>
  <si>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</si>
  <si>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</si>
  <si>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</si>
  <si>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</si>
  <si>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</si>
  <si>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</si>
  <si>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</si>
  <si>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</si>
  <si>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</si>
  <si>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</si>
  <si>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</si>
  <si>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</si>
  <si>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</si>
  <si>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</si>
  <si>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</si>
  <si>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</si>
  <si>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</si>
  <si>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</si>
  <si>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14:57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</si>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</sst>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780</v>
      </c>
      <c r="C6" s="89"/>
      <c r="E6" s="88">
        <f>'Programa CAJAS REPORTE DIARIO'!CH77</f>
        <v>2093</v>
      </c>
      <c r="F6" s="89"/>
      <c r="H6" s="101">
        <f>B6+E6</f>
        <v>2873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121</v>
      </c>
      <c r="E23" s="70">
        <f>'Programa CAJAS REPORTE DIARIO'!AT77</f>
        <v>364</v>
      </c>
      <c r="F23" s="70">
        <f t="shared" si="0"/>
        <v>485</v>
      </c>
      <c r="G23" s="70">
        <f t="shared" si="1"/>
        <v>2873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780</v>
      </c>
      <c r="E24" s="75">
        <f>SUM(E11:E23)</f>
        <v>2093</v>
      </c>
      <c r="F24" s="75">
        <f>SUM(F11:F23)</f>
        <v>2873</v>
      </c>
      <c r="G24" s="75">
        <f>F24</f>
        <v>2873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780</v>
      </c>
      <c r="F3" s="79" t="s">
        <v>1</v>
      </c>
      <c r="I3" s="80">
        <f>'Programa CAJAS REPORTE DIARIO'!CH77+CN79</f>
        <v>2873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121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780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6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189</v>
      </c>
      <c r="CP27" s="27">
        <f t="shared" si="4"/>
        <v>189</v>
      </c>
      <c r="CQ27" s="22">
        <v>0</v>
      </c>
      <c r="CR27" s="22">
        <f t="shared" si="5"/>
        <v>189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24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169</v>
      </c>
      <c r="CP28" s="27">
        <f t="shared" si="4"/>
        <v>169</v>
      </c>
      <c r="CQ28" s="22">
        <v>0</v>
      </c>
      <c r="CR28" s="22">
        <f t="shared" si="5"/>
        <v>169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1208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112</v>
      </c>
      <c r="CP29" s="27">
        <f t="shared" si="4"/>
        <v>112</v>
      </c>
      <c r="CQ29" s="22">
        <v>0</v>
      </c>
      <c r="CR29" s="22">
        <f t="shared" si="5"/>
        <v>112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83</v>
      </c>
      <c r="CP42" s="27">
        <f t="shared" si="4"/>
        <v>83</v>
      </c>
      <c r="CQ42" s="22">
        <v>0</v>
      </c>
      <c r="CR42" s="22">
        <f t="shared" si="5"/>
        <v>83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-83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37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37</v>
      </c>
      <c r="CP56" s="27">
        <f t="shared" si="11"/>
        <v>37</v>
      </c>
      <c r="CQ56" s="22">
        <v>0</v>
      </c>
      <c r="CR56" s="22">
        <f t="shared" si="12"/>
        <v>37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-37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121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780</v>
      </c>
      <c r="CP79" s="25">
        <f>+SUM(CP14:CP78)</f>
        <v>780</v>
      </c>
      <c r="CQ79" s="25">
        <f>+SUM(CQ14:CQ78)</f>
        <v>0</v>
      </c>
      <c r="CR79" s="25">
        <f>+SUM(CR14:CR78)</f>
        <v>780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6486.5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2093</v>
      </c>
      <c r="F3" s="79" t="s">
        <v>1</v>
      </c>
      <c r="I3" s="80">
        <f>'Programa CASETAS REPORTE DIARIO'!CN79+CH77</f>
        <v>2873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364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2093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38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403</v>
      </c>
      <c r="CJ27" s="27">
        <f t="shared" si="3"/>
        <v>403</v>
      </c>
      <c r="CK27" s="22">
        <v>0</v>
      </c>
      <c r="CL27" s="22">
        <f t="shared" si="4"/>
        <v>403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16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53</v>
      </c>
      <c r="CJ29" s="27">
        <f t="shared" si="3"/>
        <v>53</v>
      </c>
      <c r="CK29" s="22">
        <v>0</v>
      </c>
      <c r="CL29" s="22">
        <f t="shared" si="4"/>
        <v>53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1283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147</v>
      </c>
      <c r="CJ35" s="27">
        <f t="shared" si="3"/>
        <v>147</v>
      </c>
      <c r="CK35" s="22">
        <v>0</v>
      </c>
      <c r="CL35" s="22">
        <f t="shared" si="4"/>
        <v>147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11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54</v>
      </c>
      <c r="CJ37" s="27">
        <f t="shared" si="3"/>
        <v>54</v>
      </c>
      <c r="CK37" s="22">
        <v>0</v>
      </c>
      <c r="CL37" s="22">
        <f t="shared" si="4"/>
        <v>54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521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88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93</v>
      </c>
      <c r="CJ53" s="27">
        <f t="shared" si="11"/>
        <v>93</v>
      </c>
      <c r="CK53" s="22">
        <v>0</v>
      </c>
      <c r="CL53" s="22">
        <f t="shared" si="12"/>
        <v>93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-25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15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62</v>
      </c>
      <c r="CJ61" s="27">
        <f t="shared" si="11"/>
        <v>62</v>
      </c>
      <c r="CK61" s="22">
        <v>0</v>
      </c>
      <c r="CL61" s="22">
        <f t="shared" si="12"/>
        <v>62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364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2093</v>
      </c>
      <c r="CJ77" s="25">
        <f>+SUM(CJ14:CJ76)</f>
        <v>2093</v>
      </c>
      <c r="CK77" s="25">
        <f>+SUM(CK14:CK76)</f>
        <v>0</v>
      </c>
      <c r="CL77" s="25">
        <f>+SUM(CL14:CL76)</f>
        <v>2093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9139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2026-10-29T20:57:44Z</dcterms:modified>
</cp:coreProperties>
</file>