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4E6DB78-F466-4DE8-941E-7F49B6C144A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49" i="2" l="1"/>
  <c r="CW48" i="2"/>
  <c r="CW44" i="2"/>
  <c r="AD13" i="2"/>
  <c r="D13" i="1"/>
  <c r="AC13" i="2"/>
  <c r="D12" i="1"/>
  <c r="AB13" i="2"/>
  <c r="D11" i="1"/>
  <c r="CQ35" i="3"/>
  <c r="CW61" i="2"/>
  <c r="CW60" i="2"/>
  <c r="CW58" i="2"/>
  <c r="CW57" i="2"/>
  <c r="CW56" i="2"/>
  <c r="CW55" i="2"/>
  <c r="CW53" i="2"/>
  <c r="CW52" i="2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F13" i="1" s="1"/>
  <c r="AI13" i="3"/>
  <c r="E12" i="1"/>
  <c r="F12" i="1" s="1"/>
  <c r="AH13" i="3"/>
  <c r="E11" i="1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AH13" i="2"/>
  <c r="D17" i="1"/>
  <c r="AG13" i="2"/>
  <c r="D16" i="1"/>
  <c r="AF13" i="2"/>
  <c r="D15" i="1"/>
  <c r="AE13" i="2"/>
  <c r="D14" i="1"/>
  <c r="CO77" i="3"/>
  <c r="CP14" i="3"/>
  <c r="CJ14" i="3"/>
  <c r="CH77" i="3"/>
  <c r="CV30" i="2"/>
  <c r="CW30" i="2" s="1"/>
  <c r="CU79" i="2"/>
  <c r="CN79" i="2"/>
  <c r="CP17" i="2"/>
  <c r="CV79" i="2"/>
  <c r="CW14" i="2"/>
  <c r="CP79" i="2"/>
  <c r="CR14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1" i="2"/>
  <c r="CW45" i="2"/>
  <c r="CW41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47" i="2"/>
  <c r="CW43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W59" i="2"/>
  <c r="CW54" i="2"/>
  <c r="CW50" i="2"/>
  <c r="CW46" i="2"/>
  <c r="CW42" i="2"/>
  <c r="F17" i="1" l="1"/>
  <c r="F16" i="1"/>
  <c r="F15" i="1"/>
  <c r="F14" i="1"/>
  <c r="E24" i="1"/>
  <c r="F11" i="1"/>
  <c r="F18" i="1"/>
  <c r="D24" i="1"/>
  <c r="CQ14" i="3"/>
  <c r="CQ77" i="3" s="1"/>
  <c r="CP77" i="3"/>
  <c r="CL14" i="3"/>
  <c r="CL77" i="3" s="1"/>
  <c r="CJ77" i="3"/>
  <c r="D3" i="3"/>
  <c r="E6" i="1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B6" i="1"/>
  <c r="H6" i="1" s="1"/>
  <c r="D3" i="2"/>
  <c r="CN13" i="2"/>
  <c r="I3" i="3"/>
  <c r="CW17" i="2"/>
  <c r="CW79" i="2" s="1"/>
  <c r="CR17" i="2"/>
  <c r="CR79" i="2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<sst xmlns="http://schemas.openxmlformats.org/spreadsheetml/2006/main" count="589" uniqueCount="175">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</sst>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751</v>
      </c>
      <c r="C6" s="89"/>
      <c r="E6" s="88">
        <f>'Programa CAJAS REPORTE DIARIO'!CH77</f>
        <v>2027</v>
      </c>
      <c r="F6" s="89"/>
      <c r="H6" s="101">
        <f>B6+E6</f>
        <v>2778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92</v>
      </c>
      <c r="E23" s="70">
        <f>'Programa CAJAS REPORTE DIARIO'!AT77</f>
        <v>298</v>
      </c>
      <c r="F23" s="70">
        <f t="shared" si="0"/>
        <v>390</v>
      </c>
      <c r="G23" s="70">
        <f t="shared" si="1"/>
        <v>2778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751</v>
      </c>
      <c r="E24" s="75">
        <f>SUM(E11:E23)</f>
        <v>2027</v>
      </c>
      <c r="F24" s="75">
        <f>SUM(F11:F23)</f>
        <v>2778</v>
      </c>
      <c r="G24" s="75">
        <f>F24</f>
        <v>2778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751</v>
      </c>
      <c r="F3" s="79" t="s">
        <v>1</v>
      </c>
      <c r="I3" s="80">
        <f>'Programa CAJAS REPORTE DIARIO'!CH77+CN79</f>
        <v>2778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22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108</v>
      </c>
      <c r="CP29" s="27">
        <f t="shared" si="4"/>
        <v>108</v>
      </c>
      <c r="CQ29" s="22">
        <v>0</v>
      </c>
      <c r="CR29" s="22">
        <f t="shared" si="5"/>
        <v>108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751</v>
      </c>
      <c r="CP79" s="25">
        <f>+SUM(CP14:CP78)</f>
        <v>751</v>
      </c>
      <c r="CQ79" s="25">
        <f>+SUM(CQ14:CQ78)</f>
        <v>0</v>
      </c>
      <c r="CR79" s="25">
        <f>+SUM(CR14:CR78)</f>
        <v>751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2027</v>
      </c>
      <c r="F3" s="79" t="s">
        <v>1</v>
      </c>
      <c r="I3" s="80">
        <f>'Programa CASETAS REPORTE DIARIO'!CN79+CH77</f>
        <v>2778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298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2027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396</v>
      </c>
      <c r="CJ27" s="27">
        <f t="shared" si="3"/>
        <v>396</v>
      </c>
      <c r="CK27" s="22">
        <v>0</v>
      </c>
      <c r="CL27" s="22">
        <f t="shared" si="4"/>
        <v>396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43</v>
      </c>
      <c r="CJ29" s="27">
        <f t="shared" si="3"/>
        <v>43</v>
      </c>
      <c r="CK29" s="22">
        <v>0</v>
      </c>
      <c r="CL29" s="22">
        <f t="shared" si="4"/>
        <v>43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145</v>
      </c>
      <c r="CJ35" s="27">
        <f t="shared" si="3"/>
        <v>145</v>
      </c>
      <c r="CK35" s="22">
        <v>0</v>
      </c>
      <c r="CL35" s="22">
        <f t="shared" si="4"/>
        <v>145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9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52</v>
      </c>
      <c r="CJ37" s="27">
        <f t="shared" si="3"/>
        <v>52</v>
      </c>
      <c r="CK37" s="22">
        <v>0</v>
      </c>
      <c r="CL37" s="22">
        <f t="shared" si="4"/>
        <v>52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136</v>
      </c>
      <c r="CJ43" s="27">
        <f t="shared" si="3"/>
        <v>136</v>
      </c>
      <c r="CK43" s="22">
        <v>0</v>
      </c>
      <c r="CL43" s="22">
        <f t="shared" si="4"/>
        <v>136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65</v>
      </c>
      <c r="CJ53" s="27">
        <f t="shared" si="11"/>
        <v>65</v>
      </c>
      <c r="CK53" s="22">
        <v>0</v>
      </c>
      <c r="CL53" s="22">
        <f t="shared" si="12"/>
        <v>65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12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59</v>
      </c>
      <c r="CJ61" s="27">
        <f t="shared" si="11"/>
        <v>59</v>
      </c>
      <c r="CK61" s="22">
        <v>0</v>
      </c>
      <c r="CL61" s="22">
        <f t="shared" si="12"/>
        <v>59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10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84</v>
      </c>
      <c r="CJ70" s="27">
        <f t="shared" si="11"/>
        <v>84</v>
      </c>
      <c r="CK70" s="22">
        <v>0</v>
      </c>
      <c r="CL70" s="22">
        <f t="shared" si="12"/>
        <v>84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298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2027</v>
      </c>
      <c r="CJ77" s="25">
        <f>+SUM(CJ14:CJ76)</f>
        <v>2027</v>
      </c>
      <c r="CK77" s="25">
        <f>+SUM(CK14:CK76)</f>
        <v>0</v>
      </c>
      <c r="CL77" s="25">
        <f>+SUM(CL14:CL76)</f>
        <v>2027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9205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2026-10-29T19:41:07Z</dcterms:modified>
</cp:coreProperties>
</file>