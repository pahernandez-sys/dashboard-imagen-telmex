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387DE7D-D5A9-456D-A4FE-FC6D9076B270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W75" i="2" s="1"/>
  <c r="CN75" i="2"/>
  <c r="CP75" i="2" s="1"/>
  <c r="CR75" i="2" s="1"/>
  <c r="DD74" i="2"/>
  <c r="CU74" i="2"/>
  <c r="CV74" i="2" s="1"/>
  <c r="CW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W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/>
  <c r="CV66" i="2" s="1"/>
  <c r="CW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W58" i="2" l="1"/>
  <c r="CW61" i="2"/>
  <c r="CQ28" i="3"/>
  <c r="CW55" i="2"/>
  <c r="CQ22" i="3"/>
  <c r="CQ18" i="3"/>
  <c r="CQ15" i="3"/>
  <c r="CW17" i="2"/>
  <c r="CW73" i="2"/>
  <c r="CW71" i="2"/>
  <c r="D22" i="1"/>
  <c r="AM13" i="2"/>
  <c r="D21" i="1"/>
  <c r="D23" i="1" s="1"/>
  <c r="AL13" i="2"/>
  <c r="D20" i="1"/>
  <c r="AK13" i="2"/>
  <c r="D19" i="1"/>
  <c r="AJ13" i="2"/>
  <c r="D18" i="1"/>
  <c r="AI13" i="2"/>
  <c r="D17" i="1"/>
  <c r="AH13" i="2"/>
  <c r="D16" i="1"/>
  <c r="AG13" i="2"/>
  <c r="AF13" i="2"/>
  <c r="D15" i="1"/>
  <c r="AE13" i="2"/>
  <c r="D14" i="1"/>
  <c r="D13" i="1"/>
  <c r="AD13" i="2"/>
  <c r="D12" i="1"/>
  <c r="AC13" i="2"/>
  <c r="D11" i="1"/>
  <c r="AB13" i="2"/>
  <c r="E22" i="1"/>
  <c r="AS13" i="3"/>
  <c r="AR13" i="3"/>
  <c r="E21" i="1"/>
  <c r="AQ13" i="3"/>
  <c r="E20" i="1"/>
  <c r="F20" i="1" s="1"/>
  <c r="AP13" i="3"/>
  <c r="E19" i="1"/>
  <c r="F19" i="1" s="1"/>
  <c r="E18" i="1"/>
  <c r="F18" i="1" s="1"/>
  <c r="AO13" i="3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E12" i="1"/>
  <c r="F12" i="1" s="1"/>
  <c r="AI13" i="3"/>
  <c r="E11" i="1"/>
  <c r="AH13" i="3"/>
  <c r="CH77" i="3"/>
  <c r="CJ20" i="3"/>
  <c r="CO77" i="3"/>
  <c r="CP19" i="3"/>
  <c r="CQ19" i="3" s="1"/>
  <c r="CQ14" i="3"/>
  <c r="CP77" i="3"/>
  <c r="CL14" i="3"/>
  <c r="CJ77" i="3"/>
  <c r="F11" i="1"/>
  <c r="CV14" i="2"/>
  <c r="CU79" i="2"/>
  <c r="CP14" i="2"/>
  <c r="CN79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2" i="3"/>
  <c r="CQ51" i="3"/>
  <c r="CQ50" i="3"/>
  <c r="CQ49" i="3"/>
  <c r="CQ48" i="3"/>
  <c r="CQ47" i="3"/>
  <c r="CQ45" i="3"/>
  <c r="CQ42" i="3"/>
  <c r="CW60" i="2"/>
  <c r="CQ53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16" i="3"/>
  <c r="CW64" i="2"/>
  <c r="CQ27" i="3"/>
  <c r="CQ26" i="3"/>
  <c r="CQ25" i="3"/>
  <c r="CQ24" i="3"/>
  <c r="CQ23" i="3"/>
  <c r="CQ21" i="3"/>
  <c r="CQ17" i="3"/>
  <c r="CW62" i="2"/>
  <c r="CW57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76" i="2"/>
  <c r="CW69" i="2"/>
  <c r="CW63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46" i="3"/>
  <c r="CQ44" i="3"/>
  <c r="CQ43" i="3"/>
  <c r="CQ41" i="3"/>
  <c r="F22" i="1" l="1"/>
  <c r="F21" i="1"/>
  <c r="F23" i="1" s="1"/>
  <c r="G23" i="1" s="1"/>
  <c r="D3" i="3"/>
  <c r="E6" i="1"/>
  <c r="CH13" i="3"/>
  <c r="I3" i="2"/>
  <c r="CQ20" i="3"/>
  <c r="CQ77" i="3" s="1"/>
  <c r="CL20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CW14" i="2"/>
  <c r="CW79" i="2" s="1"/>
  <c r="CV79" i="2"/>
  <c r="CR14" i="2"/>
  <c r="CR79" i="2" s="1"/>
  <c r="CP79" i="2"/>
  <c r="I3" i="3"/>
  <c r="B6" i="1"/>
  <c r="D3" i="2"/>
  <c r="CN13" i="2"/>
  <c r="E23" i="1"/>
  <c r="G21" i="1" l="1"/>
  <c r="G22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<sst xmlns="http://schemas.openxmlformats.org/spreadsheetml/2006/main" count="586" uniqueCount="174">
  <si>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</si>
  <si>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</si>
  <si>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</si>
  <si>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</si>
  <si>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</si>
  <si>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</si>
  <si>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</si>
  <si>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</si>
  <si>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</si>
  <si>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</si>
  <si>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</si>
  <si>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</si>
  <si>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</si>
  <si>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</si>
  <si>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</si>
  <si>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</si>
  <si>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</si>
  <si>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</si>
  <si>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</si>
  <si>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</si>
  <si>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</si>
  <si>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</si>
  <si>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</si>
  <si>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</si>
  <si>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</si>
  <si>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</si>
  <si>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</si>
  <si>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</si>
  <si>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</si>
  <si>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</si>
  <si>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</si>
  <si>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</si>
  <si>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</si>
  <si>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</si>
  <si>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</si>
  <si>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</si>
  <si>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</si>
  <si>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</si>
  <si>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</si>
  <si>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</si>
  <si>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</si>
  <si>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</si>
  <si>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</si>
  <si>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</si>
  <si>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</si>
  <si>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</si>
  <si>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</si>
  <si>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</si>
  <si>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</si>
  <si>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</si>
  <si>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</si>
  <si>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</si>
  <si>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</si>
  <si>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</si>
  <si>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</si>
  <si>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</si>
  <si>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</si>
  <si>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</si>
  <si>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</si>
  <si>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</si>
  <si>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</si>
  <si>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</si>
  <si>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</si>
  <si>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</si>
  <si>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</si>
  <si>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</si>
  <si>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</si>
  <si>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</si>
  <si>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</si>
  <si>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</si>
  <si>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</si>
  <si>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</si>
  <si>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</si>
  <si>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</si>
  <si>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</si>
  <si>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</si>
  <si>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</si>
  <si>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</si>
  <si>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</si>
  <si>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</si>
  <si>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</si>
  <si>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</si>
  <si>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</si>
  <si>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</si>
  <si>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</si>
  <si>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</si>
  <si>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</si>
  <si>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</si>
  <si>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</si>
  <si>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</si>
  <si>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</si>
  <si>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</si>
  <si>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</si>
  <si>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</si>
  <si>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</si>
  <si>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</si>
  <si>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</si>
  <si>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</si>
  <si>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</si>
  <si>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</si>
  <si>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</si>
  <si>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</si>
  <si>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</si>
  <si>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</si>
  <si>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</si>
  <si>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</si>
  <si>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</si>
  <si>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</si>
  <si>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</si>
  <si>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</si>
  <si>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</si>
  <si>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</si>
  <si>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20:27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</si>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</sst>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1718</v>
      </c>
      <c r="F6" s="89"/>
      <c r="H6" s="101">
        <f>B6+E6</f>
        <v>2377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393</v>
      </c>
      <c r="F22" s="72">
        <f t="shared" si="0"/>
        <v>570</v>
      </c>
      <c r="G22" s="72">
        <f t="shared" si="1"/>
        <v>2377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1718</v>
      </c>
      <c r="F23" s="75">
        <f>SUM(F11:F22)</f>
        <v>2377</v>
      </c>
      <c r="G23" s="75">
        <f>F23</f>
        <v>2377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2377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1718</v>
      </c>
      <c r="F3" s="79" t="s">
        <v>1</v>
      </c>
      <c r="I3" s="80">
        <f>'Programa CASETAS REPORTE DIARIO'!CN79+CH77</f>
        <v>2377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393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1718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20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33</v>
      </c>
      <c r="CJ41" s="27">
        <f t="shared" si="3"/>
        <v>33</v>
      </c>
      <c r="CK41" s="22">
        <v>0</v>
      </c>
      <c r="CL41" s="22">
        <f t="shared" si="4"/>
        <v>33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393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1718</v>
      </c>
      <c r="CJ77" s="25">
        <f>+SUM(CJ14:CJ76)</f>
        <v>1718</v>
      </c>
      <c r="CK77" s="25">
        <f>+SUM(CK14:CK76)</f>
        <v>0</v>
      </c>
      <c r="CL77" s="25">
        <f>+SUM(CL14:CL76)</f>
        <v>1718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2026-10-29T02:27:09Z</dcterms:modified>
</cp:coreProperties>
</file>