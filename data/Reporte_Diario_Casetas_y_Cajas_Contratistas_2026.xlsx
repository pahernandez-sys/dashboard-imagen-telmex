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7F547ED4-8DCC-48CC-B994-0B2CE8A67EB3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DC19" i="3"/>
  <c r="CO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W69" i="2" s="1"/>
  <c r="CN69" i="2"/>
  <c r="CP69" i="2" s="1"/>
  <c r="CR69" i="2" s="1"/>
  <c r="DD68" i="2"/>
  <c r="CU68" i="2" s="1"/>
  <c r="CV68" i="2" s="1"/>
  <c r="CW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W63" i="2" s="1"/>
  <c r="CN63" i="2"/>
  <c r="CP63" i="2" s="1"/>
  <c r="CR63" i="2" s="1"/>
  <c r="DD62" i="2"/>
  <c r="CU62" i="2" s="1"/>
  <c r="CV62" i="2" s="1"/>
  <c r="CW62" i="2" s="1"/>
  <c r="CN62" i="2"/>
  <c r="CP62" i="2" s="1"/>
  <c r="CR62" i="2" s="1"/>
  <c r="DD61" i="2"/>
  <c r="CU61" i="2" s="1"/>
  <c r="CV61" i="2" s="1"/>
  <c r="CW61" i="2" s="1"/>
  <c r="CN61" i="2"/>
  <c r="CP61" i="2" s="1"/>
  <c r="CR61" i="2" s="1"/>
  <c r="DD60" i="2"/>
  <c r="CU60" i="2"/>
  <c r="CV60" i="2" s="1"/>
  <c r="CW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W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W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W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W45" i="2" s="1"/>
  <c r="CN45" i="2"/>
  <c r="CP45" i="2" s="1"/>
  <c r="CR45" i="2" s="1"/>
  <c r="DD44" i="2"/>
  <c r="CU44" i="2" s="1"/>
  <c r="CV44" i="2" s="1"/>
  <c r="CW44" i="2" s="1"/>
  <c r="CN44" i="2"/>
  <c r="CP44" i="2" s="1"/>
  <c r="CR44" i="2" s="1"/>
  <c r="DD43" i="2"/>
  <c r="CU43" i="2" s="1"/>
  <c r="CV43" i="2" s="1"/>
  <c r="CW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W53" i="2" l="1"/>
  <c r="CW59" i="2"/>
  <c r="CW58" i="2"/>
  <c r="CW57" i="2"/>
  <c r="CQ63" i="3"/>
  <c r="CQ59" i="3"/>
  <c r="CQ55" i="3"/>
  <c r="CW49" i="2"/>
  <c r="CQ54" i="3"/>
  <c r="CW66" i="2"/>
  <c r="CW46" i="2"/>
  <c r="CW42" i="2"/>
  <c r="CW73" i="2"/>
  <c r="CW21" i="2"/>
  <c r="CW64" i="2"/>
  <c r="D20" i="1"/>
  <c r="AK13" i="2"/>
  <c r="AJ13" i="2"/>
  <c r="D19" i="1"/>
  <c r="D18" i="1"/>
  <c r="AI13" i="2"/>
  <c r="D17" i="1"/>
  <c r="AH13" i="2"/>
  <c r="D16" i="1"/>
  <c r="AG13" i="2"/>
  <c r="D15" i="1"/>
  <c r="AF13" i="2"/>
  <c r="D14" i="1"/>
  <c r="AE13" i="2"/>
  <c r="D13" i="1"/>
  <c r="D21" i="1" s="1"/>
  <c r="AD13" i="2"/>
  <c r="D12" i="1"/>
  <c r="AC13" i="2"/>
  <c r="D11" i="1"/>
  <c r="AB13" i="2"/>
  <c r="E20" i="1"/>
  <c r="F20" i="1" s="1"/>
  <c r="AQ13" i="3"/>
  <c r="E19" i="1"/>
  <c r="F19" i="1" s="1"/>
  <c r="AP13" i="3"/>
  <c r="E18" i="1"/>
  <c r="F18" i="1" s="1"/>
  <c r="AO13" i="3"/>
  <c r="E17" i="1"/>
  <c r="F17" i="1" s="1"/>
  <c r="AN13" i="3"/>
  <c r="AM13" i="3"/>
  <c r="E16" i="1"/>
  <c r="F16" i="1" s="1"/>
  <c r="E15" i="1"/>
  <c r="F15" i="1" s="1"/>
  <c r="AL13" i="3"/>
  <c r="AK13" i="3"/>
  <c r="E14" i="1"/>
  <c r="F14" i="1" s="1"/>
  <c r="E13" i="1"/>
  <c r="F13" i="1" s="1"/>
  <c r="AJ13" i="3"/>
  <c r="E12" i="1"/>
  <c r="F12" i="1" s="1"/>
  <c r="AI13" i="3"/>
  <c r="E11" i="1"/>
  <c r="F11" i="1" s="1"/>
  <c r="AH13" i="3"/>
  <c r="CH77" i="3"/>
  <c r="CJ20" i="3"/>
  <c r="CP19" i="3"/>
  <c r="CQ19" i="3" s="1"/>
  <c r="CO77" i="3"/>
  <c r="CQ14" i="3"/>
  <c r="CP77" i="3"/>
  <c r="CL14" i="3"/>
  <c r="CJ77" i="3"/>
  <c r="CU79" i="2"/>
  <c r="CV14" i="2"/>
  <c r="CP14" i="2"/>
  <c r="CN79" i="2"/>
  <c r="CQ76" i="3"/>
  <c r="CQ75" i="3"/>
  <c r="CQ74" i="3"/>
  <c r="CQ73" i="3"/>
  <c r="CQ72" i="3"/>
  <c r="CQ71" i="3"/>
  <c r="CQ70" i="3"/>
  <c r="CQ69" i="3"/>
  <c r="CQ68" i="3"/>
  <c r="CQ67" i="3"/>
  <c r="CQ65" i="3"/>
  <c r="CQ64" i="3"/>
  <c r="CQ62" i="3"/>
  <c r="CQ61" i="3"/>
  <c r="CQ60" i="3"/>
  <c r="CQ57" i="3"/>
  <c r="CQ66" i="3"/>
  <c r="CQ58" i="3"/>
  <c r="CQ56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W52" i="2"/>
  <c r="CQ28" i="3"/>
  <c r="CQ27" i="3"/>
  <c r="CQ26" i="3"/>
  <c r="CQ25" i="3"/>
  <c r="CQ24" i="3"/>
  <c r="CQ23" i="3"/>
  <c r="CQ22" i="3"/>
  <c r="CQ21" i="3"/>
  <c r="CQ18" i="3"/>
  <c r="CQ17" i="3"/>
  <c r="CQ16" i="3"/>
  <c r="CW65" i="2"/>
  <c r="CW56" i="2"/>
  <c r="CW54" i="2"/>
  <c r="CW48" i="2"/>
  <c r="CQ15" i="3"/>
  <c r="CW78" i="2"/>
  <c r="CW77" i="2"/>
  <c r="CW76" i="2"/>
  <c r="CW75" i="2"/>
  <c r="CW74" i="2"/>
  <c r="CW72" i="2"/>
  <c r="CW71" i="2"/>
  <c r="CW70" i="2"/>
  <c r="CW67" i="2"/>
  <c r="CW50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0" i="2"/>
  <c r="CW19" i="2"/>
  <c r="CW18" i="2"/>
  <c r="CW17" i="2"/>
  <c r="CW16" i="2"/>
  <c r="CW15" i="2"/>
  <c r="I3" i="2" l="1"/>
  <c r="D3" i="3"/>
  <c r="E6" i="1"/>
  <c r="CH13" i="3"/>
  <c r="CQ20" i="3"/>
  <c r="CQ77" i="3" s="1"/>
  <c r="CL20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CV79" i="2"/>
  <c r="CW14" i="2"/>
  <c r="CW79" i="2" s="1"/>
  <c r="CR14" i="2"/>
  <c r="CR79" i="2" s="1"/>
  <c r="CP79" i="2"/>
  <c r="I3" i="3"/>
  <c r="B6" i="1"/>
  <c r="H6" i="1" s="1"/>
  <c r="D3" i="2"/>
  <c r="CN13" i="2"/>
  <c r="E21" i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<sst xmlns="http://schemas.openxmlformats.org/spreadsheetml/2006/main" count="580" uniqueCount="171">
  <si>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</si>
  <si>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</si>
  <si>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</si>
  <si>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</si>
  <si>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</si>
  <si>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</si>
  <si>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</si>
  <si>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</si>
  <si>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</si>
  <si>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</si>
  <si>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</si>
  <si>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</si>
  <si>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</si>
  <si>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</si>
  <si>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</si>
  <si>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</si>
  <si>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</si>
  <si>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</si>
  <si>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</si>
  <si>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</si>
  <si>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</si>
  <si>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</si>
  <si>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</si>
  <si>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</si>
  <si>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</si>
  <si>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</si>
  <si>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</si>
  <si>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</si>
  <si>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</si>
  <si>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</si>
  <si>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</si>
  <si>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</si>
  <si>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</si>
  <si>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</si>
  <si>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</si>
  <si>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</si>
  <si>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</si>
  <si>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</si>
  <si>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</si>
  <si>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</si>
  <si>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</si>
  <si>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</si>
  <si>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</si>
  <si>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</si>
  <si>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</si>
  <si>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</si>
  <si>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</si>
  <si>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</si>
  <si>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</si>
  <si>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</si>
  <si>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</si>
  <si>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</si>
  <si>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</si>
  <si>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</si>
  <si>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</si>
  <si>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</si>
  <si>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</si>
  <si>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</si>
  <si>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</si>
  <si>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</si>
  <si>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</si>
  <si>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</si>
  <si>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</si>
  <si>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</si>
  <si>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</si>
  <si>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</si>
  <si>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</si>
  <si>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</si>
  <si>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</si>
  <si>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</si>
  <si>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</si>
  <si>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</si>
  <si>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</si>
  <si>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</si>
  <si>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</si>
  <si>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</si>
  <si>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</si>
  <si>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</si>
  <si>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</si>
  <si>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</si>
  <si>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</si>
  <si>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</si>
  <si>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</si>
  <si>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</si>
  <si>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</si>
  <si>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</si>
  <si>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</si>
  <si>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</si>
  <si>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</si>
  <si>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</si>
  <si>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</si>
  <si>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</si>
  <si>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</si>
  <si>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</si>
  <si>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</si>
  <si>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</si>
  <si>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</si>
  <si>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</si>
  <si>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</si>
  <si>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</si>
  <si>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</si>
  <si>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</si>
  <si>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</si>
  <si>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</si>
  <si>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</si>
  <si>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</si>
  <si>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</si>
  <si>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</si>
  <si>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</si>
  <si>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</si>
  <si>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</si>
  <si>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</si>
  <si>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19:20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</si>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</sst>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464</v>
      </c>
      <c r="C6" s="89"/>
      <c r="E6" s="88">
        <f>'Programa CAJAS REPORTE DIARIO'!CH77</f>
        <v>1305</v>
      </c>
      <c r="F6" s="89"/>
      <c r="H6" s="101">
        <f>B6+E6</f>
        <v>1769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464</v>
      </c>
      <c r="F3" s="79" t="s">
        <v>1</v>
      </c>
      <c r="I3" s="80">
        <f>'Programa CAJAS REPORTE DIARIO'!CH77+CN79</f>
        <v>1769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120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464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61</v>
      </c>
      <c r="CP29" s="27">
        <f t="shared" si="4"/>
        <v>61</v>
      </c>
      <c r="CQ29" s="22">
        <v>0</v>
      </c>
      <c r="CR29" s="22">
        <f t="shared" si="5"/>
        <v>61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345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30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39</v>
      </c>
      <c r="CP42" s="27">
        <f t="shared" si="4"/>
        <v>39</v>
      </c>
      <c r="CQ42" s="22">
        <v>0</v>
      </c>
      <c r="CR42" s="22">
        <f t="shared" si="5"/>
        <v>39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-39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0</v>
      </c>
      <c r="CP75" s="27">
        <f t="shared" si="11"/>
        <v>0</v>
      </c>
      <c r="CQ75" s="22">
        <v>0</v>
      </c>
      <c r="CR75" s="22">
        <f t="shared" si="12"/>
        <v>0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0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120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464</v>
      </c>
      <c r="CP79" s="25">
        <f>+SUM(CP14:CP78)</f>
        <v>464</v>
      </c>
      <c r="CQ79" s="25">
        <f>+SUM(CQ14:CQ78)</f>
        <v>0</v>
      </c>
      <c r="CR79" s="25">
        <f>+SUM(CR14:CR78)</f>
        <v>464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2668.5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1305</v>
      </c>
      <c r="F3" s="79" t="s">
        <v>1</v>
      </c>
      <c r="I3" s="80">
        <f>'Programa CASETAS REPORTE DIARIO'!CN79+CH77</f>
        <v>1769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446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1305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72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76</v>
      </c>
      <c r="CJ35" s="27">
        <f t="shared" si="3"/>
        <v>76</v>
      </c>
      <c r="CK35" s="22">
        <v>0</v>
      </c>
      <c r="CL35" s="22">
        <f t="shared" si="4"/>
        <v>76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23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48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155</v>
      </c>
      <c r="CJ46" s="27">
        <f t="shared" ref="CJ46:CJ76" si="11">CH46</f>
        <v>155</v>
      </c>
      <c r="CK46" s="22">
        <v>0</v>
      </c>
      <c r="CL46" s="22">
        <f t="shared" ref="CL46:CL77" si="12">CJ46+CK46</f>
        <v>155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176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446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1305</v>
      </c>
      <c r="CJ77" s="25">
        <f>+SUM(CJ14:CJ76)</f>
        <v>1305</v>
      </c>
      <c r="CK77" s="25">
        <f>+SUM(CK14:CK76)</f>
        <v>0</v>
      </c>
      <c r="CL77" s="25">
        <f>+SUM(CL14:CL76)</f>
        <v>1305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5682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2026-10-28T01:20:13Z</dcterms:modified>
</cp:coreProperties>
</file>