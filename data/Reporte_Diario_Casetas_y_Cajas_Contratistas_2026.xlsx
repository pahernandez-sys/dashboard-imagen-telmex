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C19B7D2-843B-44EC-A3D1-0BE24EDA89F1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E20" i="1" s="1"/>
  <c r="AP77" i="3"/>
  <c r="AO77" i="3"/>
  <c r="AN77" i="3"/>
  <c r="AM77" i="3"/>
  <c r="AM13" i="3" s="1"/>
  <c r="AL77" i="3"/>
  <c r="AL13" i="3" s="1"/>
  <c r="AK77" i="3"/>
  <c r="AK13" i="3" s="1"/>
  <c r="AJ77" i="3"/>
  <c r="AJ13" i="3" s="1"/>
  <c r="AI77" i="3"/>
  <c r="AI13" i="3" s="1"/>
  <c r="AH77" i="3"/>
  <c r="AH13" i="3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P50" i="3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E19" i="1"/>
  <c r="E18" i="1"/>
  <c r="E17" i="1"/>
  <c r="E16" i="1"/>
  <c r="E15" i="1"/>
  <c r="E14" i="1"/>
  <c r="E13" i="1"/>
  <c r="E12" i="1"/>
  <c r="E11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F19" i="1" s="1"/>
  <c r="AI79" i="2"/>
  <c r="D18" i="1" s="1"/>
  <c r="F18" i="1" s="1"/>
  <c r="AH79" i="2"/>
  <c r="D17" i="1" s="1"/>
  <c r="F17" i="1" s="1"/>
  <c r="AG79" i="2"/>
  <c r="D16" i="1" s="1"/>
  <c r="F16" i="1" s="1"/>
  <c r="AF79" i="2"/>
  <c r="D15" i="1" s="1"/>
  <c r="F15" i="1" s="1"/>
  <c r="AE79" i="2"/>
  <c r="D14" i="1" s="1"/>
  <c r="F14" i="1" s="1"/>
  <c r="AD79" i="2"/>
  <c r="D13" i="1" s="1"/>
  <c r="F13" i="1" s="1"/>
  <c r="AC79" i="2"/>
  <c r="D12" i="1" s="1"/>
  <c r="F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N85" i="2" l="1"/>
  <c r="CQ48" i="3"/>
  <c r="CQ66" i="3"/>
  <c r="CO77" i="3"/>
  <c r="CP14" i="3"/>
  <c r="CH77" i="3"/>
  <c r="CJ14" i="3"/>
  <c r="F11" i="1"/>
  <c r="D21" i="1"/>
  <c r="CV14" i="2"/>
  <c r="CU79" i="2"/>
  <c r="CN79" i="2"/>
  <c r="CP14" i="2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F20" i="1"/>
  <c r="E21" i="1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14" i="3" l="1"/>
  <c r="CQ77" i="3" s="1"/>
  <c r="CP77" i="3"/>
  <c r="I3" i="2"/>
  <c r="D3" i="3"/>
  <c r="E6" i="1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14" i="2"/>
  <c r="CW79" i="2" s="1"/>
  <c r="CV79" i="2"/>
  <c r="B6" i="1"/>
  <c r="I3" i="3"/>
  <c r="D3" i="2"/>
  <c r="CN1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<sst xmlns="http://schemas.openxmlformats.org/spreadsheetml/2006/main" count="580" uniqueCount="171">
  <si>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</si>
  <si>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</si>
  <si>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</si>
  <si>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</si>
  <si>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</si>
  <si>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</si>
  <si>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</si>
  <si>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</si>
  <si>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</si>
  <si>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</si>
  <si>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</si>
  <si>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</si>
  <si>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</si>
  <si>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</si>
  <si>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</si>
  <si>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</si>
  <si>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</si>
  <si>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</si>
  <si>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</si>
  <si>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</si>
  <si>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</si>
  <si>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</si>
  <si>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</si>
  <si>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</si>
  <si>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</si>
  <si>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</si>
  <si>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</si>
  <si>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</si>
  <si>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</si>
  <si>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</si>
  <si>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</si>
  <si>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</si>
  <si>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</si>
  <si>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</si>
  <si>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</si>
  <si>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</si>
  <si>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</si>
  <si>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</si>
  <si>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</si>
  <si>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</si>
  <si>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</si>
  <si>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</si>
  <si>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</si>
  <si>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</si>
  <si>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</si>
  <si>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</si>
  <si>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</si>
  <si>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</si>
  <si>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</si>
  <si>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</si>
  <si>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</si>
  <si>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</si>
  <si>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</si>
  <si>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</si>
  <si>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</si>
  <si>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</si>
  <si>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</si>
  <si>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</si>
  <si>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</si>
  <si>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</si>
  <si>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</si>
  <si>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</si>
  <si>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</si>
  <si>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</si>
  <si>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</si>
  <si>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</si>
  <si>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</si>
  <si>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</si>
  <si>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</si>
  <si>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</si>
  <si>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</si>
  <si>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</si>
  <si>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</si>
  <si>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</si>
  <si>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</si>
  <si>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</si>
  <si>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</si>
  <si>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</si>
  <si>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</si>
  <si>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</si>
  <si>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</si>
  <si>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</si>
  <si>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</si>
  <si>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</si>
  <si>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</si>
  <si>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</si>
  <si>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</si>
  <si>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</si>
  <si>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</si>
  <si>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</si>
  <si>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</si>
  <si>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</si>
  <si>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</si>
  <si>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</si>
  <si>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</si>
  <si>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</si>
  <si>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</si>
  <si>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</si>
  <si>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</si>
  <si>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</si>
  <si>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</si>
  <si>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</si>
  <si>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</si>
  <si>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</si>
  <si>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</si>
  <si>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</si>
  <si>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</si>
  <si>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</si>
  <si>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</si>
  <si>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</si>
  <si>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</si>
  <si>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</si>
  <si>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(26/10/2026, 13:55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</si>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</sst>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280</v>
      </c>
      <c r="C6" s="89"/>
      <c r="E6" s="88">
        <f>'Programa CAJAS REPORTE DIARIO'!CH77</f>
        <v>734</v>
      </c>
      <c r="F6" s="89"/>
      <c r="H6" s="101">
        <f>B6+E6</f>
        <v>1014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17</v>
      </c>
      <c r="E20" s="72">
        <f>'Programa CAJAS REPORTE DIARIO'!AQ77</f>
        <v>50</v>
      </c>
      <c r="F20" s="72">
        <f t="shared" si="0"/>
        <v>67</v>
      </c>
      <c r="G20" s="72">
        <f t="shared" si="1"/>
        <v>1014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280</v>
      </c>
      <c r="E21" s="75">
        <f>SUM(E11:E20)</f>
        <v>734</v>
      </c>
      <c r="F21" s="75">
        <f>SUM(F11:F20)</f>
        <v>1014</v>
      </c>
      <c r="G21" s="75">
        <f>F21</f>
        <v>1014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280</v>
      </c>
      <c r="F3" s="79" t="s">
        <v>1</v>
      </c>
      <c r="I3" s="80">
        <f>'Programa CAJAS REPORTE DIARIO'!CH77+CN79</f>
        <v>1014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17</v>
      </c>
      <c r="AL13" s="23">
        <f t="shared" si="0"/>
        <v>0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280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11</v>
      </c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117</v>
      </c>
      <c r="CP27" s="27">
        <f t="shared" si="4"/>
        <v>117</v>
      </c>
      <c r="CQ27" s="22">
        <v>0</v>
      </c>
      <c r="CR27" s="22">
        <f t="shared" si="5"/>
        <v>117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253.5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98</v>
      </c>
      <c r="CP28" s="27">
        <f t="shared" si="4"/>
        <v>98</v>
      </c>
      <c r="CQ28" s="22">
        <v>0</v>
      </c>
      <c r="CR28" s="22">
        <f t="shared" si="5"/>
        <v>98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1279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1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24</v>
      </c>
      <c r="CP29" s="27">
        <f t="shared" si="4"/>
        <v>24</v>
      </c>
      <c r="CQ29" s="22">
        <v>0</v>
      </c>
      <c r="CR29" s="22">
        <f t="shared" si="5"/>
        <v>24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382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0</v>
      </c>
      <c r="CP32" s="27">
        <f t="shared" si="4"/>
        <v>0</v>
      </c>
      <c r="CQ32" s="22">
        <v>0</v>
      </c>
      <c r="CR32" s="22">
        <f t="shared" si="5"/>
        <v>0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94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0</v>
      </c>
      <c r="CP35" s="27">
        <f t="shared" si="4"/>
        <v>0</v>
      </c>
      <c r="CQ35" s="22">
        <v>0</v>
      </c>
      <c r="CR35" s="22">
        <f t="shared" si="5"/>
        <v>0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0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3</v>
      </c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3</v>
      </c>
      <c r="CP36" s="27">
        <f t="shared" si="4"/>
        <v>3</v>
      </c>
      <c r="CQ36" s="22">
        <v>0</v>
      </c>
      <c r="CR36" s="22">
        <f t="shared" si="5"/>
        <v>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0</v>
      </c>
      <c r="CP40" s="27">
        <f t="shared" si="4"/>
        <v>0</v>
      </c>
      <c r="CQ40" s="22">
        <v>0</v>
      </c>
      <c r="CR40" s="22">
        <f t="shared" si="5"/>
        <v>0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0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0</v>
      </c>
      <c r="CP42" s="27">
        <f t="shared" si="4"/>
        <v>0</v>
      </c>
      <c r="CQ42" s="22">
        <v>0</v>
      </c>
      <c r="CR42" s="22">
        <f t="shared" si="5"/>
        <v>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0</v>
      </c>
      <c r="CV48" s="14">
        <f t="shared" si="14"/>
        <v>0</v>
      </c>
      <c r="CW48" s="14">
        <f t="shared" si="15"/>
        <v>0</v>
      </c>
      <c r="CX48" s="43"/>
      <c r="CY48" s="17"/>
      <c r="DD48" s="14">
        <f t="shared" si="16"/>
        <v>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0</v>
      </c>
      <c r="CP49" s="27">
        <f t="shared" si="11"/>
        <v>0</v>
      </c>
      <c r="CQ49" s="22">
        <v>0</v>
      </c>
      <c r="CR49" s="22">
        <f t="shared" si="12"/>
        <v>0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0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</v>
      </c>
      <c r="CP51" s="27">
        <f t="shared" si="11"/>
        <v>1</v>
      </c>
      <c r="CQ51" s="22">
        <v>0</v>
      </c>
      <c r="CR51" s="22">
        <f t="shared" si="12"/>
        <v>1</v>
      </c>
      <c r="CS51" s="42"/>
      <c r="CT51" s="44"/>
      <c r="CU51" s="14">
        <f t="shared" si="13"/>
        <v>0</v>
      </c>
      <c r="CV51" s="14">
        <f t="shared" si="14"/>
        <v>0</v>
      </c>
      <c r="CW51" s="14">
        <f t="shared" si="15"/>
        <v>-1</v>
      </c>
      <c r="CX51" s="43"/>
      <c r="CY51" s="17"/>
      <c r="DD51" s="14">
        <f t="shared" si="16"/>
        <v>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0</v>
      </c>
      <c r="CP58" s="27">
        <f t="shared" si="11"/>
        <v>0</v>
      </c>
      <c r="CQ58" s="22">
        <v>0</v>
      </c>
      <c r="CR58" s="22">
        <f t="shared" si="12"/>
        <v>0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0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0</v>
      </c>
      <c r="CP65" s="27">
        <f t="shared" si="11"/>
        <v>0</v>
      </c>
      <c r="CQ65" s="22">
        <v>0</v>
      </c>
      <c r="CR65" s="22">
        <f t="shared" si="12"/>
        <v>0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0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17</v>
      </c>
      <c r="AL79" s="25">
        <f t="shared" si="22"/>
        <v>0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280</v>
      </c>
      <c r="CP79" s="25">
        <f>+SUM(CP14:CP78)</f>
        <v>280</v>
      </c>
      <c r="CQ79" s="25">
        <f>+SUM(CQ14:CQ78)</f>
        <v>0</v>
      </c>
      <c r="CR79" s="25">
        <f>+SUM(CR14:CR78)</f>
        <v>280</v>
      </c>
      <c r="CS79" s="25"/>
      <c r="CT79" s="25"/>
      <c r="CU79" s="25">
        <f>+SUM(CU14:CU78)</f>
        <v>4499</v>
      </c>
      <c r="CV79" s="25">
        <f>+SUM(CV14:CV78)</f>
        <v>2249.5</v>
      </c>
      <c r="CW79" s="25">
        <f>+SUM(CW14:CW78)</f>
        <v>1969.5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734</v>
      </c>
      <c r="F3" s="79" t="s">
        <v>1</v>
      </c>
      <c r="I3" s="80">
        <f>'Programa CASETAS REPORTE DIARIO'!CN79+CH77</f>
        <v>1014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50</v>
      </c>
      <c r="AR13" s="38">
        <f t="shared" si="0"/>
        <v>0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734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23</v>
      </c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260</v>
      </c>
      <c r="CJ27" s="27">
        <f t="shared" si="3"/>
        <v>260</v>
      </c>
      <c r="CK27" s="22">
        <v>0</v>
      </c>
      <c r="CL27" s="22">
        <f t="shared" si="4"/>
        <v>260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526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17</v>
      </c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118</v>
      </c>
      <c r="CJ28" s="27">
        <f t="shared" si="3"/>
        <v>118</v>
      </c>
      <c r="CK28" s="22">
        <v>0</v>
      </c>
      <c r="CL28" s="22">
        <f t="shared" si="4"/>
        <v>118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60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1</v>
      </c>
      <c r="CJ32" s="27">
        <f t="shared" si="3"/>
        <v>1</v>
      </c>
      <c r="CK32" s="22">
        <v>0</v>
      </c>
      <c r="CL32" s="22">
        <f t="shared" si="4"/>
        <v>1</v>
      </c>
      <c r="CM32" s="42"/>
      <c r="CN32" s="44"/>
      <c r="CO32" s="14">
        <f t="shared" si="5"/>
        <v>132</v>
      </c>
      <c r="CP32" s="14">
        <f t="shared" si="6"/>
        <v>132</v>
      </c>
      <c r="CQ32" s="14">
        <f t="shared" si="7"/>
        <v>131</v>
      </c>
      <c r="CR32" s="43"/>
      <c r="CS32" s="17"/>
      <c r="CT32">
        <v>12</v>
      </c>
      <c r="DA32">
        <v>2</v>
      </c>
      <c r="DB32">
        <v>118</v>
      </c>
      <c r="DC32" s="14">
        <f t="shared" si="8"/>
        <v>132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0</v>
      </c>
      <c r="CJ35" s="27">
        <f t="shared" si="3"/>
        <v>0</v>
      </c>
      <c r="CK35" s="22">
        <v>0</v>
      </c>
      <c r="CL35" s="22">
        <f t="shared" si="4"/>
        <v>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99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20</v>
      </c>
      <c r="CJ36" s="27">
        <f t="shared" si="3"/>
        <v>20</v>
      </c>
      <c r="CK36" s="22">
        <v>0</v>
      </c>
      <c r="CL36" s="22">
        <f t="shared" si="4"/>
        <v>20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-20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2</v>
      </c>
      <c r="CJ37" s="27">
        <f t="shared" si="3"/>
        <v>2</v>
      </c>
      <c r="CK37" s="22">
        <v>0</v>
      </c>
      <c r="CL37" s="22">
        <f t="shared" si="4"/>
        <v>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573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</v>
      </c>
      <c r="CJ41" s="27">
        <f t="shared" si="3"/>
        <v>4</v>
      </c>
      <c r="CK41" s="22">
        <v>0</v>
      </c>
      <c r="CL41" s="22">
        <f t="shared" si="4"/>
        <v>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9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33</v>
      </c>
      <c r="CJ43" s="27">
        <f t="shared" si="3"/>
        <v>33</v>
      </c>
      <c r="CK43" s="22">
        <v>0</v>
      </c>
      <c r="CL43" s="22">
        <f t="shared" si="4"/>
        <v>33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4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107</v>
      </c>
      <c r="CJ46" s="27">
        <f t="shared" ref="CJ46:CJ76" si="11">CH46</f>
        <v>107</v>
      </c>
      <c r="CK46" s="22">
        <v>0</v>
      </c>
      <c r="CL46" s="22">
        <f t="shared" ref="CL46:CL77" si="12">CJ46+CK46</f>
        <v>107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224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v>11</v>
      </c>
      <c r="CP50" s="14">
        <f t="shared" si="13"/>
        <v>11</v>
      </c>
      <c r="CQ50" s="14">
        <f t="shared" si="14"/>
        <v>-18</v>
      </c>
      <c r="CR50" s="43"/>
      <c r="CS50" s="17"/>
      <c r="DC50" s="14">
        <f t="shared" si="15"/>
        <v>0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</v>
      </c>
      <c r="CJ51" s="27">
        <f t="shared" si="11"/>
        <v>1</v>
      </c>
      <c r="CK51" s="22">
        <v>0</v>
      </c>
      <c r="CL51" s="22">
        <f t="shared" si="12"/>
        <v>1</v>
      </c>
      <c r="CM51" s="42"/>
      <c r="CN51" s="44"/>
      <c r="CO51" s="14">
        <f t="shared" ref="CO51:CO59" si="16">DC51</f>
        <v>0</v>
      </c>
      <c r="CP51" s="14">
        <f t="shared" si="13"/>
        <v>0</v>
      </c>
      <c r="CQ51" s="14">
        <f t="shared" si="14"/>
        <v>-1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16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16"/>
        <v>0</v>
      </c>
      <c r="CP53" s="14">
        <f t="shared" si="13"/>
        <v>0</v>
      </c>
      <c r="CQ53" s="14">
        <f t="shared" si="14"/>
        <v>0</v>
      </c>
      <c r="CR53" s="43"/>
      <c r="CS53" s="17"/>
      <c r="DC53" s="14">
        <f t="shared" si="15"/>
        <v>0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16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21</v>
      </c>
      <c r="CJ55" s="27">
        <f t="shared" si="11"/>
        <v>21</v>
      </c>
      <c r="CK55" s="22">
        <v>0</v>
      </c>
      <c r="CL55" s="22">
        <f t="shared" si="12"/>
        <v>21</v>
      </c>
      <c r="CM55" s="42"/>
      <c r="CN55" s="44"/>
      <c r="CO55" s="14">
        <f t="shared" si="16"/>
        <v>30</v>
      </c>
      <c r="CP55" s="14">
        <f t="shared" si="13"/>
        <v>30</v>
      </c>
      <c r="CQ55" s="14">
        <f t="shared" si="14"/>
        <v>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16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2</v>
      </c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33</v>
      </c>
      <c r="CJ57" s="27">
        <f t="shared" si="11"/>
        <v>33</v>
      </c>
      <c r="CK57" s="22">
        <v>0</v>
      </c>
      <c r="CL57" s="22">
        <f t="shared" si="12"/>
        <v>33</v>
      </c>
      <c r="CM57" s="42"/>
      <c r="CN57" s="44"/>
      <c r="CO57" s="14">
        <f t="shared" si="16"/>
        <v>92</v>
      </c>
      <c r="CP57" s="14">
        <f t="shared" si="13"/>
        <v>92</v>
      </c>
      <c r="CQ57" s="14">
        <f t="shared" si="14"/>
        <v>59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16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16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2</v>
      </c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23</v>
      </c>
      <c r="CJ61" s="27">
        <f t="shared" si="11"/>
        <v>23</v>
      </c>
      <c r="CK61" s="22">
        <v>0</v>
      </c>
      <c r="CL61" s="22">
        <f t="shared" si="12"/>
        <v>23</v>
      </c>
      <c r="CM61" s="42"/>
      <c r="CN61" s="44"/>
      <c r="CO61" s="14">
        <f t="shared" ref="CO61:CO76" si="17">DC61</f>
        <v>32</v>
      </c>
      <c r="CP61" s="14">
        <f t="shared" si="13"/>
        <v>32</v>
      </c>
      <c r="CQ61" s="14">
        <f t="shared" si="14"/>
        <v>9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7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7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32</v>
      </c>
      <c r="CJ64" s="27">
        <f t="shared" si="11"/>
        <v>32</v>
      </c>
      <c r="CK64" s="22">
        <v>0</v>
      </c>
      <c r="CL64" s="22">
        <f t="shared" si="12"/>
        <v>32</v>
      </c>
      <c r="CM64" s="42"/>
      <c r="CN64" s="44"/>
      <c r="CO64" s="14">
        <f t="shared" si="17"/>
        <v>12</v>
      </c>
      <c r="CP64" s="14">
        <f t="shared" si="13"/>
        <v>12</v>
      </c>
      <c r="CQ64" s="14">
        <f t="shared" si="14"/>
        <v>-20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7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7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7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7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0</v>
      </c>
      <c r="CJ69" s="27">
        <f t="shared" si="11"/>
        <v>0</v>
      </c>
      <c r="CK69" s="22">
        <v>0</v>
      </c>
      <c r="CL69" s="22">
        <f t="shared" si="12"/>
        <v>0</v>
      </c>
      <c r="CM69" s="42"/>
      <c r="CN69" s="44"/>
      <c r="CO69" s="14">
        <f t="shared" si="17"/>
        <v>0</v>
      </c>
      <c r="CP69" s="14">
        <f t="shared" si="13"/>
        <v>0</v>
      </c>
      <c r="CQ69" s="14">
        <f t="shared" si="14"/>
        <v>0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0</v>
      </c>
      <c r="CJ70" s="27">
        <f t="shared" si="11"/>
        <v>0</v>
      </c>
      <c r="CK70" s="22">
        <v>0</v>
      </c>
      <c r="CL70" s="22">
        <f t="shared" si="12"/>
        <v>0</v>
      </c>
      <c r="CM70" s="42"/>
      <c r="CN70" s="44"/>
      <c r="CO70" s="14">
        <f t="shared" si="17"/>
        <v>14</v>
      </c>
      <c r="CP70" s="14">
        <f t="shared" si="13"/>
        <v>14</v>
      </c>
      <c r="CQ70" s="14">
        <f t="shared" si="14"/>
        <v>14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7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7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7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7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1</v>
      </c>
      <c r="CJ75" s="27">
        <f t="shared" si="11"/>
        <v>1</v>
      </c>
      <c r="CK75" s="22">
        <v>0</v>
      </c>
      <c r="CL75" s="22">
        <f t="shared" si="12"/>
        <v>1</v>
      </c>
      <c r="CM75" s="42"/>
      <c r="CN75" s="44"/>
      <c r="CO75" s="14">
        <f t="shared" si="17"/>
        <v>1</v>
      </c>
      <c r="CP75" s="14">
        <f t="shared" si="13"/>
        <v>1</v>
      </c>
      <c r="CQ75" s="14">
        <f t="shared" si="14"/>
        <v>0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7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8">+SUM(AC14:AC76)</f>
        <v>0</v>
      </c>
      <c r="AD77" s="25">
        <f t="shared" si="18"/>
        <v>0</v>
      </c>
      <c r="AE77" s="25">
        <f t="shared" si="18"/>
        <v>0</v>
      </c>
      <c r="AF77" s="25">
        <f t="shared" si="18"/>
        <v>0</v>
      </c>
      <c r="AG77" s="25">
        <f t="shared" si="18"/>
        <v>0</v>
      </c>
      <c r="AH77" s="25">
        <f t="shared" si="18"/>
        <v>52</v>
      </c>
      <c r="AI77" s="25">
        <f t="shared" si="18"/>
        <v>0</v>
      </c>
      <c r="AJ77" s="25">
        <f t="shared" si="18"/>
        <v>24</v>
      </c>
      <c r="AK77" s="25">
        <f t="shared" si="18"/>
        <v>54</v>
      </c>
      <c r="AL77" s="25">
        <f t="shared" si="18"/>
        <v>66</v>
      </c>
      <c r="AM77" s="25">
        <f t="shared" si="18"/>
        <v>103</v>
      </c>
      <c r="AN77" s="25">
        <f t="shared" si="18"/>
        <v>187</v>
      </c>
      <c r="AO77" s="25">
        <f t="shared" si="18"/>
        <v>122</v>
      </c>
      <c r="AP77" s="25">
        <f t="shared" si="18"/>
        <v>76</v>
      </c>
      <c r="AQ77" s="25">
        <f t="shared" si="18"/>
        <v>50</v>
      </c>
      <c r="AR77" s="25">
        <f t="shared" si="18"/>
        <v>0</v>
      </c>
      <c r="AS77" s="25">
        <f t="shared" si="18"/>
        <v>0</v>
      </c>
      <c r="AT77" s="25">
        <f t="shared" si="18"/>
        <v>0</v>
      </c>
      <c r="AU77" s="25">
        <f t="shared" si="18"/>
        <v>0</v>
      </c>
      <c r="AV77" s="25">
        <f t="shared" si="18"/>
        <v>0</v>
      </c>
      <c r="AW77" s="25">
        <f t="shared" si="18"/>
        <v>0</v>
      </c>
      <c r="AX77" s="25">
        <f t="shared" si="18"/>
        <v>0</v>
      </c>
      <c r="AY77" s="25">
        <f t="shared" si="18"/>
        <v>0</v>
      </c>
      <c r="AZ77" s="25">
        <f t="shared" si="18"/>
        <v>0</v>
      </c>
      <c r="BA77" s="25">
        <f t="shared" si="18"/>
        <v>0</v>
      </c>
      <c r="BB77" s="25">
        <f t="shared" si="18"/>
        <v>0</v>
      </c>
      <c r="BC77" s="25">
        <f t="shared" si="18"/>
        <v>0</v>
      </c>
      <c r="BD77" s="25">
        <f t="shared" si="18"/>
        <v>0</v>
      </c>
      <c r="BE77" s="25">
        <f t="shared" si="18"/>
        <v>0</v>
      </c>
      <c r="BF77" s="25">
        <f t="shared" si="18"/>
        <v>0</v>
      </c>
      <c r="BG77" s="25">
        <f t="shared" si="18"/>
        <v>0</v>
      </c>
      <c r="BH77" s="25">
        <f t="shared" si="18"/>
        <v>0</v>
      </c>
      <c r="BI77" s="25">
        <f t="shared" ref="BI77:CN77" si="19">+SUM(BI14:BI76)</f>
        <v>0</v>
      </c>
      <c r="BJ77" s="25">
        <f t="shared" si="19"/>
        <v>0</v>
      </c>
      <c r="BK77" s="25">
        <f t="shared" si="19"/>
        <v>0</v>
      </c>
      <c r="BL77" s="25">
        <f t="shared" si="19"/>
        <v>0</v>
      </c>
      <c r="BM77" s="25">
        <f t="shared" si="19"/>
        <v>0</v>
      </c>
      <c r="BN77" s="25">
        <f t="shared" si="19"/>
        <v>0</v>
      </c>
      <c r="BO77" s="25">
        <f t="shared" si="19"/>
        <v>0</v>
      </c>
      <c r="BP77" s="25">
        <f t="shared" si="19"/>
        <v>0</v>
      </c>
      <c r="BQ77" s="25">
        <f t="shared" si="19"/>
        <v>0</v>
      </c>
      <c r="BR77" s="25">
        <f t="shared" si="19"/>
        <v>0</v>
      </c>
      <c r="BS77" s="25">
        <f t="shared" si="19"/>
        <v>0</v>
      </c>
      <c r="BT77" s="25">
        <f t="shared" si="19"/>
        <v>0</v>
      </c>
      <c r="BU77" s="25">
        <f t="shared" si="19"/>
        <v>0</v>
      </c>
      <c r="BV77" s="25">
        <f t="shared" si="19"/>
        <v>0</v>
      </c>
      <c r="BW77" s="25">
        <f t="shared" si="19"/>
        <v>0</v>
      </c>
      <c r="BX77" s="25">
        <f t="shared" si="19"/>
        <v>0</v>
      </c>
      <c r="BY77" s="25">
        <f t="shared" si="19"/>
        <v>0</v>
      </c>
      <c r="BZ77" s="25">
        <f t="shared" si="19"/>
        <v>0</v>
      </c>
      <c r="CA77" s="25">
        <f t="shared" si="19"/>
        <v>0</v>
      </c>
      <c r="CB77" s="25">
        <f t="shared" si="19"/>
        <v>0</v>
      </c>
      <c r="CC77" s="25">
        <f t="shared" si="19"/>
        <v>0</v>
      </c>
      <c r="CD77" s="25">
        <f t="shared" si="19"/>
        <v>0</v>
      </c>
      <c r="CE77" s="25">
        <f t="shared" si="19"/>
        <v>0</v>
      </c>
      <c r="CF77" s="25">
        <f t="shared" si="19"/>
        <v>0</v>
      </c>
      <c r="CG77" s="25">
        <f t="shared" si="19"/>
        <v>0</v>
      </c>
      <c r="CH77" s="25">
        <f t="shared" si="19"/>
        <v>734</v>
      </c>
      <c r="CJ77" s="25">
        <f>+SUM(CJ14:CJ76)</f>
        <v>734</v>
      </c>
      <c r="CK77" s="25">
        <f>+SUM(CK14:CK76)</f>
        <v>0</v>
      </c>
      <c r="CL77" s="25">
        <f>+SUM(CL14:CL76)</f>
        <v>734</v>
      </c>
      <c r="CM77" s="25"/>
      <c r="CN77" s="25"/>
      <c r="CO77" s="25">
        <f>+SUM(CO14:CO76)</f>
        <v>2613</v>
      </c>
      <c r="CP77" s="25">
        <f>+SUM(CP14:CP76)</f>
        <v>2613</v>
      </c>
      <c r="CQ77" s="25">
        <f>+SUM(CQ14:CQ76)</f>
        <v>1879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2026-10-26T19:55:39Z</dcterms:modified>
</cp:coreProperties>
</file>