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0DC34215-0492-4B8F-A217-C53C9F893FB7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F77" i="3"/>
  <c r="AE77" i="3"/>
  <c r="AD77" i="3"/>
  <c r="AC77" i="3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 s="1"/>
  <c r="CP60" i="3" s="1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W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E24" i="1" l="1"/>
  <c r="CW50" i="2"/>
  <c r="CQ16" i="3"/>
  <c r="CW44" i="2"/>
  <c r="CW71" i="2"/>
  <c r="CR71" i="2"/>
  <c r="CP14" i="3"/>
  <c r="CO77" i="3"/>
  <c r="CJ14" i="3"/>
  <c r="CH77" i="3"/>
  <c r="AN13" i="2"/>
  <c r="D23" i="1"/>
  <c r="F23" i="1" s="1"/>
  <c r="AM13" i="2"/>
  <c r="D22" i="1"/>
  <c r="F22" i="1" s="1"/>
  <c r="AL13" i="2"/>
  <c r="D21" i="1"/>
  <c r="F21" i="1" s="1"/>
  <c r="AK13" i="2"/>
  <c r="D20" i="1"/>
  <c r="F20" i="1" s="1"/>
  <c r="D19" i="1"/>
  <c r="F19" i="1" s="1"/>
  <c r="AJ13" i="2"/>
  <c r="D18" i="1"/>
  <c r="F18" i="1" s="1"/>
  <c r="AI13" i="2"/>
  <c r="D17" i="1"/>
  <c r="F17" i="1" s="1"/>
  <c r="AH13" i="2"/>
  <c r="D16" i="1"/>
  <c r="F16" i="1" s="1"/>
  <c r="AG13" i="2"/>
  <c r="D15" i="1"/>
  <c r="F15" i="1" s="1"/>
  <c r="AF13" i="2"/>
  <c r="D14" i="1"/>
  <c r="F14" i="1" s="1"/>
  <c r="AE13" i="2"/>
  <c r="D13" i="1"/>
  <c r="F13" i="1" s="1"/>
  <c r="AD13" i="2"/>
  <c r="D12" i="1"/>
  <c r="F12" i="1" s="1"/>
  <c r="AC13" i="2"/>
  <c r="D11" i="1"/>
  <c r="AB13" i="2"/>
  <c r="CU79" i="2"/>
  <c r="CV14" i="2"/>
  <c r="CP14" i="2"/>
  <c r="CN79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5" i="3"/>
  <c r="CW78" i="2"/>
  <c r="CW77" i="2"/>
  <c r="CW76" i="2"/>
  <c r="CW75" i="2"/>
  <c r="CW74" i="2"/>
  <c r="CW73" i="2"/>
  <c r="CW72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49" i="2"/>
  <c r="CW48" i="2"/>
  <c r="CW47" i="2"/>
  <c r="CW46" i="2"/>
  <c r="CW45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Q14" i="3" l="1"/>
  <c r="CQ77" i="3" s="1"/>
  <c r="CP77" i="3"/>
  <c r="CL14" i="3"/>
  <c r="CL77" i="3" s="1"/>
  <c r="CJ77" i="3"/>
  <c r="I3" i="2"/>
  <c r="CH13" i="3"/>
  <c r="E6" i="1"/>
  <c r="D3" i="3"/>
  <c r="F11" i="1"/>
  <c r="D24" i="1"/>
  <c r="CW14" i="2"/>
  <c r="CW79" i="2" s="1"/>
  <c r="CV79" i="2"/>
  <c r="CR14" i="2"/>
  <c r="CR79" i="2" s="1"/>
  <c r="CP79" i="2"/>
  <c r="B6" i="1"/>
  <c r="H6" i="1" s="1"/>
  <c r="I3" i="3"/>
  <c r="D3" i="2"/>
  <c r="CN13" i="2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<sst xmlns="http://schemas.openxmlformats.org/spreadsheetml/2006/main" count="589" uniqueCount="175">
  <si>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</si>
  <si>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</si>
  <si>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</si>
  <si>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</si>
  <si>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</si>
  <si>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</si>
  <si>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</si>
  <si>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</si>
  <si>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</si>
  <si>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</si>
  <si>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</si>
  <si>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</si>
  <si>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</si>
  <si>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</si>
  <si>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</si>
  <si>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</si>
  <si>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</si>
  <si>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</si>
  <si>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</si>
  <si>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</si>
  <si>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</si>
  <si>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</si>
  <si>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</si>
  <si>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</si>
  <si>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</si>
  <si>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</si>
  <si>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</si>
  <si>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</si>
  <si>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</si>
  <si>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</si>
  <si>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</si>
  <si>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</si>
  <si>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</si>
  <si>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</si>
  <si>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</si>
  <si>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</si>
  <si>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</si>
  <si>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</si>
  <si>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</si>
  <si>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</si>
  <si>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</si>
  <si>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</si>
  <si>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</si>
  <si>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</si>
  <si>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</si>
  <si>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</si>
  <si>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</si>
  <si>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</si>
  <si>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</si>
  <si>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</si>
  <si>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</si>
  <si>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</si>
  <si>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</si>
  <si>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</si>
  <si>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</si>
  <si>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</si>
  <si>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</si>
  <si>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</si>
  <si>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</si>
  <si>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</si>
  <si>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</si>
  <si>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</si>
  <si>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</si>
  <si>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</si>
  <si>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</si>
  <si>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</si>
  <si>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</si>
  <si>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</si>
  <si>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</si>
  <si>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</si>
  <si>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</si>
  <si>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</si>
  <si>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</si>
  <si>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</si>
  <si>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</si>
  <si>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</si>
  <si>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</si>
  <si>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</si>
  <si>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</si>
  <si>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</si>
  <si>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</si>
  <si>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</si>
  <si>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</si>
  <si>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</si>
  <si>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</si>
  <si>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</si>
  <si>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</si>
  <si>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</si>
  <si>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</si>
  <si>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</si>
  <si>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</si>
  <si>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</si>
  <si>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</si>
  <si>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</si>
  <si>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</si>
  <si>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</si>
  <si>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</si>
  <si>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</si>
  <si>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</si>
  <si>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</si>
  <si>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</si>
  <si>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</si>
  <si>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</si>
  <si>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</si>
  <si>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</si>
  <si>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</si>
  <si>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</si>
  <si>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</si>
  <si>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</si>
  <si>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</si>
  <si>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</si>
  <si>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</si>
  <si>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13:15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</si>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</sst>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748</v>
      </c>
      <c r="C6" s="89"/>
      <c r="E6" s="88">
        <f>'Programa CAJAS REPORTE DIARIO'!CH77</f>
        <v>1992</v>
      </c>
      <c r="F6" s="89"/>
      <c r="H6" s="101">
        <f>B6+E6</f>
        <v>2740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89</v>
      </c>
      <c r="E23" s="70">
        <f>'Programa CAJAS REPORTE DIARIO'!AT77</f>
        <v>263</v>
      </c>
      <c r="F23" s="70">
        <f t="shared" si="0"/>
        <v>352</v>
      </c>
      <c r="G23" s="70">
        <f t="shared" si="1"/>
        <v>2740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748</v>
      </c>
      <c r="E24" s="75">
        <f>SUM(E11:E23)</f>
        <v>1992</v>
      </c>
      <c r="F24" s="75">
        <f>SUM(F11:F23)</f>
        <v>2740</v>
      </c>
      <c r="G24" s="75">
        <f>F24</f>
        <v>2740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748</v>
      </c>
      <c r="F3" s="79" t="s">
        <v>1</v>
      </c>
      <c r="I3" s="80">
        <f>'Programa CAJAS REPORTE DIARIO'!CH77+CN79</f>
        <v>2740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89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748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5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188</v>
      </c>
      <c r="CP27" s="27">
        <f t="shared" si="4"/>
        <v>188</v>
      </c>
      <c r="CQ27" s="22">
        <v>0</v>
      </c>
      <c r="CR27" s="22">
        <f t="shared" si="5"/>
        <v>188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182.5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19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164</v>
      </c>
      <c r="CP28" s="27">
        <f t="shared" si="4"/>
        <v>164</v>
      </c>
      <c r="CQ28" s="22">
        <v>0</v>
      </c>
      <c r="CR28" s="22">
        <f t="shared" si="5"/>
        <v>164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1213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20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106</v>
      </c>
      <c r="CP29" s="27">
        <f t="shared" si="4"/>
        <v>106</v>
      </c>
      <c r="CQ29" s="22">
        <v>0</v>
      </c>
      <c r="CR29" s="22">
        <f t="shared" si="5"/>
        <v>106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300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</v>
      </c>
      <c r="CP37" s="27">
        <f t="shared" si="4"/>
        <v>2</v>
      </c>
      <c r="CQ37" s="22">
        <v>0</v>
      </c>
      <c r="CR37" s="22">
        <f t="shared" si="5"/>
        <v>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76</v>
      </c>
      <c r="CP42" s="27">
        <f t="shared" si="4"/>
        <v>76</v>
      </c>
      <c r="CQ42" s="22">
        <v>0</v>
      </c>
      <c r="CR42" s="22">
        <f t="shared" si="5"/>
        <v>76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-76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24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24</v>
      </c>
      <c r="CP56" s="27">
        <f t="shared" si="11"/>
        <v>24</v>
      </c>
      <c r="CQ56" s="22">
        <v>0</v>
      </c>
      <c r="CR56" s="22">
        <f t="shared" si="12"/>
        <v>24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-24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8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8</v>
      </c>
      <c r="CP76" s="27">
        <f t="shared" si="11"/>
        <v>8</v>
      </c>
      <c r="CQ76" s="22">
        <v>0</v>
      </c>
      <c r="CR76" s="22">
        <f t="shared" si="12"/>
        <v>8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-8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89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748</v>
      </c>
      <c r="CP79" s="25">
        <f>+SUM(CP14:CP78)</f>
        <v>748</v>
      </c>
      <c r="CQ79" s="25">
        <f>+SUM(CQ14:CQ78)</f>
        <v>0</v>
      </c>
      <c r="CR79" s="25">
        <f>+SUM(CR14:CR78)</f>
        <v>748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6518.5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1992</v>
      </c>
      <c r="F3" s="79" t="s">
        <v>1</v>
      </c>
      <c r="I3" s="80">
        <f>'Programa CASETAS REPORTE DIARIO'!CN79+CH77</f>
        <v>2740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263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1992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29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394</v>
      </c>
      <c r="CJ27" s="27">
        <f t="shared" si="3"/>
        <v>394</v>
      </c>
      <c r="CK27" s="22">
        <v>0</v>
      </c>
      <c r="CL27" s="22">
        <f t="shared" si="4"/>
        <v>394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392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27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307</v>
      </c>
      <c r="CJ28" s="27">
        <f t="shared" si="3"/>
        <v>307</v>
      </c>
      <c r="CK28" s="22">
        <v>0</v>
      </c>
      <c r="CL28" s="22">
        <f t="shared" si="4"/>
        <v>307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-129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5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42</v>
      </c>
      <c r="CJ29" s="27">
        <f t="shared" si="3"/>
        <v>42</v>
      </c>
      <c r="CK29" s="22">
        <v>0</v>
      </c>
      <c r="CL29" s="22">
        <f t="shared" si="4"/>
        <v>42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1294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50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143</v>
      </c>
      <c r="CJ35" s="27">
        <f t="shared" si="3"/>
        <v>143</v>
      </c>
      <c r="CK35" s="22">
        <v>0</v>
      </c>
      <c r="CL35" s="22">
        <f t="shared" si="4"/>
        <v>143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-44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3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49</v>
      </c>
      <c r="CJ36" s="27">
        <f t="shared" si="3"/>
        <v>49</v>
      </c>
      <c r="CK36" s="22">
        <v>0</v>
      </c>
      <c r="CL36" s="22">
        <f t="shared" si="4"/>
        <v>49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-49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7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50</v>
      </c>
      <c r="CJ37" s="27">
        <f t="shared" si="3"/>
        <v>50</v>
      </c>
      <c r="CK37" s="22">
        <v>0</v>
      </c>
      <c r="CL37" s="22">
        <f t="shared" si="4"/>
        <v>50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525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27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134</v>
      </c>
      <c r="CJ43" s="27">
        <f t="shared" si="3"/>
        <v>134</v>
      </c>
      <c r="CK43" s="22">
        <v>0</v>
      </c>
      <c r="CL43" s="22">
        <f t="shared" si="4"/>
        <v>134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-114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43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269</v>
      </c>
      <c r="CJ46" s="27">
        <f t="shared" ref="CJ46:CJ76" si="11">CH46</f>
        <v>269</v>
      </c>
      <c r="CK46" s="22">
        <v>0</v>
      </c>
      <c r="CL46" s="22">
        <f t="shared" ref="CL46:CL77" si="12">CJ46+CK46</f>
        <v>269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1259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42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47</v>
      </c>
      <c r="CJ53" s="27">
        <f t="shared" si="11"/>
        <v>47</v>
      </c>
      <c r="CK53" s="22">
        <v>0</v>
      </c>
      <c r="CL53" s="22">
        <f t="shared" si="12"/>
        <v>47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21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11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58</v>
      </c>
      <c r="CJ61" s="27">
        <f t="shared" si="11"/>
        <v>58</v>
      </c>
      <c r="CK61" s="22">
        <v>0</v>
      </c>
      <c r="CL61" s="22">
        <f t="shared" si="12"/>
        <v>58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-26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7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81</v>
      </c>
      <c r="CJ70" s="27">
        <f t="shared" si="11"/>
        <v>81</v>
      </c>
      <c r="CK70" s="22">
        <v>0</v>
      </c>
      <c r="CL70" s="22">
        <f t="shared" si="12"/>
        <v>81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-67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263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1992</v>
      </c>
      <c r="CJ77" s="25">
        <f>+SUM(CJ14:CJ76)</f>
        <v>1992</v>
      </c>
      <c r="CK77" s="25">
        <f>+SUM(CK14:CK76)</f>
        <v>0</v>
      </c>
      <c r="CL77" s="25">
        <f>+SUM(CL14:CL76)</f>
        <v>1992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9240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2026-10-29T19:15:44Z</dcterms:modified>
</cp:coreProperties>
</file>