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907943CB-598A-4158-8734-D55CD14BC64C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Q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D13" i="2" s="1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W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19" i="3" l="1"/>
  <c r="CW51" i="2"/>
  <c r="CQ16" i="3"/>
  <c r="CW67" i="2"/>
  <c r="CW52" i="2"/>
  <c r="CW48" i="2"/>
  <c r="CW35" i="2"/>
  <c r="CW30" i="2"/>
  <c r="CW50" i="2"/>
  <c r="CW36" i="2"/>
  <c r="CQ35" i="3"/>
  <c r="CQ33" i="3"/>
  <c r="CW65" i="2"/>
  <c r="CW74" i="2"/>
  <c r="CW57" i="2"/>
  <c r="CW41" i="2"/>
  <c r="CW37" i="2"/>
  <c r="AQ13" i="3"/>
  <c r="E20" i="1"/>
  <c r="F20" i="1" s="1"/>
  <c r="E19" i="1"/>
  <c r="F19" i="1" s="1"/>
  <c r="AP13" i="3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AI13" i="3"/>
  <c r="E12" i="1"/>
  <c r="F12" i="1" s="1"/>
  <c r="AH13" i="3"/>
  <c r="E11" i="1"/>
  <c r="CJ34" i="3"/>
  <c r="CH77" i="3"/>
  <c r="CP15" i="3"/>
  <c r="CQ15" i="3" s="1"/>
  <c r="CO77" i="3"/>
  <c r="CQ14" i="3"/>
  <c r="CP77" i="3"/>
  <c r="CL14" i="3"/>
  <c r="CJ77" i="3"/>
  <c r="F11" i="1"/>
  <c r="D21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39" i="3"/>
  <c r="CQ38" i="3"/>
  <c r="CQ37" i="3"/>
  <c r="CQ36" i="3"/>
  <c r="CQ32" i="3"/>
  <c r="CQ31" i="3"/>
  <c r="CQ28" i="3"/>
  <c r="CQ25" i="3"/>
  <c r="CQ24" i="3"/>
  <c r="CQ23" i="3"/>
  <c r="CQ22" i="3"/>
  <c r="CQ21" i="3"/>
  <c r="CQ20" i="3"/>
  <c r="CW59" i="2"/>
  <c r="CW58" i="2"/>
  <c r="CW54" i="2"/>
  <c r="CW53" i="2"/>
  <c r="CW47" i="2"/>
  <c r="CW46" i="2"/>
  <c r="CW45" i="2"/>
  <c r="CW38" i="2"/>
  <c r="CQ18" i="3"/>
  <c r="CQ17" i="3"/>
  <c r="CW78" i="2"/>
  <c r="CW77" i="2"/>
  <c r="CW76" i="2"/>
  <c r="CW75" i="2"/>
  <c r="CW73" i="2"/>
  <c r="CW72" i="2"/>
  <c r="CW71" i="2"/>
  <c r="CW69" i="2"/>
  <c r="CW68" i="2"/>
  <c r="CW66" i="2"/>
  <c r="CW64" i="2"/>
  <c r="CW62" i="2"/>
  <c r="CW61" i="2"/>
  <c r="CW60" i="2"/>
  <c r="CW56" i="2"/>
  <c r="CW55" i="2"/>
  <c r="CW49" i="2"/>
  <c r="CW42" i="2"/>
  <c r="CW40" i="2"/>
  <c r="CW39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30" i="3"/>
  <c r="CQ29" i="3"/>
  <c r="CQ27" i="3"/>
  <c r="CQ26" i="3"/>
  <c r="E21" i="1" l="1"/>
  <c r="CQ34" i="3"/>
  <c r="CQ77" i="3" s="1"/>
  <c r="CL34" i="3"/>
  <c r="CL77" i="3" s="1"/>
  <c r="CH13" i="3"/>
  <c r="I3" i="2"/>
  <c r="E6" i="1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<sst xmlns="http://schemas.openxmlformats.org/spreadsheetml/2006/main" count="580" uniqueCount="171">
  <si>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</si>
  <si>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</si>
  <si>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</si>
  <si>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</si>
  <si>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</si>
  <si>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</si>
  <si>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</si>
  <si>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</si>
  <si>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</si>
  <si>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</si>
  <si>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</si>
  <si>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</si>
  <si>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</si>
  <si>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</si>
  <si>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</si>
  <si>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</si>
  <si>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</si>
  <si>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</si>
  <si>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</si>
  <si>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</si>
  <si>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</si>
  <si>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</si>
  <si>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</si>
  <si>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</si>
  <si>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</si>
  <si>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</si>
  <si>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</si>
  <si>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</si>
  <si>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</si>
  <si>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</si>
  <si>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</si>
  <si>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</si>
  <si>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</si>
  <si>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</si>
  <si>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</si>
  <si>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</si>
  <si>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</si>
  <si>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</si>
  <si>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</si>
  <si>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</si>
  <si>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</si>
  <si>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</si>
  <si>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</si>
  <si>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</si>
  <si>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</si>
  <si>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</si>
  <si>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</si>
  <si>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</si>
  <si>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</si>
  <si>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</si>
  <si>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</si>
  <si>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</si>
  <si>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</si>
  <si>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</si>
  <si>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</si>
  <si>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</si>
  <si>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</si>
  <si>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</si>
  <si>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</si>
  <si>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</si>
  <si>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</si>
  <si>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</si>
  <si>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</si>
  <si>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</si>
  <si>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</si>
  <si>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</si>
  <si>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</si>
  <si>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</si>
  <si>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</si>
  <si>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</si>
  <si>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</si>
  <si>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</si>
  <si>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</si>
  <si>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</si>
  <si>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</si>
  <si>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</si>
  <si>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</si>
  <si>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</si>
  <si>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</si>
  <si>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</si>
  <si>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</si>
  <si>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</si>
  <si>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</si>
  <si>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</si>
  <si>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</si>
  <si>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</si>
  <si>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</si>
  <si>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</si>
  <si>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</si>
  <si>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</si>
  <si>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</si>
  <si>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</si>
  <si>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</si>
  <si>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</si>
  <si>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</si>
  <si>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</si>
  <si>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</si>
  <si>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</si>
  <si>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</si>
  <si>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</si>
  <si>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</si>
  <si>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</si>
  <si>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</si>
  <si>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</si>
  <si>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</si>
  <si>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</si>
  <si>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</si>
  <si>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</si>
  <si>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</si>
  <si>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</si>
  <si>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</si>
  <si>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</si>
  <si>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10:44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</si>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</sst>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525</v>
      </c>
      <c r="C6" s="89"/>
      <c r="E6" s="88">
        <f>'Programa CAJAS REPORTE DIARIO'!CH77</f>
        <v>1360</v>
      </c>
      <c r="F6" s="89"/>
      <c r="H6" s="101">
        <f>B6+E6</f>
        <v>1885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525</v>
      </c>
      <c r="F3" s="79" t="s">
        <v>1</v>
      </c>
      <c r="I3" s="80">
        <f>'Programa CAJAS REPORTE DIARIO'!CH77+CN79</f>
        <v>1885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43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525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156</v>
      </c>
      <c r="CP27" s="27">
        <f t="shared" si="4"/>
        <v>156</v>
      </c>
      <c r="CQ27" s="22">
        <v>0</v>
      </c>
      <c r="CR27" s="22">
        <f t="shared" si="5"/>
        <v>156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7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122</v>
      </c>
      <c r="CP28" s="27">
        <f t="shared" si="4"/>
        <v>122</v>
      </c>
      <c r="CQ28" s="22">
        <v>0</v>
      </c>
      <c r="CR28" s="22">
        <f t="shared" si="5"/>
        <v>122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43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525</v>
      </c>
      <c r="CP79" s="25">
        <f>+SUM(CP14:CP78)</f>
        <v>525</v>
      </c>
      <c r="CQ79" s="25">
        <f>+SUM(CQ14:CQ78)</f>
        <v>0</v>
      </c>
      <c r="CR79" s="25">
        <f>+SUM(CR14:CR78)</f>
        <v>525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2607.5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1360</v>
      </c>
      <c r="F3" s="79" t="s">
        <v>1</v>
      </c>
      <c r="I3" s="80">
        <f>'Programa CASETAS REPORTE DIARIO'!CN79+CH77</f>
        <v>1885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1360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4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336</v>
      </c>
      <c r="CJ27" s="27">
        <f t="shared" si="3"/>
        <v>336</v>
      </c>
      <c r="CK27" s="22">
        <v>0</v>
      </c>
      <c r="CL27" s="22">
        <f t="shared" si="4"/>
        <v>336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220</v>
      </c>
      <c r="CJ28" s="27">
        <f t="shared" si="3"/>
        <v>220</v>
      </c>
      <c r="CK28" s="22">
        <v>0</v>
      </c>
      <c r="CL28" s="22">
        <f t="shared" si="4"/>
        <v>220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2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32</v>
      </c>
      <c r="CJ36" s="27">
        <f t="shared" si="3"/>
        <v>32</v>
      </c>
      <c r="CK36" s="22">
        <v>0</v>
      </c>
      <c r="CL36" s="22">
        <f t="shared" si="4"/>
        <v>32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-32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61</v>
      </c>
      <c r="CJ43" s="27">
        <f t="shared" si="3"/>
        <v>61</v>
      </c>
      <c r="CK43" s="22">
        <v>0</v>
      </c>
      <c r="CL43" s="22">
        <f t="shared" si="4"/>
        <v>61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6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49</v>
      </c>
      <c r="CJ55" s="27">
        <f t="shared" si="11"/>
        <v>49</v>
      </c>
      <c r="CK55" s="22">
        <v>0</v>
      </c>
      <c r="CL55" s="22">
        <f t="shared" si="12"/>
        <v>49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3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34</v>
      </c>
      <c r="CJ61" s="27">
        <f t="shared" si="11"/>
        <v>34</v>
      </c>
      <c r="CK61" s="22">
        <v>0</v>
      </c>
      <c r="CL61" s="22">
        <f t="shared" si="12"/>
        <v>34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1360</v>
      </c>
      <c r="CJ77" s="25">
        <f>+SUM(CJ14:CJ76)</f>
        <v>1360</v>
      </c>
      <c r="CK77" s="25">
        <f>+SUM(CK14:CK76)</f>
        <v>0</v>
      </c>
      <c r="CL77" s="25">
        <f>+SUM(CL14:CL76)</f>
        <v>1360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5627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2026-10-28T16:44:15Z</dcterms:modified>
</cp:coreProperties>
</file>