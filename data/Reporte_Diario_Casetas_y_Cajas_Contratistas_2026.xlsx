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C09E552-210B-482C-885F-50D0468B0C12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H19" i="3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W71" i="2" s="1"/>
  <c r="CN71" i="2"/>
  <c r="CP71" i="2" s="1"/>
  <c r="CR71" i="2" s="1"/>
  <c r="DD70" i="2"/>
  <c r="CU70" i="2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W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DD30" i="2"/>
  <c r="CU30" i="2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76" i="2" l="1"/>
  <c r="CW69" i="2"/>
  <c r="CW17" i="2"/>
  <c r="CW72" i="2"/>
  <c r="CW66" i="2"/>
  <c r="CW64" i="2"/>
  <c r="CW63" i="2"/>
  <c r="CW61" i="2"/>
  <c r="CW60" i="2"/>
  <c r="CW58" i="2"/>
  <c r="CW57" i="2"/>
  <c r="CW56" i="2"/>
  <c r="CW52" i="2"/>
  <c r="CW39" i="2"/>
  <c r="CQ61" i="3"/>
  <c r="CL61" i="3"/>
  <c r="CQ33" i="3"/>
  <c r="CL33" i="3"/>
  <c r="AQ13" i="3"/>
  <c r="E20" i="1"/>
  <c r="E19" i="1"/>
  <c r="AP13" i="3"/>
  <c r="E18" i="1"/>
  <c r="AO13" i="3"/>
  <c r="AN13" i="3"/>
  <c r="E17" i="1"/>
  <c r="E16" i="1"/>
  <c r="AM13" i="3"/>
  <c r="AL13" i="3"/>
  <c r="E15" i="1"/>
  <c r="AK13" i="3"/>
  <c r="E14" i="1"/>
  <c r="AJ13" i="3"/>
  <c r="E13" i="1"/>
  <c r="E12" i="1"/>
  <c r="AI13" i="3"/>
  <c r="AH13" i="3"/>
  <c r="E11" i="1"/>
  <c r="CP19" i="3"/>
  <c r="CP77" i="3" s="1"/>
  <c r="CO77" i="3"/>
  <c r="CJ19" i="3"/>
  <c r="CH77" i="3"/>
  <c r="CQ14" i="3"/>
  <c r="CL14" i="3"/>
  <c r="D20" i="1"/>
  <c r="AK13" i="2"/>
  <c r="D19" i="1"/>
  <c r="AJ13" i="2"/>
  <c r="D18" i="1"/>
  <c r="AI13" i="2"/>
  <c r="AH13" i="2"/>
  <c r="D17" i="1"/>
  <c r="AG13" i="2"/>
  <c r="D16" i="1"/>
  <c r="AF13" i="2"/>
  <c r="D15" i="1"/>
  <c r="D14" i="1"/>
  <c r="AE13" i="2"/>
  <c r="D13" i="1"/>
  <c r="AD13" i="2"/>
  <c r="AC13" i="2"/>
  <c r="D12" i="1"/>
  <c r="D11" i="1"/>
  <c r="AB13" i="2"/>
  <c r="CP31" i="2"/>
  <c r="CN79" i="2"/>
  <c r="CV30" i="2"/>
  <c r="CW30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4" i="2"/>
  <c r="CW73" i="2"/>
  <c r="CW68" i="2"/>
  <c r="CW65" i="2"/>
  <c r="CW62" i="2"/>
  <c r="CW54" i="2"/>
  <c r="CW75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59" i="2"/>
  <c r="CW38" i="2"/>
  <c r="CW37" i="2"/>
  <c r="CW36" i="2"/>
  <c r="CW35" i="2"/>
  <c r="CW34" i="2"/>
  <c r="CW33" i="2"/>
  <c r="CW32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W77" i="2"/>
  <c r="CW55" i="2"/>
  <c r="E21" i="1" l="1"/>
  <c r="E6" i="1"/>
  <c r="D3" i="3"/>
  <c r="CH13" i="3"/>
  <c r="I3" i="2"/>
  <c r="F11" i="1"/>
  <c r="D21" i="1"/>
  <c r="CW31" i="2"/>
  <c r="CW79" i="2" s="1"/>
  <c r="CR31" i="2"/>
  <c r="CR79" i="2" s="1"/>
  <c r="D3" i="2"/>
  <c r="CN13" i="2"/>
  <c r="B6" i="1"/>
  <c r="H6" i="1" s="1"/>
  <c r="I3" i="3"/>
  <c r="CQ19" i="3"/>
  <c r="CQ77" i="3"/>
  <c r="F20" i="1"/>
  <c r="F19" i="1"/>
  <c r="F18" i="1"/>
  <c r="F17" i="1"/>
  <c r="F16" i="1"/>
  <c r="F15" i="1"/>
  <c r="F14" i="1"/>
  <c r="F13" i="1"/>
  <c r="F12" i="1"/>
  <c r="CL19" i="3"/>
  <c r="CL77" i="3" s="1"/>
  <c r="CJ77" i="3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<sst xmlns="http://schemas.openxmlformats.org/spreadsheetml/2006/main" count="580" uniqueCount="171">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</sst>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522</v>
      </c>
      <c r="C6" s="89"/>
      <c r="E6" s="88">
        <f>'Programa CAJAS REPORTE DIARIO'!CH77</f>
        <v>1357</v>
      </c>
      <c r="F6" s="89"/>
      <c r="H6" s="101">
        <f>B6+E6</f>
        <v>1879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522</v>
      </c>
      <c r="F3" s="79" t="s">
        <v>1</v>
      </c>
      <c r="I3" s="80">
        <f>'Programa CAJAS REPORTE DIARIO'!CH77+CN79</f>
        <v>1879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40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522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156</v>
      </c>
      <c r="CP27" s="27">
        <f t="shared" si="4"/>
        <v>156</v>
      </c>
      <c r="CQ27" s="22">
        <v>0</v>
      </c>
      <c r="CR27" s="22">
        <f t="shared" si="5"/>
        <v>156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4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119</v>
      </c>
      <c r="CP28" s="27">
        <f t="shared" si="4"/>
        <v>119</v>
      </c>
      <c r="CQ28" s="22">
        <v>0</v>
      </c>
      <c r="CR28" s="22">
        <f t="shared" si="5"/>
        <v>119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1258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40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522</v>
      </c>
      <c r="CP79" s="25">
        <f>+SUM(CP14:CP78)</f>
        <v>522</v>
      </c>
      <c r="CQ79" s="25">
        <f>+SUM(CQ14:CQ78)</f>
        <v>0</v>
      </c>
      <c r="CR79" s="25">
        <f>+SUM(CR14:CR78)</f>
        <v>522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2610.5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1357</v>
      </c>
      <c r="F3" s="79" t="s">
        <v>1</v>
      </c>
      <c r="I3" s="80">
        <f>'Programa CASETAS REPORTE DIARIO'!CN79+CH77</f>
        <v>1879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1357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334</v>
      </c>
      <c r="CJ27" s="27">
        <f t="shared" si="3"/>
        <v>334</v>
      </c>
      <c r="CK27" s="22">
        <v>0</v>
      </c>
      <c r="CL27" s="22">
        <f t="shared" si="4"/>
        <v>334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220</v>
      </c>
      <c r="CJ28" s="27">
        <f t="shared" si="3"/>
        <v>220</v>
      </c>
      <c r="CK28" s="22">
        <v>0</v>
      </c>
      <c r="CL28" s="22">
        <f t="shared" si="4"/>
        <v>220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31</v>
      </c>
      <c r="CJ36" s="27">
        <f t="shared" si="3"/>
        <v>31</v>
      </c>
      <c r="CK36" s="22">
        <v>0</v>
      </c>
      <c r="CL36" s="22">
        <f t="shared" si="4"/>
        <v>31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34</v>
      </c>
      <c r="CJ61" s="27">
        <f t="shared" si="11"/>
        <v>34</v>
      </c>
      <c r="CK61" s="22">
        <v>0</v>
      </c>
      <c r="CL61" s="22">
        <f t="shared" si="12"/>
        <v>34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1357</v>
      </c>
      <c r="CJ77" s="25">
        <f>+SUM(CJ14:CJ76)</f>
        <v>1357</v>
      </c>
      <c r="CK77" s="25">
        <f>+SUM(CK14:CK76)</f>
        <v>0</v>
      </c>
      <c r="CL77" s="25">
        <f>+SUM(CL14:CL76)</f>
        <v>1357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5630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2026-10-28T16:32:21Z</dcterms:modified>
</cp:coreProperties>
</file>