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A058BC3-8233-4531-8BE5-58DF94C2F8C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62" i="3" l="1"/>
  <c r="CQ28" i="3"/>
  <c r="CQ51" i="3"/>
  <c r="CQ49" i="3"/>
  <c r="CQ47" i="3"/>
  <c r="CW28" i="2"/>
  <c r="CW24" i="2"/>
  <c r="CW23" i="2"/>
  <c r="CW21" i="2"/>
  <c r="CW20" i="2"/>
  <c r="CW19" i="2"/>
  <c r="CW18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AS13" i="3"/>
  <c r="E22" i="1"/>
  <c r="F22" i="1" s="1"/>
  <c r="AR13" i="3"/>
  <c r="E21" i="1"/>
  <c r="F21" i="1" s="1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AK13" i="3"/>
  <c r="E14" i="1"/>
  <c r="E13" i="1"/>
  <c r="AJ13" i="3"/>
  <c r="AI13" i="3"/>
  <c r="E12" i="1"/>
  <c r="E11" i="1"/>
  <c r="AH13" i="3"/>
  <c r="CP32" i="3"/>
  <c r="CQ32" i="3" s="1"/>
  <c r="CO77" i="3"/>
  <c r="CH77" i="3"/>
  <c r="CJ19" i="3"/>
  <c r="CQ14" i="3"/>
  <c r="CP77" i="3"/>
  <c r="CL14" i="3"/>
  <c r="CJ77" i="3"/>
  <c r="D23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3" i="3"/>
  <c r="CQ59" i="3"/>
  <c r="CQ58" i="3"/>
  <c r="CQ56" i="3"/>
  <c r="CQ54" i="3"/>
  <c r="CQ46" i="3"/>
  <c r="CQ42" i="3"/>
  <c r="CQ66" i="3"/>
  <c r="CQ65" i="3"/>
  <c r="CQ64" i="3"/>
  <c r="CQ61" i="3"/>
  <c r="CQ60" i="3"/>
  <c r="CQ57" i="3"/>
  <c r="CQ55" i="3"/>
  <c r="CQ53" i="3"/>
  <c r="CQ52" i="3"/>
  <c r="CQ50" i="3"/>
  <c r="CQ48" i="3"/>
  <c r="CQ45" i="3"/>
  <c r="CQ44" i="3"/>
  <c r="CQ43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1" i="3"/>
  <c r="CQ18" i="3"/>
  <c r="CQ17" i="3"/>
  <c r="CQ16" i="3"/>
  <c r="CQ15" i="3"/>
  <c r="CW17" i="2"/>
  <c r="CQ27" i="3"/>
  <c r="CQ26" i="3"/>
  <c r="CQ25" i="3"/>
  <c r="CQ24" i="3"/>
  <c r="CQ23" i="3"/>
  <c r="CQ22" i="3"/>
  <c r="CQ20" i="3"/>
  <c r="CW15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7" i="2"/>
  <c r="CW26" i="2"/>
  <c r="CW25" i="2"/>
  <c r="CW22" i="2"/>
  <c r="CW16" i="2"/>
  <c r="F15" i="1" l="1"/>
  <c r="F14" i="1"/>
  <c r="F13" i="1"/>
  <c r="F12" i="1"/>
  <c r="E6" i="1"/>
  <c r="D3" i="3"/>
  <c r="I3" i="2"/>
  <c r="CH13" i="3"/>
  <c r="CQ19" i="3"/>
  <c r="CQ77" i="3" s="1"/>
  <c r="CL19" i="3"/>
  <c r="CL77" i="3" s="1"/>
  <c r="CW14" i="2"/>
  <c r="CW79" i="2" s="1"/>
  <c r="CV79" i="2"/>
  <c r="B6" i="1"/>
  <c r="H6" i="1" s="1"/>
  <c r="I3" i="3"/>
  <c r="D3" i="2"/>
  <c r="CN13" i="2"/>
  <c r="CR14" i="2"/>
  <c r="CR79" i="2" s="1"/>
  <c r="CP79" i="2"/>
  <c r="E23" i="1"/>
  <c r="F11" i="1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<sst xmlns="http://schemas.openxmlformats.org/spreadsheetml/2006/main" count="586" uniqueCount="174">
  <si>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</si>
  <si>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</si>
  <si>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</si>
  <si>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</si>
  <si>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</si>
  <si>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</si>
  <si>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</si>
  <si>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</si>
  <si>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</si>
  <si>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</si>
  <si>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</si>
  <si>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</si>
  <si>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</si>
  <si>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</si>
  <si>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</si>
  <si>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</si>
  <si>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</si>
  <si>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</si>
  <si>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</si>
  <si>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</si>
  <si>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</si>
  <si>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</si>
  <si>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</si>
  <si>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</si>
  <si>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</si>
  <si>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</si>
  <si>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</si>
  <si>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</si>
  <si>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</si>
  <si>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</si>
  <si>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</si>
  <si>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</si>
  <si>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</si>
  <si>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</si>
  <si>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</si>
  <si>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</si>
  <si>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</si>
  <si>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</si>
  <si>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</si>
  <si>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</si>
  <si>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</si>
  <si>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</si>
  <si>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</si>
  <si>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</si>
  <si>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</si>
  <si>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</si>
  <si>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</si>
  <si>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</si>
  <si>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</si>
  <si>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</si>
  <si>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</si>
  <si>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</si>
  <si>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</si>
  <si>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</si>
  <si>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</si>
  <si>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</si>
  <si>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</si>
  <si>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</si>
  <si>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</si>
  <si>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</si>
  <si>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</si>
  <si>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</si>
  <si>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</si>
  <si>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</si>
  <si>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</si>
  <si>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</si>
  <si>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</si>
  <si>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</si>
  <si>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</si>
  <si>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</si>
  <si>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</si>
  <si>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</si>
  <si>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</si>
  <si>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</si>
  <si>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</si>
  <si>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</si>
  <si>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</si>
  <si>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</si>
  <si>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</si>
  <si>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</si>
  <si>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</si>
  <si>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</si>
  <si>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</si>
  <si>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</si>
  <si>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</si>
  <si>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</si>
  <si>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</si>
  <si>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</si>
  <si>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</si>
  <si>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</si>
  <si>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</si>
  <si>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</si>
  <si>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</si>
  <si>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</si>
  <si>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</si>
  <si>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</si>
  <si>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</si>
  <si>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</si>
  <si>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</si>
  <si>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</si>
  <si>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</si>
  <si>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</si>
  <si>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</si>
  <si>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</si>
  <si>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</si>
  <si>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</si>
  <si>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</si>
  <si>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</si>
  <si>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</si>
  <si>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</si>
  <si>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</si>
  <si>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</si>
  <si>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18:04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</si>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</sst>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1657</v>
      </c>
      <c r="F6" s="89"/>
      <c r="H6" s="101">
        <f>B6+E6</f>
        <v>2289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332</v>
      </c>
      <c r="F22" s="72">
        <f t="shared" si="0"/>
        <v>482</v>
      </c>
      <c r="G22" s="72">
        <f t="shared" si="1"/>
        <v>2289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1657</v>
      </c>
      <c r="F23" s="75">
        <f>SUM(F11:F22)</f>
        <v>2289</v>
      </c>
      <c r="G23" s="75">
        <f>F23</f>
        <v>2289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1657</v>
      </c>
      <c r="F3" s="79" t="s">
        <v>1</v>
      </c>
      <c r="I3" s="80">
        <f>'Programa CASETAS REPORTE DIARIO'!CN79+CH77</f>
        <v>2289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1657</v>
      </c>
      <c r="CJ77" s="25">
        <f>+SUM(CJ14:CJ76)</f>
        <v>1657</v>
      </c>
      <c r="CK77" s="25">
        <f>+SUM(CK14:CK76)</f>
        <v>0</v>
      </c>
      <c r="CL77" s="25">
        <f>+SUM(CL14:CL76)</f>
        <v>1657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2026-10-29T00:04:49Z</dcterms:modified>
</cp:coreProperties>
</file>