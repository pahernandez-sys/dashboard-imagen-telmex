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BA37E288-263A-42B3-890A-661342C98C2E}" xr6:coauthVersionLast="47" xr6:coauthVersionMax="47" xr10:uidLastSave="{00000000-0000-0000-0000-000000000000}"/>
  <bookViews>
    <workbookView xWindow="760" yWindow="760" windowWidth="5400" windowHeight="1091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Y77" i="3"/>
  <c r="BX77" i="3"/>
  <c r="BW77" i="3"/>
  <c r="BV77" i="3"/>
  <c r="BU77" i="3"/>
  <c r="BU13" i="3" s="1"/>
  <c r="BT77" i="3"/>
  <c r="BS77" i="3"/>
  <c r="BR77" i="3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 s="1"/>
  <c r="CP72" i="3" s="1"/>
  <c r="CH72" i="3"/>
  <c r="CJ72" i="3" s="1"/>
  <c r="CL72" i="3" s="1"/>
  <c r="DC71" i="3"/>
  <c r="CO71" i="3" s="1"/>
  <c r="CP71" i="3" s="1"/>
  <c r="CH71" i="3"/>
  <c r="CJ71" i="3" s="1"/>
  <c r="CL71" i="3" s="1"/>
  <c r="DC70" i="3"/>
  <c r="CO70" i="3" s="1"/>
  <c r="CP70" i="3" s="1"/>
  <c r="CH70" i="3"/>
  <c r="CJ70" i="3" s="1"/>
  <c r="CL70" i="3" s="1"/>
  <c r="DC69" i="3"/>
  <c r="CO69" i="3" s="1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 s="1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 s="1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O60" i="3" s="1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 s="1"/>
  <c r="CP57" i="3" s="1"/>
  <c r="CH57" i="3"/>
  <c r="CJ57" i="3" s="1"/>
  <c r="CL57" i="3" s="1"/>
  <c r="DC56" i="3"/>
  <c r="CO56" i="3" s="1"/>
  <c r="CP56" i="3" s="1"/>
  <c r="CH56" i="3"/>
  <c r="CJ56" i="3" s="1"/>
  <c r="CL56" i="3" s="1"/>
  <c r="DC55" i="3"/>
  <c r="CO55" i="3" s="1"/>
  <c r="CP55" i="3" s="1"/>
  <c r="CH55" i="3"/>
  <c r="CJ55" i="3" s="1"/>
  <c r="CL55" i="3" s="1"/>
  <c r="DC54" i="3"/>
  <c r="CO54" i="3" s="1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 s="1"/>
  <c r="CP52" i="3" s="1"/>
  <c r="CH52" i="3"/>
  <c r="CJ52" i="3" s="1"/>
  <c r="CL52" i="3" s="1"/>
  <c r="DC51" i="3"/>
  <c r="CO51" i="3" s="1"/>
  <c r="CP51" i="3" s="1"/>
  <c r="CH51" i="3"/>
  <c r="CJ51" i="3" s="1"/>
  <c r="CL51" i="3" s="1"/>
  <c r="DC50" i="3"/>
  <c r="CO50" i="3" s="1"/>
  <c r="CP50" i="3" s="1"/>
  <c r="CH50" i="3"/>
  <c r="CJ50" i="3" s="1"/>
  <c r="CL50" i="3" s="1"/>
  <c r="DC49" i="3"/>
  <c r="CO49" i="3" s="1"/>
  <c r="CP49" i="3" s="1"/>
  <c r="CH49" i="3"/>
  <c r="CJ49" i="3" s="1"/>
  <c r="CL49" i="3" s="1"/>
  <c r="DC48" i="3"/>
  <c r="CO48" i="3" s="1"/>
  <c r="CP48" i="3" s="1"/>
  <c r="CH48" i="3"/>
  <c r="CJ48" i="3" s="1"/>
  <c r="CL48" i="3" s="1"/>
  <c r="DC47" i="3"/>
  <c r="CO47" i="3" s="1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H14" i="3"/>
  <c r="CG13" i="3"/>
  <c r="CF13" i="3"/>
  <c r="CE13" i="3"/>
  <c r="CD13" i="3"/>
  <c r="CC13" i="3"/>
  <c r="CB13" i="3"/>
  <c r="CA13" i="3"/>
  <c r="BZ13" i="3"/>
  <c r="BY13" i="3"/>
  <c r="BX13" i="3"/>
  <c r="BW13" i="3"/>
  <c r="BV13" i="3"/>
  <c r="BT13" i="3"/>
  <c r="BS13" i="3"/>
  <c r="BR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W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 s="1"/>
  <c r="CV73" i="2" s="1"/>
  <c r="CW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 s="1"/>
  <c r="CV60" i="2" s="1"/>
  <c r="CW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 s="1"/>
  <c r="CV58" i="2" s="1"/>
  <c r="CW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 s="1"/>
  <c r="CV53" i="2" s="1"/>
  <c r="CW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 s="1"/>
  <c r="CV18" i="2" s="1"/>
  <c r="CN18" i="2"/>
  <c r="DD17" i="2"/>
  <c r="CU17" i="2"/>
  <c r="CN17" i="2"/>
  <c r="CP17" i="2" s="1"/>
  <c r="CR17" i="2" s="1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/>
  <c r="CV14" i="2" s="1"/>
  <c r="CN14" i="2"/>
  <c r="CP14" i="2" s="1"/>
  <c r="CW52" i="2" l="1"/>
  <c r="CQ52" i="3"/>
  <c r="CQ51" i="3"/>
  <c r="CQ47" i="3"/>
  <c r="CQ46" i="3"/>
  <c r="CW65" i="2"/>
  <c r="CQ28" i="3"/>
  <c r="CQ27" i="3"/>
  <c r="CW56" i="2"/>
  <c r="CW51" i="2"/>
  <c r="CW50" i="2"/>
  <c r="CW47" i="2"/>
  <c r="CW46" i="2"/>
  <c r="CW41" i="2"/>
  <c r="CW39" i="2"/>
  <c r="CW20" i="2"/>
  <c r="CW19" i="2"/>
  <c r="CW16" i="2"/>
  <c r="CW71" i="2"/>
  <c r="E23" i="1"/>
  <c r="AT13" i="3"/>
  <c r="E22" i="1"/>
  <c r="AS13" i="3"/>
  <c r="E21" i="1"/>
  <c r="AR13" i="3"/>
  <c r="E20" i="1"/>
  <c r="AQ13" i="3"/>
  <c r="E19" i="1"/>
  <c r="AP13" i="3"/>
  <c r="E18" i="1"/>
  <c r="AO13" i="3"/>
  <c r="AN13" i="3"/>
  <c r="E17" i="1"/>
  <c r="AM13" i="3"/>
  <c r="E16" i="1"/>
  <c r="AL13" i="3"/>
  <c r="E15" i="1"/>
  <c r="AK13" i="3"/>
  <c r="E14" i="1"/>
  <c r="E13" i="1"/>
  <c r="AJ13" i="3"/>
  <c r="E12" i="1"/>
  <c r="AI13" i="3"/>
  <c r="E11" i="1"/>
  <c r="AH13" i="3"/>
  <c r="CO77" i="3"/>
  <c r="CP14" i="3"/>
  <c r="CH77" i="3"/>
  <c r="CJ14" i="3"/>
  <c r="D23" i="1"/>
  <c r="AN13" i="2"/>
  <c r="D22" i="1"/>
  <c r="AM13" i="2"/>
  <c r="D21" i="1"/>
  <c r="AL13" i="2"/>
  <c r="AK13" i="2"/>
  <c r="D20" i="1"/>
  <c r="D19" i="1"/>
  <c r="AJ13" i="2"/>
  <c r="D18" i="1"/>
  <c r="AI13" i="2"/>
  <c r="D17" i="1"/>
  <c r="AH13" i="2"/>
  <c r="AG13" i="2"/>
  <c r="D16" i="1"/>
  <c r="D15" i="1"/>
  <c r="AF13" i="2"/>
  <c r="D14" i="1"/>
  <c r="AE13" i="2"/>
  <c r="D13" i="1"/>
  <c r="AD13" i="2"/>
  <c r="D12" i="1"/>
  <c r="AC13" i="2"/>
  <c r="D11" i="1"/>
  <c r="AB13" i="2"/>
  <c r="CP18" i="2"/>
  <c r="CN79" i="2"/>
  <c r="CV17" i="2"/>
  <c r="CW17" i="2" s="1"/>
  <c r="CU79" i="2"/>
  <c r="CW14" i="2"/>
  <c r="CV79" i="2"/>
  <c r="CR14" i="2"/>
  <c r="CP79" i="2"/>
  <c r="CQ76" i="3"/>
  <c r="CQ75" i="3"/>
  <c r="CQ50" i="3"/>
  <c r="CQ49" i="3"/>
  <c r="CQ48" i="3"/>
  <c r="CQ45" i="3"/>
  <c r="CQ74" i="3"/>
  <c r="CQ73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53" i="3"/>
  <c r="CQ44" i="3"/>
  <c r="CQ43" i="3"/>
  <c r="CQ42" i="3"/>
  <c r="CQ41" i="3"/>
  <c r="CQ40" i="3"/>
  <c r="CQ39" i="3"/>
  <c r="CQ38" i="3"/>
  <c r="CQ37" i="3"/>
  <c r="CQ36" i="3"/>
  <c r="CQ35" i="3"/>
  <c r="CQ34" i="3"/>
  <c r="CQ33" i="3"/>
  <c r="CQ32" i="3"/>
  <c r="CQ31" i="3"/>
  <c r="CQ30" i="3"/>
  <c r="CQ25" i="3"/>
  <c r="CQ15" i="3"/>
  <c r="CW78" i="2"/>
  <c r="CW77" i="2"/>
  <c r="CW76" i="2"/>
  <c r="CW70" i="2"/>
  <c r="CW69" i="2"/>
  <c r="CW68" i="2"/>
  <c r="CW67" i="2"/>
  <c r="CW66" i="2"/>
  <c r="CW62" i="2"/>
  <c r="CW61" i="2"/>
  <c r="CW54" i="2"/>
  <c r="CW48" i="2"/>
  <c r="CW42" i="2"/>
  <c r="CW25" i="2"/>
  <c r="CW23" i="2"/>
  <c r="CQ26" i="3"/>
  <c r="CQ20" i="3"/>
  <c r="CW74" i="2"/>
  <c r="CW72" i="2"/>
  <c r="CW64" i="2"/>
  <c r="CW63" i="2"/>
  <c r="CW59" i="2"/>
  <c r="CW57" i="2"/>
  <c r="CW55" i="2"/>
  <c r="CW49" i="2"/>
  <c r="CW45" i="2"/>
  <c r="CW44" i="2"/>
  <c r="CW43" i="2"/>
  <c r="CW40" i="2"/>
  <c r="CW26" i="2"/>
  <c r="CW22" i="2"/>
  <c r="CW21" i="2"/>
  <c r="CQ24" i="3"/>
  <c r="CQ22" i="3"/>
  <c r="CQ18" i="3"/>
  <c r="CQ17" i="3"/>
  <c r="CQ16" i="3"/>
  <c r="CW38" i="2"/>
  <c r="CW37" i="2"/>
  <c r="CW36" i="2"/>
  <c r="CW35" i="2"/>
  <c r="CW34" i="2"/>
  <c r="CW33" i="2"/>
  <c r="CW32" i="2"/>
  <c r="CW31" i="2"/>
  <c r="CW30" i="2"/>
  <c r="CW29" i="2"/>
  <c r="CW28" i="2"/>
  <c r="CW27" i="2"/>
  <c r="CW24" i="2"/>
  <c r="CW15" i="2"/>
  <c r="CQ29" i="3"/>
  <c r="CQ23" i="3"/>
  <c r="CQ21" i="3"/>
  <c r="CQ19" i="3"/>
  <c r="E24" i="1" l="1"/>
  <c r="F23" i="1"/>
  <c r="F22" i="1"/>
  <c r="F21" i="1"/>
  <c r="F18" i="1"/>
  <c r="F17" i="1"/>
  <c r="F16" i="1"/>
  <c r="F14" i="1"/>
  <c r="F12" i="1"/>
  <c r="F20" i="1"/>
  <c r="F19" i="1"/>
  <c r="F15" i="1"/>
  <c r="F13" i="1"/>
  <c r="CQ14" i="3"/>
  <c r="CQ77" i="3" s="1"/>
  <c r="CP77" i="3"/>
  <c r="I3" i="2"/>
  <c r="E6" i="1"/>
  <c r="D3" i="3"/>
  <c r="CH13" i="3"/>
  <c r="CL14" i="3"/>
  <c r="CL77" i="3" s="1"/>
  <c r="CJ77" i="3"/>
  <c r="F11" i="1"/>
  <c r="D24" i="1"/>
  <c r="CW18" i="2"/>
  <c r="CW79" i="2" s="1"/>
  <c r="CR18" i="2"/>
  <c r="CR79" i="2" s="1"/>
  <c r="B6" i="1"/>
  <c r="I3" i="3"/>
  <c r="D3" i="2"/>
  <c r="CN13" i="2"/>
  <c r="G11" i="1" l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F24" i="1"/>
  <c r="G24" i="1" s="1"/>
  <c r="H6" i="1"/>
</calcChain>
</file>

<file path=xl/sharedStrings.xml><?xml version="1.0" encoding="utf-8"?>
<sst xmlns="http://schemas.openxmlformats.org/spreadsheetml/2006/main" count="589" uniqueCount="175">
  <si>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</si>
  <si>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</si>
  <si>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</si>
  <si>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</si>
  <si>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</si>
  <si>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</si>
  <si>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</si>
  <si>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</si>
  <si>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</si>
  <si>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</si>
  <si>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</si>
  <si>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</si>
  <si>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</si>
  <si>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</si>
  <si>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</si>
  <si>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</si>
  <si>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</si>
  <si>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</si>
  <si>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</si>
  <si>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</si>
  <si>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</si>
  <si>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</si>
  <si>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</si>
  <si>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</si>
  <si>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</si>
  <si>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</si>
  <si>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</si>
  <si>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</si>
  <si>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</si>
  <si>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</si>
  <si>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</si>
  <si>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</si>
  <si>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</si>
  <si>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</si>
  <si>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</si>
  <si>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</si>
  <si>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</si>
  <si>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</si>
  <si>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</si>
  <si>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</si>
  <si>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</si>
  <si>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</si>
  <si>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</si>
  <si>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</si>
  <si>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</si>
  <si>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</si>
  <si>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</si>
  <si>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</si>
  <si>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</si>
  <si>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</si>
  <si>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</si>
  <si>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</si>
  <si>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</si>
  <si>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</si>
  <si>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</si>
  <si>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</si>
  <si>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</si>
  <si>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</si>
  <si>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</si>
  <si>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</si>
  <si>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</si>
  <si>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</si>
  <si>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</si>
  <si>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</si>
  <si>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</si>
  <si>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</si>
  <si>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</si>
  <si>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</si>
  <si>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</si>
  <si>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</si>
  <si>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</si>
  <si>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</si>
  <si>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</si>
  <si>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</si>
  <si>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</si>
  <si>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</si>
  <si>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</si>
  <si>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</si>
  <si>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</si>
  <si>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</si>
  <si>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</si>
  <si>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</si>
  <si>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</si>
  <si>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</si>
  <si>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</si>
  <si>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</si>
  <si>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</si>
  <si>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</si>
  <si>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</si>
  <si>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</si>
  <si>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</si>
  <si>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</si>
  <si>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</si>
  <si>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</si>
  <si>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</si>
  <si>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</si>
  <si>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</si>
  <si>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</si>
  <si>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</si>
  <si>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</si>
  <si>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</si>
  <si>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</si>
  <si>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</si>
  <si>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</si>
  <si>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</si>
  <si>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</si>
  <si>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</si>
  <si>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</si>
  <si>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</si>
  <si>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</si>
  <si>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</si>
  <si>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</si>
  <si>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(29/10/2026, 17:43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</si>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</sst>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0"/>
  <sheetViews>
    <sheetView workbookViewId="0"/>
  </sheetViews>
  <sheetFormatPr baseColWidth="10" defaultColWidth="8.7265625" defaultRowHeight="14.5" x14ac:dyDescent="0.35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" customHeight="1" x14ac:dyDescent="0.35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20" customHeight="1" x14ac:dyDescent="0.35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5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2" customHeight="1" x14ac:dyDescent="0.35">
      <c r="B6" s="88">
        <f>'Programa CASETAS REPORTE DIARIO'!CN79</f>
        <v>876</v>
      </c>
      <c r="C6" s="89"/>
      <c r="E6" s="88">
        <f>'Programa CAJAS REPORTE DIARIO'!CH77</f>
        <v>2344</v>
      </c>
      <c r="F6" s="89"/>
      <c r="H6" s="101">
        <f>B6+E6</f>
        <v>3220</v>
      </c>
      <c r="I6" s="97"/>
      <c r="J6" s="97"/>
    </row>
    <row r="7" spans="2:10" ht="16" customHeight="1" x14ac:dyDescent="0.35">
      <c r="B7" s="94" t="s">
        <v>116</v>
      </c>
      <c r="C7" s="89"/>
      <c r="E7" s="94" t="s">
        <v>117</v>
      </c>
      <c r="F7" s="89"/>
      <c r="H7" s="99" t="s">
        <v>118</v>
      </c>
      <c r="I7" s="97"/>
      <c r="J7" s="97"/>
    </row>
    <row r="9" spans="2:10" ht="15.5" x14ac:dyDescent="0.35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5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20" customHeight="1" x14ac:dyDescent="0.35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3" si="0">D11+E11</f>
        <v>76</v>
      </c>
      <c r="G11" s="70">
        <f>F11</f>
        <v>76</v>
      </c>
      <c r="H11" s="69" t="s">
        <v>129</v>
      </c>
    </row>
    <row r="12" spans="2:10" ht="20" customHeight="1" x14ac:dyDescent="0.35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3" si="1">G11+F12</f>
        <v>76</v>
      </c>
      <c r="H12" s="71" t="s">
        <v>129</v>
      </c>
    </row>
    <row r="13" spans="2:10" ht="20" customHeight="1" x14ac:dyDescent="0.35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20" customHeight="1" x14ac:dyDescent="0.35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20" customHeight="1" x14ac:dyDescent="0.35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20" customHeight="1" x14ac:dyDescent="0.35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20" customHeight="1" x14ac:dyDescent="0.35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20" customHeight="1" x14ac:dyDescent="0.35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20" customHeight="1" x14ac:dyDescent="0.35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20" customHeight="1" x14ac:dyDescent="0.35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20" customHeight="1" x14ac:dyDescent="0.35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20" customHeight="1" x14ac:dyDescent="0.35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20" customHeight="1" x14ac:dyDescent="0.35">
      <c r="B23" s="69" t="s">
        <v>148</v>
      </c>
      <c r="C23" s="69" t="s">
        <v>139</v>
      </c>
      <c r="D23" s="70">
        <f>'Programa CASETAS REPORTE DIARIO'!AN79</f>
        <v>217</v>
      </c>
      <c r="E23" s="70">
        <f>'Programa CAJAS REPORTE DIARIO'!AT77</f>
        <v>615</v>
      </c>
      <c r="F23" s="70">
        <f t="shared" si="0"/>
        <v>832</v>
      </c>
      <c r="G23" s="70">
        <f t="shared" si="1"/>
        <v>3220</v>
      </c>
      <c r="H23" s="69" t="s">
        <v>149</v>
      </c>
    </row>
    <row r="24" spans="2:8" ht="24" customHeight="1" x14ac:dyDescent="0.35">
      <c r="B24" s="73" t="s">
        <v>150</v>
      </c>
      <c r="C24" s="74"/>
      <c r="D24" s="75">
        <f>SUM(D11:D23)</f>
        <v>876</v>
      </c>
      <c r="E24" s="75">
        <f>SUM(E11:E23)</f>
        <v>2344</v>
      </c>
      <c r="F24" s="75">
        <f>SUM(F11:F23)</f>
        <v>3220</v>
      </c>
      <c r="G24" s="75">
        <f>F24</f>
        <v>3220</v>
      </c>
      <c r="H24" s="76" t="s">
        <v>151</v>
      </c>
    </row>
    <row r="26" spans="2:8" x14ac:dyDescent="0.35">
      <c r="B26" s="93" t="s">
        <v>152</v>
      </c>
      <c r="C26" s="91"/>
      <c r="D26" s="91"/>
      <c r="E26" s="91"/>
      <c r="F26" s="91"/>
      <c r="G26" s="91"/>
      <c r="H26" s="91"/>
    </row>
    <row r="27" spans="2:8" ht="18" customHeight="1" x14ac:dyDescent="0.35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5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5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5">
      <c r="B30" s="90" t="s">
        <v>156</v>
      </c>
      <c r="C30" s="91"/>
      <c r="D30" s="91"/>
      <c r="E30" s="91"/>
      <c r="F30" s="91"/>
      <c r="G30" s="91"/>
      <c r="H30" s="91"/>
    </row>
  </sheetData>
  <mergeCells count="17">
    <mergeCell ref="B30:H30"/>
    <mergeCell ref="B29:H29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9.54296875" bestFit="1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9" width="13.453125" customWidth="1"/>
    <col min="10" max="10" width="15.453125" customWidth="1"/>
    <col min="11" max="11" width="2.7265625" customWidth="1"/>
    <col min="12" max="12" width="7.54296875" hidden="1" customWidth="1"/>
    <col min="13" max="15" width="7.1796875" hidden="1" customWidth="1"/>
    <col min="16" max="16" width="9" hidden="1" customWidth="1"/>
    <col min="17" max="17" width="1.81640625" hidden="1" customWidth="1"/>
    <col min="18" max="18" width="13.54296875" style="3" customWidth="1"/>
    <col min="19" max="19" width="1.54296875" style="3" customWidth="1"/>
    <col min="20" max="21" width="12.81640625" customWidth="1"/>
    <col min="22" max="22" width="3.54296875" customWidth="1"/>
    <col min="23" max="26" width="13.7265625" customWidth="1" outlineLevel="1"/>
    <col min="27" max="27" width="13.54296875" customWidth="1" outlineLevel="1"/>
    <col min="28" max="35" width="13.7265625" customWidth="1" outlineLevel="1"/>
    <col min="36" max="36" width="13.54296875" customWidth="1" outlineLevel="1"/>
    <col min="37" max="37" width="13.453125" customWidth="1" outlineLevel="1"/>
    <col min="38" max="38" width="13.54296875" customWidth="1" outlineLevel="1"/>
    <col min="39" max="39" width="13.7265625" customWidth="1" outlineLevel="1"/>
    <col min="40" max="40" width="13.54296875" customWidth="1" outlineLevel="1"/>
    <col min="41" max="42" width="13.7265625" customWidth="1" outlineLevel="1"/>
    <col min="43" max="91" width="13.54296875" customWidth="1" outlineLevel="1"/>
    <col min="92" max="92" width="14" customWidth="1"/>
    <col min="93" max="93" width="2.453125" customWidth="1"/>
    <col min="94" max="95" width="13.81640625" customWidth="1"/>
    <col min="96" max="96" width="14" customWidth="1"/>
    <col min="97" max="97" width="15.7265625" customWidth="1"/>
    <col min="98" max="100" width="11.453125" customWidth="1"/>
    <col min="101" max="101" width="11.81640625" customWidth="1"/>
    <col min="102" max="103" width="11.453125" customWidth="1"/>
  </cols>
  <sheetData>
    <row r="3" spans="1:108" ht="21" x14ac:dyDescent="0.35">
      <c r="B3" s="77" t="s">
        <v>0</v>
      </c>
      <c r="D3" s="78">
        <f>+CN79</f>
        <v>876</v>
      </c>
      <c r="F3" s="79" t="s">
        <v>1</v>
      </c>
      <c r="I3" s="80">
        <f>'Programa CAJAS REPORTE DIARIO'!CH77+CN79</f>
        <v>3220</v>
      </c>
    </row>
    <row r="10" spans="1:108" x14ac:dyDescent="0.35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5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5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3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217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876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5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5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5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5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5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5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5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5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5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5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5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5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5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5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8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191</v>
      </c>
      <c r="CP27" s="27">
        <f t="shared" si="4"/>
        <v>191</v>
      </c>
      <c r="CQ27" s="22">
        <v>0</v>
      </c>
      <c r="CR27" s="22">
        <f t="shared" si="5"/>
        <v>191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179.5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5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32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177</v>
      </c>
      <c r="CP28" s="27">
        <f t="shared" si="4"/>
        <v>177</v>
      </c>
      <c r="CQ28" s="22">
        <v>0</v>
      </c>
      <c r="CR28" s="22">
        <f t="shared" si="5"/>
        <v>177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1200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5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27</v>
      </c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113</v>
      </c>
      <c r="CP29" s="27">
        <f t="shared" si="4"/>
        <v>113</v>
      </c>
      <c r="CQ29" s="22">
        <v>0</v>
      </c>
      <c r="CR29" s="22">
        <f t="shared" si="5"/>
        <v>113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293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5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5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5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5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5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5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5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24</v>
      </c>
      <c r="CP36" s="27">
        <f t="shared" si="4"/>
        <v>24</v>
      </c>
      <c r="CQ36" s="22">
        <v>0</v>
      </c>
      <c r="CR36" s="22">
        <f t="shared" si="5"/>
        <v>24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-24</v>
      </c>
      <c r="CX36" s="43"/>
      <c r="CY36" s="17"/>
      <c r="DD36" s="14">
        <f t="shared" si="9"/>
        <v>0</v>
      </c>
    </row>
    <row r="37" spans="1:108" ht="15.75" customHeight="1" x14ac:dyDescent="0.35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22</v>
      </c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22</v>
      </c>
      <c r="CP37" s="27">
        <f t="shared" si="4"/>
        <v>22</v>
      </c>
      <c r="CQ37" s="22">
        <v>0</v>
      </c>
      <c r="CR37" s="22">
        <f t="shared" si="5"/>
        <v>22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-22</v>
      </c>
      <c r="CX37" s="43"/>
      <c r="CY37" s="17"/>
      <c r="DD37" s="14">
        <f t="shared" si="9"/>
        <v>0</v>
      </c>
    </row>
    <row r="38" spans="1:108" x14ac:dyDescent="0.35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5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5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5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5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53</v>
      </c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123</v>
      </c>
      <c r="CP42" s="27">
        <f t="shared" si="4"/>
        <v>123</v>
      </c>
      <c r="CQ42" s="22">
        <v>0</v>
      </c>
      <c r="CR42" s="22">
        <f t="shared" si="5"/>
        <v>123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-123</v>
      </c>
      <c r="CX42" s="43"/>
      <c r="CY42" s="17"/>
      <c r="DD42" s="14">
        <f t="shared" si="9"/>
        <v>0</v>
      </c>
    </row>
    <row r="43" spans="1:108" x14ac:dyDescent="0.35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5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5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5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5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5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5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5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5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5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5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5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5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5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62</v>
      </c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62</v>
      </c>
      <c r="CP56" s="27">
        <f t="shared" si="11"/>
        <v>62</v>
      </c>
      <c r="CQ56" s="22">
        <v>0</v>
      </c>
      <c r="CR56" s="22">
        <f t="shared" si="12"/>
        <v>62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-62</v>
      </c>
      <c r="CX56" s="43"/>
      <c r="CY56" s="17"/>
      <c r="DD56" s="14">
        <f t="shared" si="16"/>
        <v>0</v>
      </c>
    </row>
    <row r="57" spans="1:108" x14ac:dyDescent="0.35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5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54</v>
      </c>
      <c r="CP58" s="27">
        <f t="shared" si="11"/>
        <v>54</v>
      </c>
      <c r="CQ58" s="22">
        <v>0</v>
      </c>
      <c r="CR58" s="22">
        <f t="shared" si="12"/>
        <v>54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1625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5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5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5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5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5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5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5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5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5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5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5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5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5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5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5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5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5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5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8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8</v>
      </c>
      <c r="CP76" s="27">
        <f t="shared" si="11"/>
        <v>8</v>
      </c>
      <c r="CQ76" s="22">
        <v>0</v>
      </c>
      <c r="CR76" s="22">
        <f t="shared" si="12"/>
        <v>8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-8</v>
      </c>
      <c r="CX76" s="43"/>
      <c r="CY76" s="17"/>
      <c r="DD76" s="14">
        <f t="shared" si="16"/>
        <v>0</v>
      </c>
    </row>
    <row r="77" spans="1:108" ht="15" customHeight="1" x14ac:dyDescent="0.35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4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5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217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876</v>
      </c>
      <c r="CP79" s="25">
        <f>+SUM(CP14:CP78)</f>
        <v>876</v>
      </c>
      <c r="CQ79" s="25">
        <f>+SUM(CQ14:CQ78)</f>
        <v>0</v>
      </c>
      <c r="CR79" s="25">
        <f>+SUM(CR14:CR78)</f>
        <v>876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6390.5</v>
      </c>
    </row>
    <row r="80" spans="1:108" hidden="1" x14ac:dyDescent="0.35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5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5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5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5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5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5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5">
      <c r="B87" s="32"/>
      <c r="C87" s="32"/>
      <c r="D87" s="32"/>
      <c r="E87" s="32"/>
      <c r="H87" s="14"/>
      <c r="I87" s="14"/>
    </row>
    <row r="88" spans="1:101" x14ac:dyDescent="0.35">
      <c r="B88" s="32"/>
      <c r="C88" s="32"/>
      <c r="D88" s="32"/>
      <c r="E88" s="32"/>
      <c r="H88" s="14"/>
      <c r="I88" s="14"/>
    </row>
    <row r="89" spans="1:101" x14ac:dyDescent="0.35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5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5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4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5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2.54296875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15" width="13.453125" customWidth="1"/>
    <col min="16" max="16" width="15.453125" customWidth="1"/>
    <col min="17" max="17" width="2.7265625" customWidth="1"/>
    <col min="18" max="18" width="7.54296875" hidden="1" customWidth="1"/>
    <col min="19" max="21" width="7.1796875" hidden="1" customWidth="1"/>
    <col min="22" max="22" width="9" hidden="1" customWidth="1"/>
    <col min="23" max="23" width="1.81640625" hidden="1" customWidth="1"/>
    <col min="24" max="24" width="13.54296875" style="3" customWidth="1"/>
    <col min="25" max="25" width="1.54296875" style="3" customWidth="1"/>
    <col min="26" max="27" width="12.81640625" customWidth="1"/>
    <col min="28" max="28" width="3.54296875" style="6" customWidth="1"/>
    <col min="29" max="32" width="13.7265625" customWidth="1" outlineLevel="1"/>
    <col min="33" max="33" width="13.54296875" customWidth="1" outlineLevel="1"/>
    <col min="34" max="34" width="13.453125" customWidth="1" outlineLevel="1"/>
    <col min="35" max="35" width="13.54296875" customWidth="1" outlineLevel="1"/>
    <col min="36" max="36" width="13.7265625" customWidth="1" outlineLevel="1"/>
    <col min="37" max="37" width="13.54296875" customWidth="1" outlineLevel="1"/>
    <col min="38" max="39" width="13.7265625" customWidth="1" outlineLevel="1"/>
    <col min="40" max="85" width="13.54296875" customWidth="1" outlineLevel="1"/>
    <col min="86" max="86" width="14" customWidth="1"/>
    <col min="87" max="87" width="4.26953125" customWidth="1"/>
    <col min="88" max="88" width="13.81640625" customWidth="1"/>
    <col min="89" max="89" width="15.7265625" customWidth="1"/>
    <col min="90" max="90" width="14" customWidth="1"/>
    <col min="91" max="91" width="15.7265625" customWidth="1"/>
    <col min="92" max="94" width="11.453125" customWidth="1"/>
    <col min="95" max="95" width="11.81640625" customWidth="1"/>
    <col min="96" max="97" width="11.453125" customWidth="1"/>
  </cols>
  <sheetData>
    <row r="3" spans="1:107" ht="21" x14ac:dyDescent="0.35">
      <c r="B3" s="77" t="s">
        <v>157</v>
      </c>
      <c r="D3" s="78">
        <f>+CH77</f>
        <v>2344</v>
      </c>
      <c r="F3" s="79" t="s">
        <v>1</v>
      </c>
      <c r="I3" s="80">
        <f>'Programa CASETAS REPORTE DIARIO'!CN79+CH77</f>
        <v>3220</v>
      </c>
    </row>
    <row r="10" spans="1:107" x14ac:dyDescent="0.35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5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158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5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159</v>
      </c>
      <c r="CQ12" s="29" t="s">
        <v>21</v>
      </c>
      <c r="CS12" s="29" t="s">
        <v>160</v>
      </c>
      <c r="CT12" s="29" t="s">
        <v>160</v>
      </c>
      <c r="CU12" s="29" t="s">
        <v>160</v>
      </c>
      <c r="CV12" s="29" t="s">
        <v>160</v>
      </c>
      <c r="CW12" s="29" t="s">
        <v>160</v>
      </c>
      <c r="CX12" s="29" t="s">
        <v>161</v>
      </c>
      <c r="CY12" s="29" t="s">
        <v>161</v>
      </c>
      <c r="CZ12" s="29" t="s">
        <v>161</v>
      </c>
      <c r="DA12" s="29" t="s">
        <v>161</v>
      </c>
      <c r="DB12" s="29" t="s">
        <v>161</v>
      </c>
    </row>
    <row r="13" spans="1:107" s="12" customFormat="1" ht="51.75" customHeight="1" x14ac:dyDescent="0.3">
      <c r="A13" s="10" t="s">
        <v>22</v>
      </c>
      <c r="B13" s="10" t="s">
        <v>162</v>
      </c>
      <c r="C13" s="10" t="s">
        <v>24</v>
      </c>
      <c r="D13" s="57" t="s">
        <v>25</v>
      </c>
      <c r="E13" s="57" t="s">
        <v>163</v>
      </c>
      <c r="F13" s="57" t="s">
        <v>164</v>
      </c>
      <c r="G13" s="57" t="s">
        <v>165</v>
      </c>
      <c r="H13" s="57" t="s">
        <v>166</v>
      </c>
      <c r="I13" s="57" t="s">
        <v>167</v>
      </c>
      <c r="J13" s="57" t="s">
        <v>168</v>
      </c>
      <c r="K13" s="57" t="s">
        <v>169</v>
      </c>
      <c r="L13" s="57" t="s">
        <v>170</v>
      </c>
      <c r="M13" s="57" t="s">
        <v>171</v>
      </c>
      <c r="N13" s="57" t="s">
        <v>172</v>
      </c>
      <c r="O13" s="57" t="s">
        <v>173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615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2344</v>
      </c>
      <c r="CJ13" s="39"/>
      <c r="CK13" s="40"/>
      <c r="CL13" s="40"/>
      <c r="CM13" s="41"/>
      <c r="CN13" s="29"/>
      <c r="CO13" s="29"/>
      <c r="CP13" s="29"/>
      <c r="CQ13" s="29"/>
      <c r="CS13" s="67" t="s">
        <v>163</v>
      </c>
      <c r="CT13" s="67" t="s">
        <v>164</v>
      </c>
      <c r="CU13" s="67" t="s">
        <v>165</v>
      </c>
      <c r="CV13" s="67" t="s">
        <v>166</v>
      </c>
      <c r="CW13" s="67" t="s">
        <v>167</v>
      </c>
      <c r="CX13" s="67" t="s">
        <v>168</v>
      </c>
      <c r="CY13" s="67" t="s">
        <v>169</v>
      </c>
      <c r="CZ13" s="67" t="s">
        <v>170</v>
      </c>
      <c r="DA13" s="67" t="s">
        <v>171</v>
      </c>
      <c r="DB13" s="67" t="s">
        <v>172</v>
      </c>
      <c r="DC13" s="66" t="s">
        <v>32</v>
      </c>
    </row>
    <row r="14" spans="1:107" ht="15" customHeight="1" x14ac:dyDescent="0.35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5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5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5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5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5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5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5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5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5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5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5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5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5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50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415</v>
      </c>
      <c r="CJ27" s="27">
        <f t="shared" si="3"/>
        <v>415</v>
      </c>
      <c r="CK27" s="22">
        <v>0</v>
      </c>
      <c r="CL27" s="22">
        <f t="shared" si="4"/>
        <v>415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371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5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45</v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325</v>
      </c>
      <c r="CJ28" s="27">
        <f t="shared" si="3"/>
        <v>325</v>
      </c>
      <c r="CK28" s="22">
        <v>0</v>
      </c>
      <c r="CL28" s="22">
        <f t="shared" si="4"/>
        <v>325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-147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5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68</v>
      </c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105</v>
      </c>
      <c r="CJ29" s="27">
        <f t="shared" si="3"/>
        <v>105</v>
      </c>
      <c r="CK29" s="22">
        <v>0</v>
      </c>
      <c r="CL29" s="22">
        <f t="shared" si="4"/>
        <v>105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1231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5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5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5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5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5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5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70</v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163</v>
      </c>
      <c r="CJ35" s="27">
        <f t="shared" si="3"/>
        <v>163</v>
      </c>
      <c r="CK35" s="22">
        <v>0</v>
      </c>
      <c r="CL35" s="22">
        <f t="shared" si="4"/>
        <v>163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-64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5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50</v>
      </c>
      <c r="CJ36" s="27">
        <f t="shared" si="3"/>
        <v>50</v>
      </c>
      <c r="CK36" s="22">
        <v>0</v>
      </c>
      <c r="CL36" s="22">
        <f t="shared" si="4"/>
        <v>50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-50</v>
      </c>
      <c r="CR36" s="43"/>
      <c r="CS36" s="17"/>
      <c r="DC36" s="14">
        <f t="shared" si="8"/>
        <v>0</v>
      </c>
    </row>
    <row r="37" spans="1:107" x14ac:dyDescent="0.35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43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86</v>
      </c>
      <c r="CJ37" s="27">
        <f t="shared" si="3"/>
        <v>86</v>
      </c>
      <c r="CK37" s="22">
        <v>0</v>
      </c>
      <c r="CL37" s="22">
        <f t="shared" si="4"/>
        <v>86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489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5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5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5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5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8</v>
      </c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52</v>
      </c>
      <c r="CJ41" s="27">
        <f t="shared" si="3"/>
        <v>52</v>
      </c>
      <c r="CK41" s="22">
        <v>0</v>
      </c>
      <c r="CL41" s="22">
        <f t="shared" si="4"/>
        <v>52</v>
      </c>
      <c r="CM41" s="42"/>
      <c r="CN41" s="44"/>
      <c r="CO41" s="14">
        <f t="shared" si="5"/>
        <v>480</v>
      </c>
      <c r="CP41" s="14">
        <f t="shared" si="6"/>
        <v>480</v>
      </c>
      <c r="CQ41" s="14">
        <f t="shared" si="7"/>
        <v>428</v>
      </c>
      <c r="CR41" s="43"/>
      <c r="CS41" s="17">
        <v>46</v>
      </c>
      <c r="CV41">
        <v>9</v>
      </c>
      <c r="CW41">
        <v>2</v>
      </c>
      <c r="CY41">
        <v>357</v>
      </c>
      <c r="DB41">
        <v>66</v>
      </c>
      <c r="DC41" s="14">
        <f t="shared" si="8"/>
        <v>480</v>
      </c>
    </row>
    <row r="42" spans="1:107" x14ac:dyDescent="0.35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5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69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176</v>
      </c>
      <c r="CJ43" s="27">
        <f t="shared" si="3"/>
        <v>176</v>
      </c>
      <c r="CK43" s="22">
        <v>0</v>
      </c>
      <c r="CL43" s="22">
        <f t="shared" si="4"/>
        <v>176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-156</v>
      </c>
      <c r="CR43" s="43"/>
      <c r="CS43" s="17"/>
      <c r="DC43" s="14">
        <f t="shared" si="8"/>
        <v>0</v>
      </c>
    </row>
    <row r="44" spans="1:107" x14ac:dyDescent="0.35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5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5">
      <c r="A46" s="33">
        <v>20</v>
      </c>
      <c r="B46" s="58" t="s">
        <v>174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49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275</v>
      </c>
      <c r="CJ46" s="27">
        <f t="shared" ref="CJ46:CJ76" si="11">CH46</f>
        <v>275</v>
      </c>
      <c r="CK46" s="22">
        <v>0</v>
      </c>
      <c r="CL46" s="22">
        <f t="shared" ref="CL46:CL77" si="12">CJ46+CK46</f>
        <v>275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1253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5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5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5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>
        <v>3</v>
      </c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3</v>
      </c>
      <c r="CJ49" s="27">
        <f t="shared" si="11"/>
        <v>3</v>
      </c>
      <c r="CK49" s="22">
        <v>0</v>
      </c>
      <c r="CL49" s="22">
        <f t="shared" si="12"/>
        <v>3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-3</v>
      </c>
      <c r="CR49" s="43"/>
      <c r="CS49" s="17"/>
      <c r="DC49" s="14">
        <f t="shared" si="15"/>
        <v>0</v>
      </c>
    </row>
    <row r="50" spans="1:107" x14ac:dyDescent="0.35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5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5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5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149</v>
      </c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154</v>
      </c>
      <c r="CJ53" s="27">
        <f t="shared" si="11"/>
        <v>154</v>
      </c>
      <c r="CK53" s="22">
        <v>0</v>
      </c>
      <c r="CL53" s="22">
        <f t="shared" si="12"/>
        <v>154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-86</v>
      </c>
      <c r="CR53" s="43"/>
      <c r="CS53" s="17"/>
      <c r="DB53">
        <v>68</v>
      </c>
      <c r="DC53" s="14">
        <f t="shared" si="15"/>
        <v>68</v>
      </c>
    </row>
    <row r="54" spans="1:107" x14ac:dyDescent="0.35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5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2</v>
      </c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82</v>
      </c>
      <c r="CJ55" s="27">
        <f t="shared" si="11"/>
        <v>82</v>
      </c>
      <c r="CK55" s="22">
        <v>0</v>
      </c>
      <c r="CL55" s="22">
        <f t="shared" si="12"/>
        <v>82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-52</v>
      </c>
      <c r="CR55" s="43"/>
      <c r="CS55" s="17"/>
      <c r="CV55">
        <v>30</v>
      </c>
      <c r="DC55" s="14">
        <f t="shared" si="15"/>
        <v>30</v>
      </c>
    </row>
    <row r="56" spans="1:107" x14ac:dyDescent="0.35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5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69</v>
      </c>
      <c r="CJ57" s="27">
        <f t="shared" si="11"/>
        <v>69</v>
      </c>
      <c r="CK57" s="22">
        <v>0</v>
      </c>
      <c r="CL57" s="22">
        <f t="shared" si="12"/>
        <v>69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284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5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5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5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5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21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68</v>
      </c>
      <c r="CJ61" s="27">
        <f t="shared" si="11"/>
        <v>68</v>
      </c>
      <c r="CK61" s="22">
        <v>0</v>
      </c>
      <c r="CL61" s="22">
        <f t="shared" si="12"/>
        <v>68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-36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5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5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5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16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63</v>
      </c>
      <c r="CJ64" s="27">
        <f t="shared" si="11"/>
        <v>63</v>
      </c>
      <c r="CK64" s="22">
        <v>0</v>
      </c>
      <c r="CL64" s="22">
        <f t="shared" si="12"/>
        <v>63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86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5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5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5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5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5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5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5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5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5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5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5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4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5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615</v>
      </c>
      <c r="AU77" s="25">
        <f t="shared" si="16"/>
        <v>0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2344</v>
      </c>
      <c r="CJ77" s="25">
        <f>+SUM(CJ14:CJ76)</f>
        <v>2344</v>
      </c>
      <c r="CK77" s="25">
        <f>+SUM(CK14:CK76)</f>
        <v>0</v>
      </c>
      <c r="CL77" s="25">
        <f>+SUM(CL14:CL76)</f>
        <v>2344</v>
      </c>
      <c r="CM77" s="25"/>
      <c r="CN77" s="25"/>
      <c r="CO77" s="25">
        <f>+SUM(CO14:CO76)</f>
        <v>11232</v>
      </c>
      <c r="CP77" s="25">
        <f>+SUM(CP14:CP76)</f>
        <v>11232</v>
      </c>
      <c r="CQ77" s="25">
        <f>+SUM(CQ14:CQ76)</f>
        <v>8888</v>
      </c>
    </row>
    <row r="78" spans="1:107" x14ac:dyDescent="0.35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5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5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5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4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5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5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5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5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5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5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5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5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5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5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5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5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5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5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5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5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2026-10-29T23:43:58Z</dcterms:modified>
</cp:coreProperties>
</file>