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CAD0AEB8-1109-40E6-81CE-FD9761102102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W57" i="2" s="1"/>
  <c r="CN57" i="2"/>
  <c r="CP57" i="2" s="1"/>
  <c r="CR57" i="2" s="1"/>
  <c r="DD56" i="2"/>
  <c r="CU56" i="2" s="1"/>
  <c r="CV56" i="2" s="1"/>
  <c r="CW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62" i="3" l="1"/>
  <c r="CQ36" i="3"/>
  <c r="CQ25" i="3"/>
  <c r="CQ17" i="3"/>
  <c r="CQ63" i="3"/>
  <c r="CQ51" i="3"/>
  <c r="CQ44" i="3"/>
  <c r="CQ42" i="3"/>
  <c r="CQ41" i="3"/>
  <c r="CQ38" i="3"/>
  <c r="CQ39" i="3"/>
  <c r="CQ37" i="3"/>
  <c r="CQ29" i="3"/>
  <c r="CQ19" i="3"/>
  <c r="CQ34" i="3"/>
  <c r="CQ28" i="3"/>
  <c r="CQ22" i="3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E21" i="1" s="1"/>
  <c r="AH13" i="3"/>
  <c r="CQ24" i="3"/>
  <c r="CP14" i="3"/>
  <c r="CO77" i="3"/>
  <c r="CJ14" i="3"/>
  <c r="CH77" i="3"/>
  <c r="F11" i="1"/>
  <c r="D21" i="1"/>
  <c r="CU79" i="2"/>
  <c r="CV14" i="2"/>
  <c r="CN79" i="2"/>
  <c r="CP14" i="2"/>
  <c r="CQ74" i="3"/>
  <c r="CQ73" i="3"/>
  <c r="CQ72" i="3"/>
  <c r="CQ71" i="3"/>
  <c r="CQ70" i="3"/>
  <c r="CQ69" i="3"/>
  <c r="CQ68" i="3"/>
  <c r="CQ67" i="3"/>
  <c r="CQ66" i="3"/>
  <c r="CQ65" i="3"/>
  <c r="CQ45" i="3"/>
  <c r="CQ43" i="3"/>
  <c r="CQ26" i="3"/>
  <c r="CQ61" i="3"/>
  <c r="CQ60" i="3"/>
  <c r="CQ59" i="3"/>
  <c r="CQ58" i="3"/>
  <c r="CQ57" i="3"/>
  <c r="CQ56" i="3"/>
  <c r="CQ55" i="3"/>
  <c r="CQ54" i="3"/>
  <c r="CQ53" i="3"/>
  <c r="CQ21" i="3"/>
  <c r="CQ16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Q30" i="3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64" i="3"/>
  <c r="CQ52" i="3"/>
  <c r="CQ50" i="3"/>
  <c r="CQ49" i="3"/>
  <c r="CQ48" i="3"/>
  <c r="CQ47" i="3"/>
  <c r="CQ46" i="3"/>
  <c r="CQ40" i="3"/>
  <c r="CQ35" i="3"/>
  <c r="CQ32" i="3"/>
  <c r="CQ31" i="3"/>
  <c r="CQ23" i="3"/>
  <c r="CQ15" i="3"/>
  <c r="CQ33" i="3"/>
  <c r="CQ27" i="3"/>
  <c r="CQ20" i="3"/>
  <c r="CQ18" i="3"/>
  <c r="CQ14" i="3" l="1"/>
  <c r="CQ77" i="3" s="1"/>
  <c r="CP77" i="3"/>
  <c r="CL14" i="3"/>
  <c r="CL77" i="3" s="1"/>
  <c r="CJ77" i="3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CV79" i="2"/>
  <c r="CW14" i="2"/>
  <c r="CW79" i="2" s="1"/>
  <c r="B6" i="1"/>
  <c r="I3" i="3"/>
  <c r="D3" i="2"/>
  <c r="CN13" i="2"/>
  <c r="CR14" i="2"/>
  <c r="CR79" i="2" s="1"/>
  <c r="CP79" i="2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<sst xmlns="http://schemas.openxmlformats.org/spreadsheetml/2006/main" count="580" uniqueCount="171">
  <si>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</si>
  <si>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</si>
  <si>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</si>
  <si>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</si>
  <si>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</si>
  <si>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</si>
  <si>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</si>
  <si>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</si>
  <si>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</si>
  <si>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</si>
  <si>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</si>
  <si>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</si>
  <si>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</si>
  <si>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</si>
  <si>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</si>
  <si>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</si>
  <si>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</si>
  <si>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</si>
  <si>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</si>
  <si>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</si>
  <si>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</si>
  <si>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</si>
  <si>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</si>
  <si>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</si>
  <si>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</si>
  <si>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</si>
  <si>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</si>
  <si>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</si>
  <si>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</si>
  <si>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</si>
  <si>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</si>
  <si>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</si>
  <si>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</si>
  <si>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</si>
  <si>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</si>
  <si>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</si>
  <si>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</si>
  <si>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</si>
  <si>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</si>
  <si>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</si>
  <si>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</si>
  <si>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</si>
  <si>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</si>
  <si>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</si>
  <si>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</si>
  <si>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</si>
  <si>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</si>
  <si>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</si>
  <si>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</si>
  <si>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</si>
  <si>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</si>
  <si>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</si>
  <si>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</si>
  <si>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</si>
  <si>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</si>
  <si>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</si>
  <si>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</si>
  <si>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</si>
  <si>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</si>
  <si>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</si>
  <si>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</si>
  <si>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</si>
  <si>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</si>
  <si>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</si>
  <si>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</si>
  <si>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</si>
  <si>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</si>
  <si>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</si>
  <si>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</si>
  <si>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</si>
  <si>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</si>
  <si>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</si>
  <si>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</si>
  <si>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</si>
  <si>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</si>
  <si>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</si>
  <si>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</si>
  <si>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</si>
  <si>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</si>
  <si>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</si>
  <si>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</si>
  <si>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</si>
  <si>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</si>
  <si>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</si>
  <si>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</si>
  <si>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</si>
  <si>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</si>
  <si>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</si>
  <si>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</si>
  <si>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</si>
  <si>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</si>
  <si>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</si>
  <si>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</si>
  <si>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</si>
  <si>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</si>
  <si>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</si>
  <si>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</si>
  <si>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</si>
  <si>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</si>
  <si>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</si>
  <si>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</si>
  <si>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</si>
  <si>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</si>
  <si>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</si>
  <si>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</si>
  <si>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</si>
  <si>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</si>
  <si>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</si>
  <si>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</si>
  <si>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</si>
  <si>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</si>
  <si>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</si>
  <si>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11:02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</si>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</sst>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531</v>
      </c>
      <c r="C6" s="89"/>
      <c r="E6" s="88">
        <f>'Programa CAJAS REPORTE DIARIO'!CH77</f>
        <v>1367</v>
      </c>
      <c r="F6" s="89"/>
      <c r="H6" s="101">
        <f>B6+E6</f>
        <v>1898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531</v>
      </c>
      <c r="F3" s="79" t="s">
        <v>1</v>
      </c>
      <c r="I3" s="80">
        <f>'Programa CAJAS REPORTE DIARIO'!CH77+CN79</f>
        <v>1898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49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531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6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156</v>
      </c>
      <c r="CP27" s="27">
        <f t="shared" si="4"/>
        <v>156</v>
      </c>
      <c r="CQ27" s="22">
        <v>0</v>
      </c>
      <c r="CR27" s="22">
        <f t="shared" si="5"/>
        <v>156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214.5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124</v>
      </c>
      <c r="CP28" s="27">
        <f t="shared" si="4"/>
        <v>124</v>
      </c>
      <c r="CQ28" s="22">
        <v>0</v>
      </c>
      <c r="CR28" s="22">
        <f t="shared" si="5"/>
        <v>124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1253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1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15</v>
      </c>
      <c r="CP36" s="27">
        <f t="shared" si="4"/>
        <v>15</v>
      </c>
      <c r="CQ36" s="22">
        <v>0</v>
      </c>
      <c r="CR36" s="22">
        <f t="shared" si="5"/>
        <v>15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-15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</v>
      </c>
      <c r="CP58" s="27">
        <f t="shared" si="11"/>
        <v>5</v>
      </c>
      <c r="CQ58" s="22">
        <v>0</v>
      </c>
      <c r="CR58" s="22">
        <f t="shared" si="12"/>
        <v>5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-5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49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531</v>
      </c>
      <c r="CP79" s="25">
        <f>+SUM(CP14:CP78)</f>
        <v>531</v>
      </c>
      <c r="CQ79" s="25">
        <f>+SUM(CQ14:CQ78)</f>
        <v>0</v>
      </c>
      <c r="CR79" s="25">
        <f>+SUM(CR14:CR78)</f>
        <v>531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2601.5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1367</v>
      </c>
      <c r="F3" s="79" t="s">
        <v>1</v>
      </c>
      <c r="I3" s="80">
        <f>'Programa CASETAS REPORTE DIARIO'!CN79+CH77</f>
        <v>1898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42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1367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6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338</v>
      </c>
      <c r="CJ27" s="27">
        <f t="shared" si="3"/>
        <v>338</v>
      </c>
      <c r="CK27" s="22">
        <v>0</v>
      </c>
      <c r="CL27" s="22">
        <f t="shared" si="4"/>
        <v>338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448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9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221</v>
      </c>
      <c r="CJ28" s="27">
        <f t="shared" si="3"/>
        <v>221</v>
      </c>
      <c r="CK28" s="22">
        <v>0</v>
      </c>
      <c r="CL28" s="22">
        <f t="shared" si="4"/>
        <v>221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-43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2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32</v>
      </c>
      <c r="CJ36" s="27">
        <f t="shared" si="3"/>
        <v>32</v>
      </c>
      <c r="CK36" s="22">
        <v>0</v>
      </c>
      <c r="CL36" s="22">
        <f t="shared" si="4"/>
        <v>32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-32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63</v>
      </c>
      <c r="CJ43" s="27">
        <f t="shared" si="3"/>
        <v>63</v>
      </c>
      <c r="CK43" s="22">
        <v>0</v>
      </c>
      <c r="CL43" s="22">
        <f t="shared" si="4"/>
        <v>63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50</v>
      </c>
      <c r="CJ55" s="27">
        <f t="shared" si="11"/>
        <v>50</v>
      </c>
      <c r="CK55" s="22">
        <v>0</v>
      </c>
      <c r="CL55" s="22">
        <f t="shared" si="12"/>
        <v>50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-20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4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35</v>
      </c>
      <c r="CJ61" s="27">
        <f t="shared" si="11"/>
        <v>35</v>
      </c>
      <c r="CK61" s="22">
        <v>0</v>
      </c>
      <c r="CL61" s="22">
        <f t="shared" si="12"/>
        <v>35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-3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42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1367</v>
      </c>
      <c r="CJ77" s="25">
        <f>+SUM(CJ14:CJ76)</f>
        <v>1367</v>
      </c>
      <c r="CK77" s="25">
        <f>+SUM(CK14:CK76)</f>
        <v>0</v>
      </c>
      <c r="CL77" s="25">
        <f>+SUM(CL14:CL76)</f>
        <v>1367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5620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2026-10-28T17:02:25Z</dcterms:modified>
</cp:coreProperties>
</file>