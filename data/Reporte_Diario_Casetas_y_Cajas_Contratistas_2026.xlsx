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A40AE61-CDE6-4474-B895-DF8740081E0A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E23" i="1" s="1"/>
  <c r="AS77" i="3"/>
  <c r="E22" i="1" s="1"/>
  <c r="AR77" i="3"/>
  <c r="E21" i="1" s="1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E14" i="1" s="1"/>
  <c r="AJ77" i="3"/>
  <c r="E13" i="1" s="1"/>
  <c r="AI77" i="3"/>
  <c r="E12" i="1" s="1"/>
  <c r="AH77" i="3"/>
  <c r="E11" i="1" s="1"/>
  <c r="E24" i="1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W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CQ16" i="3" l="1"/>
  <c r="CN85" i="2"/>
  <c r="CQ55" i="3"/>
  <c r="CQ28" i="3"/>
  <c r="CQ24" i="3"/>
  <c r="CW46" i="2"/>
  <c r="CW44" i="2"/>
  <c r="CW41" i="2"/>
  <c r="CW36" i="2"/>
  <c r="CW28" i="2"/>
  <c r="CW27" i="2"/>
  <c r="CW34" i="2"/>
  <c r="CW16" i="2"/>
  <c r="CW15" i="2"/>
  <c r="CP14" i="3"/>
  <c r="CO77" i="3"/>
  <c r="CH77" i="3"/>
  <c r="CJ14" i="3"/>
  <c r="D23" i="1"/>
  <c r="F23" i="1" s="1"/>
  <c r="AN13" i="2"/>
  <c r="AM13" i="2"/>
  <c r="D22" i="1"/>
  <c r="F22" i="1" s="1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AG13" i="2"/>
  <c r="D16" i="1"/>
  <c r="F16" i="1" s="1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D11" i="1"/>
  <c r="AB13" i="2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7" i="3"/>
  <c r="CQ26" i="3"/>
  <c r="CQ25" i="3"/>
  <c r="CQ23" i="3"/>
  <c r="CQ22" i="3"/>
  <c r="CQ21" i="3"/>
  <c r="CQ20" i="3"/>
  <c r="CQ19" i="3"/>
  <c r="CQ18" i="3"/>
  <c r="CQ17" i="3"/>
  <c r="CQ15" i="3"/>
  <c r="CW45" i="2"/>
  <c r="CW43" i="2"/>
  <c r="CW42" i="2"/>
  <c r="CW40" i="2"/>
  <c r="CW38" i="2"/>
  <c r="CW37" i="2"/>
  <c r="CW32" i="2"/>
  <c r="CW31" i="2"/>
  <c r="CW29" i="2"/>
  <c r="CW24" i="2"/>
  <c r="CW23" i="2"/>
  <c r="CW22" i="2"/>
  <c r="CW21" i="2"/>
  <c r="CW20" i="2"/>
  <c r="CW19" i="2"/>
  <c r="CW18" i="2"/>
  <c r="CW17" i="2"/>
  <c r="CW39" i="2"/>
  <c r="CW26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7" i="2"/>
  <c r="CW33" i="2"/>
  <c r="CW25" i="2"/>
  <c r="CQ14" i="3" l="1"/>
  <c r="CQ77" i="3" s="1"/>
  <c r="CP77" i="3"/>
  <c r="I3" i="2"/>
  <c r="CH13" i="3"/>
  <c r="E6" i="1"/>
  <c r="D3" i="3"/>
  <c r="CJ77" i="3"/>
  <c r="CL14" i="3"/>
  <c r="CL77" i="3" s="1"/>
  <c r="F11" i="1"/>
  <c r="D24" i="1"/>
  <c r="CW14" i="2"/>
  <c r="CW79" i="2" s="1"/>
  <c r="CV79" i="2"/>
  <c r="B6" i="1"/>
  <c r="I3" i="3"/>
  <c r="D3" i="2"/>
  <c r="CN13" i="2"/>
  <c r="CR14" i="2"/>
  <c r="CR79" i="2" s="1"/>
  <c r="CP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<sst xmlns="http://schemas.openxmlformats.org/spreadsheetml/2006/main" count="589" uniqueCount="175">
  <si>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</si>
  <si>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</si>
  <si>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</si>
  <si>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</si>
  <si>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</si>
  <si>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</si>
  <si>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</si>
  <si>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</si>
  <si>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</si>
  <si>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</si>
  <si>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</si>
  <si>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</si>
  <si>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</si>
  <si>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</si>
  <si>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</si>
  <si>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</si>
  <si>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</si>
  <si>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</si>
  <si>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</si>
  <si>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</si>
  <si>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</si>
  <si>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</si>
  <si>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</si>
  <si>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</si>
  <si>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</si>
  <si>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</si>
  <si>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</si>
  <si>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</si>
  <si>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</si>
  <si>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</si>
  <si>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</si>
  <si>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</si>
  <si>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</si>
  <si>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</si>
  <si>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</si>
  <si>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</si>
  <si>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</si>
  <si>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</si>
  <si>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</si>
  <si>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</si>
  <si>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</si>
  <si>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</si>
  <si>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</si>
  <si>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</si>
  <si>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</si>
  <si>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</si>
  <si>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</si>
  <si>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</si>
  <si>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</si>
  <si>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</si>
  <si>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</si>
  <si>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</si>
  <si>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</si>
  <si>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</si>
  <si>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</si>
  <si>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</si>
  <si>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</si>
  <si>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</si>
  <si>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</si>
  <si>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</si>
  <si>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</si>
  <si>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</si>
  <si>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</si>
  <si>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</si>
  <si>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</si>
  <si>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</si>
  <si>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</si>
  <si>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</si>
  <si>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</si>
  <si>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</si>
  <si>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</si>
  <si>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</si>
  <si>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</si>
  <si>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</si>
  <si>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</si>
  <si>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</si>
  <si>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</si>
  <si>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</si>
  <si>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</si>
  <si>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</si>
  <si>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</si>
  <si>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</si>
  <si>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</si>
  <si>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</si>
  <si>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</si>
  <si>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</si>
  <si>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</si>
  <si>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</si>
  <si>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</si>
  <si>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</si>
  <si>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</si>
  <si>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</si>
  <si>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</si>
  <si>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</si>
  <si>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</si>
  <si>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</si>
  <si>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</si>
  <si>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</si>
  <si>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</si>
  <si>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</si>
  <si>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</si>
  <si>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</si>
  <si>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</si>
  <si>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</si>
  <si>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</si>
  <si>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</si>
  <si>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</si>
  <si>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</si>
  <si>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</si>
  <si>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</si>
  <si>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</si>
  <si>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</si>
  <si>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20:55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</si>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</sst>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2470</v>
      </c>
      <c r="F6" s="89"/>
      <c r="H6" s="101">
        <f>B6+E6</f>
        <v>3378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741</v>
      </c>
      <c r="F23" s="70">
        <f t="shared" si="0"/>
        <v>990</v>
      </c>
      <c r="G23" s="70">
        <f t="shared" si="1"/>
        <v>3378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2470</v>
      </c>
      <c r="F24" s="75">
        <f>SUM(F11:F23)</f>
        <v>3378</v>
      </c>
      <c r="G24" s="75">
        <f>F24</f>
        <v>3378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3378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2470</v>
      </c>
      <c r="F3" s="79" t="s">
        <v>1</v>
      </c>
      <c r="I3" s="80">
        <f>'Programa CASETAS REPORTE DIARIO'!CN79+CH77</f>
        <v>3378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2470</v>
      </c>
      <c r="CJ77" s="25">
        <f>+SUM(CJ14:CJ76)</f>
        <v>2470</v>
      </c>
      <c r="CK77" s="25">
        <f>+SUM(CK14:CK76)</f>
        <v>0</v>
      </c>
      <c r="CL77" s="25">
        <f>+SUM(CL14:CL76)</f>
        <v>2470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2026-10-30T02:55:26Z</dcterms:modified>
</cp:coreProperties>
</file>