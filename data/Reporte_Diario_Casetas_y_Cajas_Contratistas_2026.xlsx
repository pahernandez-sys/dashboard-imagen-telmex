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31A594EE-D2C4-453C-9BAB-4EEBCAFAED43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BA13" i="3" s="1"/>
  <c r="AZ77" i="3"/>
  <c r="AY77" i="3"/>
  <c r="AX77" i="3"/>
  <c r="AW77" i="3"/>
  <c r="AV77" i="3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AZ13" i="3"/>
  <c r="AY13" i="3"/>
  <c r="AX13" i="3"/>
  <c r="AW13" i="3"/>
  <c r="AV13" i="3"/>
  <c r="AU13" i="3"/>
  <c r="AT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D22" i="1" s="1"/>
  <c r="F22" i="1" s="1"/>
  <c r="AL79" i="2"/>
  <c r="D21" i="1" s="1"/>
  <c r="F21" i="1" s="1"/>
  <c r="AK79" i="2"/>
  <c r="D20" i="1" s="1"/>
  <c r="F20" i="1" s="1"/>
  <c r="AJ79" i="2"/>
  <c r="D19" i="1" s="1"/>
  <c r="F19" i="1" s="1"/>
  <c r="AI79" i="2"/>
  <c r="D18" i="1" s="1"/>
  <c r="F18" i="1" s="1"/>
  <c r="AH79" i="2"/>
  <c r="D17" i="1" s="1"/>
  <c r="F17" i="1" s="1"/>
  <c r="AG79" i="2"/>
  <c r="D16" i="1" s="1"/>
  <c r="F16" i="1" s="1"/>
  <c r="AF79" i="2"/>
  <c r="D15" i="1" s="1"/>
  <c r="F15" i="1" s="1"/>
  <c r="AE79" i="2"/>
  <c r="D14" i="1" s="1"/>
  <c r="F14" i="1" s="1"/>
  <c r="AD79" i="2"/>
  <c r="D13" i="1" s="1"/>
  <c r="F13" i="1" s="1"/>
  <c r="AC79" i="2"/>
  <c r="D12" i="1" s="1"/>
  <c r="F12" i="1" s="1"/>
  <c r="AB79" i="2"/>
  <c r="D11" i="1" s="1"/>
  <c r="AA79" i="2"/>
  <c r="Z79" i="2"/>
  <c r="Y79" i="2"/>
  <c r="X79" i="2"/>
  <c r="W79" i="2"/>
  <c r="DD78" i="2"/>
  <c r="CU78" i="2" s="1"/>
  <c r="CV78" i="2" s="1"/>
  <c r="CW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W72" i="2" s="1"/>
  <c r="CN72" i="2"/>
  <c r="CP72" i="2" s="1"/>
  <c r="CR72" i="2" s="1"/>
  <c r="DD71" i="2"/>
  <c r="CU71" i="2" s="1"/>
  <c r="CV71" i="2" s="1"/>
  <c r="CW71" i="2" s="1"/>
  <c r="CN71" i="2"/>
  <c r="CP71" i="2" s="1"/>
  <c r="CR71" i="2" s="1"/>
  <c r="DD70" i="2"/>
  <c r="CU70" i="2" s="1"/>
  <c r="CV70" i="2" s="1"/>
  <c r="CW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W69" i="2" l="1"/>
  <c r="CW63" i="2"/>
  <c r="CW52" i="2"/>
  <c r="CW50" i="2"/>
  <c r="CW44" i="2"/>
  <c r="E22" i="1"/>
  <c r="AS13" i="3"/>
  <c r="E21" i="1"/>
  <c r="AR13" i="3"/>
  <c r="E20" i="1"/>
  <c r="AQ13" i="3"/>
  <c r="E19" i="1"/>
  <c r="AP13" i="3"/>
  <c r="E18" i="1"/>
  <c r="AO13" i="3"/>
  <c r="E17" i="1"/>
  <c r="AN13" i="3"/>
  <c r="E16" i="1"/>
  <c r="AM13" i="3"/>
  <c r="E15" i="1"/>
  <c r="AL13" i="3"/>
  <c r="E14" i="1"/>
  <c r="AK13" i="3"/>
  <c r="E13" i="1"/>
  <c r="AJ13" i="3"/>
  <c r="E12" i="1"/>
  <c r="AI13" i="3"/>
  <c r="E11" i="1"/>
  <c r="E23" i="1" s="1"/>
  <c r="AH13" i="3"/>
  <c r="CW51" i="2"/>
  <c r="CW76" i="2"/>
  <c r="CW56" i="2"/>
  <c r="CW48" i="2"/>
  <c r="CW62" i="2"/>
  <c r="CW55" i="2"/>
  <c r="CW74" i="2"/>
  <c r="CW67" i="2"/>
  <c r="CW43" i="2"/>
  <c r="CW17" i="2"/>
  <c r="CO77" i="3"/>
  <c r="CP14" i="3"/>
  <c r="CH77" i="3"/>
  <c r="CJ14" i="3"/>
  <c r="F11" i="1"/>
  <c r="D23" i="1"/>
  <c r="CV14" i="2"/>
  <c r="CU79" i="2"/>
  <c r="CN79" i="2"/>
  <c r="CP14" i="2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W73" i="2"/>
  <c r="CW68" i="2"/>
  <c r="CW66" i="2"/>
  <c r="CW65" i="2"/>
  <c r="CW64" i="2"/>
  <c r="CW61" i="2"/>
  <c r="CW60" i="2"/>
  <c r="CW59" i="2"/>
  <c r="CW49" i="2"/>
  <c r="CW45" i="2"/>
  <c r="CQ35" i="3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6" i="2"/>
  <c r="CW15" i="2"/>
  <c r="CQ76" i="3"/>
  <c r="CQ75" i="3"/>
  <c r="CQ15" i="3"/>
  <c r="CW77" i="2"/>
  <c r="CW75" i="2"/>
  <c r="CW58" i="2"/>
  <c r="CW57" i="2"/>
  <c r="CW54" i="2"/>
  <c r="CW53" i="2"/>
  <c r="CW47" i="2"/>
  <c r="CW46" i="2"/>
  <c r="CQ14" i="3" l="1"/>
  <c r="CQ77" i="3" s="1"/>
  <c r="CP77" i="3"/>
  <c r="I3" i="2"/>
  <c r="E6" i="1"/>
  <c r="D3" i="3"/>
  <c r="CH13" i="3"/>
  <c r="CL14" i="3"/>
  <c r="CL77" i="3" s="1"/>
  <c r="CJ77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  <c r="CV79" i="2"/>
  <c r="CW14" i="2"/>
  <c r="CW79" i="2" s="1"/>
  <c r="B6" i="1"/>
  <c r="I3" i="3"/>
  <c r="CN13" i="2"/>
  <c r="D3" i="2"/>
  <c r="CR14" i="2"/>
  <c r="CR79" i="2" s="1"/>
  <c r="CP79" i="2"/>
  <c r="H6" i="1" l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<sst xmlns="http://schemas.openxmlformats.org/spreadsheetml/2006/main" count="586" uniqueCount="174">
  <si>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</si>
  <si>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</si>
  <si>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</si>
  <si>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</si>
  <si>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</si>
  <si>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</si>
  <si>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</si>
  <si>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</si>
  <si>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</si>
  <si>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</si>
  <si>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</si>
  <si>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</si>
  <si>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</si>
  <si>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</si>
  <si>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</si>
  <si>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</si>
  <si>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</si>
  <si>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</si>
  <si>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</si>
  <si>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</si>
  <si>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</si>
  <si>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</si>
  <si>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</si>
  <si>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</si>
  <si>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</si>
  <si>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</si>
  <si>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</si>
  <si>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</si>
  <si>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</si>
  <si>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</si>
  <si>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</si>
  <si>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</si>
  <si>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</si>
  <si>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</si>
  <si>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</si>
  <si>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</si>
  <si>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</si>
  <si>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</si>
  <si>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</si>
  <si>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</si>
  <si>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</si>
  <si>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</si>
  <si>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</si>
  <si>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</si>
  <si>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</si>
  <si>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</si>
  <si>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</si>
  <si>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</si>
  <si>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</si>
  <si>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</si>
  <si>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</si>
  <si>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</si>
  <si>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</si>
  <si>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</si>
  <si>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</si>
  <si>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</si>
  <si>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</si>
  <si>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</si>
  <si>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</si>
  <si>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</si>
  <si>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</si>
  <si>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</si>
  <si>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</si>
  <si>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</si>
  <si>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</si>
  <si>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</si>
  <si>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</si>
  <si>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</si>
  <si>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</si>
  <si>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</si>
  <si>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</si>
  <si>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</si>
  <si>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</si>
  <si>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</si>
  <si>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</si>
  <si>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</si>
  <si>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</si>
  <si>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</si>
  <si>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</si>
  <si>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</si>
  <si>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</si>
  <si>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</si>
  <si>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</si>
  <si>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</si>
  <si>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</si>
  <si>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</si>
  <si>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</si>
  <si>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</si>
  <si>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</si>
  <si>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</si>
  <si>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</si>
  <si>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</si>
  <si>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</si>
  <si>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</si>
  <si>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</si>
  <si>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</si>
  <si>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</si>
  <si>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</si>
  <si>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</si>
  <si>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</si>
  <si>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</si>
  <si>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</si>
  <si>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</si>
  <si>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</si>
  <si>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</si>
  <si>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</si>
  <si>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</si>
  <si>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</si>
  <si>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</si>
  <si>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</si>
  <si>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</si>
  <si>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</si>
  <si>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19:37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</si>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</sst>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653</v>
      </c>
      <c r="C6" s="89"/>
      <c r="E6" s="88">
        <f>'Programa CAJAS REPORTE DIARIO'!CH77</f>
        <v>1688</v>
      </c>
      <c r="F6" s="89"/>
      <c r="H6" s="101">
        <f>B6+E6</f>
        <v>2341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171</v>
      </c>
      <c r="E22" s="72">
        <f>'Programa CAJAS REPORTE DIARIO'!AS77</f>
        <v>363</v>
      </c>
      <c r="F22" s="72">
        <f t="shared" si="0"/>
        <v>534</v>
      </c>
      <c r="G22" s="72">
        <f t="shared" si="1"/>
        <v>2341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653</v>
      </c>
      <c r="E23" s="75">
        <f>SUM(E11:E22)</f>
        <v>1688</v>
      </c>
      <c r="F23" s="75">
        <f>SUM(F11:F22)</f>
        <v>2341</v>
      </c>
      <c r="G23" s="75">
        <f>F23</f>
        <v>2341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653</v>
      </c>
      <c r="F3" s="79" t="s">
        <v>1</v>
      </c>
      <c r="I3" s="80">
        <f>'Programa CAJAS REPORTE DIARIO'!CH77+CN79</f>
        <v>2341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171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653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31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181</v>
      </c>
      <c r="CP27" s="27">
        <f t="shared" si="4"/>
        <v>181</v>
      </c>
      <c r="CQ27" s="22">
        <v>0</v>
      </c>
      <c r="CR27" s="22">
        <f t="shared" si="5"/>
        <v>181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145</v>
      </c>
      <c r="CP28" s="27">
        <f t="shared" si="4"/>
        <v>145</v>
      </c>
      <c r="CQ28" s="22">
        <v>0</v>
      </c>
      <c r="CR28" s="22">
        <f t="shared" si="5"/>
        <v>145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70</v>
      </c>
      <c r="CP42" s="27">
        <f t="shared" si="4"/>
        <v>70</v>
      </c>
      <c r="CQ42" s="22">
        <v>0</v>
      </c>
      <c r="CR42" s="22">
        <f t="shared" si="5"/>
        <v>70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3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17</v>
      </c>
      <c r="CP51" s="27">
        <f t="shared" si="11"/>
        <v>17</v>
      </c>
      <c r="CQ51" s="22">
        <v>0</v>
      </c>
      <c r="CR51" s="22">
        <f t="shared" si="12"/>
        <v>17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733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171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653</v>
      </c>
      <c r="CP79" s="25">
        <f>+SUM(CP14:CP78)</f>
        <v>653</v>
      </c>
      <c r="CQ79" s="25">
        <f>+SUM(CQ14:CQ78)</f>
        <v>0</v>
      </c>
      <c r="CR79" s="25">
        <f>+SUM(CR14:CR78)</f>
        <v>653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6429.5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1688</v>
      </c>
      <c r="F3" s="79" t="s">
        <v>1</v>
      </c>
      <c r="I3" s="80">
        <f>'Programa CASETAS REPORTE DIARIO'!CN79+CH77</f>
        <v>2341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363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1688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365</v>
      </c>
      <c r="CJ27" s="27">
        <f t="shared" si="3"/>
        <v>365</v>
      </c>
      <c r="CK27" s="22">
        <v>0</v>
      </c>
      <c r="CL27" s="22">
        <f t="shared" si="4"/>
        <v>365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280</v>
      </c>
      <c r="CJ28" s="27">
        <f t="shared" si="3"/>
        <v>280</v>
      </c>
      <c r="CK28" s="22">
        <v>0</v>
      </c>
      <c r="CL28" s="22">
        <f t="shared" si="4"/>
        <v>280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-102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93</v>
      </c>
      <c r="CJ35" s="27">
        <f t="shared" si="3"/>
        <v>93</v>
      </c>
      <c r="CK35" s="22">
        <v>0</v>
      </c>
      <c r="CL35" s="22">
        <f t="shared" si="4"/>
        <v>93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46</v>
      </c>
      <c r="CJ36" s="27">
        <f t="shared" si="3"/>
        <v>46</v>
      </c>
      <c r="CK36" s="22">
        <v>0</v>
      </c>
      <c r="CL36" s="22">
        <f t="shared" si="4"/>
        <v>46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-46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13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26</v>
      </c>
      <c r="CJ41" s="27">
        <f t="shared" si="3"/>
        <v>26</v>
      </c>
      <c r="CK41" s="22">
        <v>0</v>
      </c>
      <c r="CL41" s="22">
        <f t="shared" si="4"/>
        <v>26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-13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50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219</v>
      </c>
      <c r="CJ46" s="27">
        <f t="shared" ref="CJ46:CJ76" si="11">CH46</f>
        <v>219</v>
      </c>
      <c r="CK46" s="22">
        <v>0</v>
      </c>
      <c r="CL46" s="22">
        <f t="shared" ref="CL46:CL77" si="12">CJ46+CK46</f>
        <v>219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1285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2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31</v>
      </c>
      <c r="CJ50" s="27">
        <f t="shared" si="11"/>
        <v>31</v>
      </c>
      <c r="CK50" s="22">
        <v>0</v>
      </c>
      <c r="CL50" s="22">
        <f t="shared" si="12"/>
        <v>31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171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184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47</v>
      </c>
      <c r="CJ61" s="27">
        <f t="shared" si="11"/>
        <v>47</v>
      </c>
      <c r="CK61" s="22">
        <v>0</v>
      </c>
      <c r="CL61" s="22">
        <f t="shared" si="12"/>
        <v>47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363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1688</v>
      </c>
      <c r="CJ77" s="25">
        <f>+SUM(CJ14:CJ76)</f>
        <v>1688</v>
      </c>
      <c r="CK77" s="25">
        <f>+SUM(CK14:CK76)</f>
        <v>0</v>
      </c>
      <c r="CL77" s="25">
        <f>+SUM(CL14:CL76)</f>
        <v>1688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6819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2026-10-29T01:37:45Z</dcterms:modified>
</cp:coreProperties>
</file>