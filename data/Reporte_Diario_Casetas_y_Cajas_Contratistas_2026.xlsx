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172D44A-8EFC-4DCD-9288-5ED572EBF8AC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E14" i="1" s="1"/>
  <c r="AJ77" i="3"/>
  <c r="E13" i="1" s="1"/>
  <c r="AI77" i="3"/>
  <c r="E12" i="1" s="1"/>
  <c r="AH77" i="3"/>
  <c r="E11" i="1" s="1"/>
  <c r="E21" i="1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Q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W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2" i="2" l="1"/>
  <c r="CQ46" i="3"/>
  <c r="CW65" i="2"/>
  <c r="CW64" i="2"/>
  <c r="D20" i="1"/>
  <c r="AK13" i="2"/>
  <c r="CQ55" i="3"/>
  <c r="CQ28" i="3"/>
  <c r="CW55" i="2"/>
  <c r="CW53" i="2"/>
  <c r="CW51" i="2"/>
  <c r="CW50" i="2"/>
  <c r="AJ13" i="2"/>
  <c r="D19" i="1"/>
  <c r="F19" i="1" s="1"/>
  <c r="AI13" i="2"/>
  <c r="D18" i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W57" i="2"/>
  <c r="CR57" i="2"/>
  <c r="F20" i="1"/>
  <c r="CW17" i="2"/>
  <c r="CO77" i="3"/>
  <c r="CP14" i="3"/>
  <c r="CH77" i="3"/>
  <c r="CJ14" i="3"/>
  <c r="F11" i="1"/>
  <c r="CV43" i="2"/>
  <c r="CU79" i="2"/>
  <c r="CP43" i="2"/>
  <c r="CR43" i="2" s="1"/>
  <c r="CN79" i="2"/>
  <c r="CW14" i="2"/>
  <c r="CV79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4" i="3"/>
  <c r="CQ53" i="3"/>
  <c r="CQ52" i="3"/>
  <c r="CQ48" i="3"/>
  <c r="CQ44" i="3"/>
  <c r="CQ43" i="3"/>
  <c r="CQ41" i="3"/>
  <c r="CQ40" i="3"/>
  <c r="CQ37" i="3"/>
  <c r="CQ36" i="3"/>
  <c r="CQ35" i="3"/>
  <c r="CQ34" i="3"/>
  <c r="CQ33" i="3"/>
  <c r="CQ29" i="3"/>
  <c r="CQ26" i="3"/>
  <c r="CQ25" i="3"/>
  <c r="CQ24" i="3"/>
  <c r="CQ23" i="3"/>
  <c r="CQ22" i="3"/>
  <c r="CW56" i="2"/>
  <c r="CW54" i="2"/>
  <c r="CQ21" i="3"/>
  <c r="CQ20" i="3"/>
  <c r="CQ19" i="3"/>
  <c r="CQ18" i="3"/>
  <c r="CQ17" i="3"/>
  <c r="CQ16" i="3"/>
  <c r="CQ15" i="3"/>
  <c r="CW61" i="2"/>
  <c r="CW49" i="2"/>
  <c r="CW48" i="2"/>
  <c r="CW47" i="2"/>
  <c r="CW46" i="2"/>
  <c r="CW45" i="2"/>
  <c r="CW44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51" i="3"/>
  <c r="CQ50" i="3"/>
  <c r="CQ49" i="3"/>
  <c r="CQ47" i="3"/>
  <c r="CQ45" i="3"/>
  <c r="CQ42" i="3"/>
  <c r="CQ39" i="3"/>
  <c r="CQ38" i="3"/>
  <c r="CQ31" i="3"/>
  <c r="CQ30" i="3"/>
  <c r="CQ27" i="3"/>
  <c r="CW77" i="2"/>
  <c r="CW75" i="2"/>
  <c r="CW68" i="2"/>
  <c r="CW67" i="2"/>
  <c r="CW66" i="2"/>
  <c r="CW63" i="2"/>
  <c r="CW60" i="2"/>
  <c r="CW59" i="2"/>
  <c r="CW58" i="2"/>
  <c r="F18" i="1" l="1"/>
  <c r="F21" i="1" s="1"/>
  <c r="G21" i="1" s="1"/>
  <c r="D21" i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I3" i="3"/>
  <c r="B6" i="1"/>
  <c r="D3" i="2"/>
  <c r="CN13" i="2"/>
  <c r="CW43" i="2"/>
  <c r="CW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<sst xmlns="http://schemas.openxmlformats.org/spreadsheetml/2006/main" count="580" uniqueCount="171">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</sst>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467</v>
      </c>
      <c r="C6" s="89"/>
      <c r="E6" s="88">
        <f>'Programa CAJAS REPORTE DIARIO'!CH77</f>
        <v>1305</v>
      </c>
      <c r="F6" s="89"/>
      <c r="H6" s="101">
        <f>B6+E6</f>
        <v>1772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467</v>
      </c>
      <c r="F3" s="79" t="s">
        <v>1</v>
      </c>
      <c r="I3" s="80">
        <f>'Programa CAJAS REPORTE DIARIO'!CH77+CN79</f>
        <v>1772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2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63</v>
      </c>
      <c r="CP29" s="27">
        <f t="shared" si="4"/>
        <v>63</v>
      </c>
      <c r="CQ29" s="22">
        <v>0</v>
      </c>
      <c r="CR29" s="22">
        <f t="shared" si="5"/>
        <v>63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467</v>
      </c>
      <c r="CP79" s="25">
        <f>+SUM(CP14:CP78)</f>
        <v>467</v>
      </c>
      <c r="CQ79" s="25">
        <f>+SUM(CQ14:CQ78)</f>
        <v>0</v>
      </c>
      <c r="CR79" s="25">
        <f>+SUM(CR14:CR78)</f>
        <v>467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2026-10-28T01:44:23Z</dcterms:modified>
</cp:coreProperties>
</file>