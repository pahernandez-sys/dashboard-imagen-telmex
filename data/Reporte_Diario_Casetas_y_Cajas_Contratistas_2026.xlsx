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A0C9326-6C12-4C8B-85CA-97FFBD8BF75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W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52" i="2" l="1"/>
  <c r="CQ56" i="3"/>
  <c r="CQ55" i="3"/>
  <c r="CW55" i="2"/>
  <c r="CW24" i="2"/>
  <c r="CW22" i="2"/>
  <c r="CW20" i="2"/>
  <c r="CW17" i="2"/>
  <c r="CW16" i="2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E16" i="1"/>
  <c r="F16" i="1" s="1"/>
  <c r="AM13" i="3"/>
  <c r="E15" i="1"/>
  <c r="F15" i="1" s="1"/>
  <c r="AL13" i="3"/>
  <c r="AK13" i="3"/>
  <c r="E14" i="1"/>
  <c r="F14" i="1" s="1"/>
  <c r="E13" i="1"/>
  <c r="F13" i="1" s="1"/>
  <c r="AJ13" i="3"/>
  <c r="AI13" i="3"/>
  <c r="E12" i="1"/>
  <c r="F12" i="1" s="1"/>
  <c r="E11" i="1"/>
  <c r="F11" i="1" s="1"/>
  <c r="AH13" i="3"/>
  <c r="CP32" i="3"/>
  <c r="CO77" i="3"/>
  <c r="CH77" i="3"/>
  <c r="CJ19" i="3"/>
  <c r="CJ77" i="3" s="1"/>
  <c r="CQ14" i="3"/>
  <c r="CL14" i="3"/>
  <c r="D23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59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3" i="2"/>
  <c r="CW50" i="2"/>
  <c r="CW49" i="2"/>
  <c r="CW48" i="2"/>
  <c r="CW47" i="2"/>
  <c r="CW46" i="2"/>
  <c r="CW45" i="2"/>
  <c r="CW43" i="2"/>
  <c r="CQ57" i="3"/>
  <c r="CQ54" i="3"/>
  <c r="CQ60" i="3"/>
  <c r="CQ58" i="3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3" i="2"/>
  <c r="CW21" i="2"/>
  <c r="CW18" i="2"/>
  <c r="CW15" i="2"/>
  <c r="CW29" i="2"/>
  <c r="CW28" i="2"/>
  <c r="CW27" i="2"/>
  <c r="CW26" i="2"/>
  <c r="CW25" i="2"/>
  <c r="CW19" i="2"/>
  <c r="CQ32" i="3" l="1"/>
  <c r="CP77" i="3"/>
  <c r="E6" i="1"/>
  <c r="D3" i="3"/>
  <c r="CH13" i="3"/>
  <c r="I3" i="2"/>
  <c r="CQ19" i="3"/>
  <c r="CQ77" i="3" s="1"/>
  <c r="CL19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V79" i="2"/>
  <c r="CW14" i="2"/>
  <c r="CW79" i="2" s="1"/>
  <c r="B6" i="1"/>
  <c r="I3" i="3"/>
  <c r="D3" i="2"/>
  <c r="CN13" i="2"/>
  <c r="CP79" i="2"/>
  <c r="CR14" i="2"/>
  <c r="CR79" i="2" s="1"/>
  <c r="E23" i="1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<sst xmlns="http://schemas.openxmlformats.org/spreadsheetml/2006/main" count="586" uniqueCount="174">
  <si>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</si>
  <si>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</si>
  <si>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</si>
  <si>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</si>
  <si>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</si>
  <si>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</si>
  <si>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</si>
  <si>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</si>
  <si>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</si>
  <si>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</si>
  <si>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</si>
  <si>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</si>
  <si>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</si>
  <si>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</si>
  <si>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</si>
  <si>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</si>
  <si>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</si>
  <si>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</si>
  <si>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</si>
  <si>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</si>
  <si>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</si>
  <si>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</si>
  <si>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</si>
  <si>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</si>
  <si>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</si>
  <si>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</si>
  <si>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</si>
  <si>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</si>
  <si>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</si>
  <si>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</si>
  <si>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</si>
  <si>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</si>
  <si>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</si>
  <si>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</si>
  <si>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</si>
  <si>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</si>
  <si>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</si>
  <si>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</si>
  <si>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</si>
  <si>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</si>
  <si>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</si>
  <si>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</si>
  <si>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</si>
  <si>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</si>
  <si>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</si>
  <si>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</si>
  <si>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</si>
  <si>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</si>
  <si>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</si>
  <si>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</si>
  <si>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</si>
  <si>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</si>
  <si>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</si>
  <si>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</si>
  <si>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</si>
  <si>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</si>
  <si>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</si>
  <si>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</si>
  <si>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</si>
  <si>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</si>
  <si>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</si>
  <si>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</si>
  <si>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</si>
  <si>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</si>
  <si>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</si>
  <si>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</si>
  <si>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</si>
  <si>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</si>
  <si>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</si>
  <si>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</si>
  <si>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</si>
  <si>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</si>
  <si>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</si>
  <si>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</si>
  <si>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</si>
  <si>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</si>
  <si>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</si>
  <si>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</si>
  <si>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</si>
  <si>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</si>
  <si>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</si>
  <si>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</si>
  <si>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</si>
  <si>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</si>
  <si>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</si>
  <si>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</si>
  <si>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</si>
  <si>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</si>
  <si>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</si>
  <si>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</si>
  <si>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</si>
  <si>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</si>
  <si>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</si>
  <si>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</si>
  <si>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</si>
  <si>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</si>
  <si>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</si>
  <si>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</si>
  <si>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</si>
  <si>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</si>
  <si>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</si>
  <si>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</si>
  <si>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</si>
  <si>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</si>
  <si>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</si>
  <si>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</si>
  <si>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</si>
  <si>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</si>
  <si>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</si>
  <si>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</si>
  <si>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</si>
  <si>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</si>
  <si>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17:33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</si>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</sst>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1650</v>
      </c>
      <c r="F6" s="89"/>
      <c r="H6" s="101">
        <f>B6+E6</f>
        <v>2282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325</v>
      </c>
      <c r="F22" s="72">
        <f t="shared" si="0"/>
        <v>475</v>
      </c>
      <c r="G22" s="72">
        <f t="shared" si="1"/>
        <v>2282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1650</v>
      </c>
      <c r="F23" s="75">
        <f>SUM(F11:F22)</f>
        <v>2282</v>
      </c>
      <c r="G23" s="75">
        <f>F23</f>
        <v>2282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2282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1650</v>
      </c>
      <c r="F3" s="79" t="s">
        <v>1</v>
      </c>
      <c r="I3" s="80">
        <f>'Programa CASETAS REPORTE DIARIO'!CN79+CH77</f>
        <v>2282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325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51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263</v>
      </c>
      <c r="CJ28" s="27">
        <f t="shared" si="3"/>
        <v>263</v>
      </c>
      <c r="CK28" s="22">
        <v>0</v>
      </c>
      <c r="CL28" s="22">
        <f t="shared" si="4"/>
        <v>263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8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90</v>
      </c>
      <c r="CJ35" s="27">
        <f t="shared" si="3"/>
        <v>90</v>
      </c>
      <c r="CK35" s="22">
        <v>0</v>
      </c>
      <c r="CL35" s="22">
        <f t="shared" si="4"/>
        <v>90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9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5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18</v>
      </c>
      <c r="CJ41" s="27">
        <f t="shared" si="3"/>
        <v>18</v>
      </c>
      <c r="CK41" s="22">
        <v>0</v>
      </c>
      <c r="CL41" s="22">
        <f t="shared" si="4"/>
        <v>18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-5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325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1650</v>
      </c>
      <c r="CJ77" s="25">
        <f>+SUM(CJ14:CJ76)</f>
        <v>1650</v>
      </c>
      <c r="CK77" s="25">
        <f>+SUM(CK14:CK76)</f>
        <v>0</v>
      </c>
      <c r="CL77" s="25">
        <f>+SUM(CL14:CL76)</f>
        <v>1650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6857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2026-10-28T23:33:59Z</dcterms:modified>
</cp:coreProperties>
</file>