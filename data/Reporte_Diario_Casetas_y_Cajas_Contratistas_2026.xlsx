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F709C626-9A12-488A-9D96-87F020E3FDD4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DC19" i="3"/>
  <c r="CO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Q55" i="3" l="1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CQ74" i="3"/>
  <c r="CQ71" i="3"/>
  <c r="CQ66" i="3"/>
  <c r="CQ63" i="3"/>
  <c r="CQ53" i="3"/>
  <c r="CQ52" i="3"/>
  <c r="CQ49" i="3"/>
  <c r="CQ48" i="3"/>
  <c r="CQ46" i="3"/>
  <c r="CQ45" i="3"/>
  <c r="CQ44" i="3"/>
  <c r="CQ41" i="3"/>
  <c r="CW17" i="2"/>
  <c r="CW57" i="2"/>
  <c r="CR57" i="2"/>
  <c r="E20" i="1"/>
  <c r="F20" i="1" s="1"/>
  <c r="AQ13" i="3"/>
  <c r="AP13" i="3"/>
  <c r="E19" i="1"/>
  <c r="F19" i="1" s="1"/>
  <c r="AO13" i="3"/>
  <c r="E18" i="1"/>
  <c r="F18" i="1" s="1"/>
  <c r="AN13" i="3"/>
  <c r="E17" i="1"/>
  <c r="F17" i="1" s="1"/>
  <c r="AM13" i="3"/>
  <c r="E16" i="1"/>
  <c r="F16" i="1" s="1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AH13" i="3"/>
  <c r="E11" i="1"/>
  <c r="CH77" i="3"/>
  <c r="CJ20" i="3"/>
  <c r="CP19" i="3"/>
  <c r="CQ19" i="3" s="1"/>
  <c r="CO77" i="3"/>
  <c r="CQ14" i="3"/>
  <c r="CP77" i="3"/>
  <c r="CL14" i="3"/>
  <c r="CJ77" i="3"/>
  <c r="F11" i="1"/>
  <c r="D21" i="1"/>
  <c r="CP31" i="2"/>
  <c r="CP79" i="2" s="1"/>
  <c r="CN79" i="2"/>
  <c r="CV30" i="2"/>
  <c r="CU79" i="2"/>
  <c r="CW14" i="2"/>
  <c r="CR14" i="2"/>
  <c r="CQ51" i="3"/>
  <c r="CQ43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18" i="3"/>
  <c r="CQ17" i="3"/>
  <c r="CQ16" i="3"/>
  <c r="CQ15" i="3"/>
  <c r="CQ60" i="3"/>
  <c r="CQ56" i="3"/>
  <c r="CQ54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6" i="2"/>
  <c r="CW55" i="2"/>
  <c r="CW54" i="2"/>
  <c r="CW53" i="2"/>
  <c r="CW52" i="2"/>
  <c r="CW51" i="2"/>
  <c r="CW50" i="2"/>
  <c r="CW49" i="2"/>
  <c r="CW48" i="2"/>
  <c r="CQ69" i="3"/>
  <c r="CQ61" i="3"/>
  <c r="CQ59" i="3"/>
  <c r="CQ50" i="3"/>
  <c r="CQ47" i="3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29" i="2"/>
  <c r="CW28" i="2"/>
  <c r="CW27" i="2"/>
  <c r="CW26" i="2"/>
  <c r="CW25" i="2"/>
  <c r="CW24" i="2"/>
  <c r="CW23" i="2"/>
  <c r="CW22" i="2"/>
  <c r="CQ70" i="3"/>
  <c r="CQ67" i="3"/>
  <c r="CQ64" i="3"/>
  <c r="CQ62" i="3"/>
  <c r="CW21" i="2"/>
  <c r="CW20" i="2"/>
  <c r="CW19" i="2"/>
  <c r="CW18" i="2"/>
  <c r="CW16" i="2"/>
  <c r="CW15" i="2"/>
  <c r="CQ76" i="3"/>
  <c r="CQ75" i="3"/>
  <c r="CQ73" i="3"/>
  <c r="CQ72" i="3"/>
  <c r="CQ68" i="3"/>
  <c r="CQ65" i="3"/>
  <c r="CQ58" i="3"/>
  <c r="CQ57" i="3"/>
  <c r="CQ42" i="3"/>
  <c r="CW30" i="2" l="1"/>
  <c r="CW79" i="2" s="1"/>
  <c r="CV79" i="2"/>
  <c r="E6" i="1"/>
  <c r="D3" i="3"/>
  <c r="CH13" i="3"/>
  <c r="I3" i="2"/>
  <c r="CQ20" i="3"/>
  <c r="CQ77" i="3" s="1"/>
  <c r="CL20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CW31" i="2"/>
  <c r="CR31" i="2"/>
  <c r="CR79" i="2" s="1"/>
  <c r="CN13" i="2"/>
  <c r="D3" i="2"/>
  <c r="B6" i="1"/>
  <c r="I3" i="3"/>
  <c r="E21" i="1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<sst xmlns="http://schemas.openxmlformats.org/spreadsheetml/2006/main" count="580" uniqueCount="171">
  <si>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</si>
  <si>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</si>
  <si>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</si>
  <si>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</si>
  <si>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</si>
  <si>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</si>
  <si>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</si>
  <si>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</si>
  <si>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</si>
  <si>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</si>
  <si>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</si>
  <si>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</si>
  <si>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</si>
  <si>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</si>
  <si>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</si>
  <si>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</si>
  <si>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</si>
  <si>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</si>
  <si>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</si>
  <si>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</si>
  <si>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</si>
  <si>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</si>
  <si>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</si>
  <si>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</si>
  <si>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</si>
  <si>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</si>
  <si>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</si>
  <si>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</si>
  <si>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</si>
  <si>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</si>
  <si>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</si>
  <si>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</si>
  <si>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</si>
  <si>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</si>
  <si>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</si>
  <si>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</si>
  <si>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</si>
  <si>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</si>
  <si>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</si>
  <si>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</si>
  <si>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</si>
  <si>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</si>
  <si>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</si>
  <si>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</si>
  <si>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</si>
  <si>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</si>
  <si>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</si>
  <si>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</si>
  <si>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</si>
  <si>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</si>
  <si>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</si>
  <si>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</si>
  <si>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</si>
  <si>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</si>
  <si>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</si>
  <si>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</si>
  <si>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</si>
  <si>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</si>
  <si>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</si>
  <si>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</si>
  <si>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</si>
  <si>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</si>
  <si>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</si>
  <si>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</si>
  <si>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</si>
  <si>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</si>
  <si>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</si>
  <si>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</si>
  <si>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</si>
  <si>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</si>
  <si>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</si>
  <si>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</si>
  <si>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</si>
  <si>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</si>
  <si>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</si>
  <si>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</si>
  <si>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</si>
  <si>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</si>
  <si>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</si>
  <si>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</si>
  <si>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</si>
  <si>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</si>
  <si>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</si>
  <si>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</si>
  <si>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</si>
  <si>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</si>
  <si>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</si>
  <si>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</si>
  <si>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</si>
  <si>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</si>
  <si>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</si>
  <si>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</si>
  <si>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</si>
  <si>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</si>
  <si>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</si>
  <si>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</si>
  <si>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</si>
  <si>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</si>
  <si>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</si>
  <si>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</si>
  <si>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</si>
  <si>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</si>
  <si>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</si>
  <si>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</si>
  <si>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</si>
  <si>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</si>
  <si>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</si>
  <si>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</si>
  <si>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</si>
  <si>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</si>
  <si>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</si>
  <si>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</si>
  <si>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19:02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</si>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</sst>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460</v>
      </c>
      <c r="C6" s="89"/>
      <c r="E6" s="88">
        <f>'Programa CAJAS REPORTE DIARIO'!CH77</f>
        <v>1304</v>
      </c>
      <c r="F6" s="89"/>
      <c r="H6" s="101">
        <f>B6+E6</f>
        <v>1764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460</v>
      </c>
      <c r="F3" s="79" t="s">
        <v>1</v>
      </c>
      <c r="I3" s="80">
        <f>'Programa CAJAS REPORTE DIARIO'!CH77+CN79</f>
        <v>1764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116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460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61</v>
      </c>
      <c r="CP29" s="27">
        <f t="shared" si="4"/>
        <v>61</v>
      </c>
      <c r="CQ29" s="22">
        <v>0</v>
      </c>
      <c r="CR29" s="22">
        <f t="shared" si="5"/>
        <v>61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345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26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35</v>
      </c>
      <c r="CP42" s="27">
        <f t="shared" si="4"/>
        <v>35</v>
      </c>
      <c r="CQ42" s="22">
        <v>0</v>
      </c>
      <c r="CR42" s="22">
        <f t="shared" si="5"/>
        <v>35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-35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0</v>
      </c>
      <c r="CP75" s="27">
        <f t="shared" si="11"/>
        <v>0</v>
      </c>
      <c r="CQ75" s="22">
        <v>0</v>
      </c>
      <c r="CR75" s="22">
        <f t="shared" si="12"/>
        <v>0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0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116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460</v>
      </c>
      <c r="CP79" s="25">
        <f>+SUM(CP14:CP78)</f>
        <v>460</v>
      </c>
      <c r="CQ79" s="25">
        <f>+SUM(CQ14:CQ78)</f>
        <v>0</v>
      </c>
      <c r="CR79" s="25">
        <f>+SUM(CR14:CR78)</f>
        <v>460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2672.5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1304</v>
      </c>
      <c r="F3" s="79" t="s">
        <v>1</v>
      </c>
      <c r="I3" s="80">
        <f>'Programa CASETAS REPORTE DIARIO'!CN79+CH77</f>
        <v>1764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445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1304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72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76</v>
      </c>
      <c r="CJ35" s="27">
        <f t="shared" si="3"/>
        <v>76</v>
      </c>
      <c r="CK35" s="22">
        <v>0</v>
      </c>
      <c r="CL35" s="22">
        <f t="shared" si="4"/>
        <v>76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23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48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155</v>
      </c>
      <c r="CJ46" s="27">
        <f t="shared" ref="CJ46:CJ76" si="11">CH46</f>
        <v>155</v>
      </c>
      <c r="CK46" s="22">
        <v>0</v>
      </c>
      <c r="CL46" s="22">
        <f t="shared" ref="CL46:CL77" si="12">CJ46+CK46</f>
        <v>155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176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4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6</v>
      </c>
      <c r="CJ75" s="27">
        <f t="shared" si="11"/>
        <v>6</v>
      </c>
      <c r="CK75" s="22">
        <v>0</v>
      </c>
      <c r="CL75" s="22">
        <f t="shared" si="12"/>
        <v>6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-5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445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1304</v>
      </c>
      <c r="CJ77" s="25">
        <f>+SUM(CJ14:CJ76)</f>
        <v>1304</v>
      </c>
      <c r="CK77" s="25">
        <f>+SUM(CK14:CK76)</f>
        <v>0</v>
      </c>
      <c r="CL77" s="25">
        <f>+SUM(CL14:CL76)</f>
        <v>1304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5683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2026-10-28T01:02:09Z</dcterms:modified>
</cp:coreProperties>
</file>