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A554B01-637A-4BA4-8E33-A9183FE49F6C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CA13" i="3" s="1"/>
  <c r="BZ77" i="3"/>
  <c r="BY77" i="3"/>
  <c r="BX77" i="3"/>
  <c r="BW77" i="3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BZ13" i="3"/>
  <c r="BY13" i="3"/>
  <c r="BX13" i="3"/>
  <c r="BW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W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W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W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CQ62" i="3" l="1"/>
  <c r="CQ35" i="3"/>
  <c r="CQ74" i="3"/>
  <c r="CQ72" i="3"/>
  <c r="CQ70" i="3"/>
  <c r="CQ67" i="3"/>
  <c r="CQ64" i="3"/>
  <c r="CQ63" i="3"/>
  <c r="CQ53" i="3"/>
  <c r="CQ49" i="3"/>
  <c r="CN85" i="2"/>
  <c r="CW71" i="2"/>
  <c r="CW70" i="2"/>
  <c r="CW68" i="2"/>
  <c r="CW65" i="2"/>
  <c r="CW64" i="2"/>
  <c r="CW60" i="2"/>
  <c r="CW58" i="2"/>
  <c r="CW57" i="2"/>
  <c r="CW50" i="2"/>
  <c r="CW49" i="2"/>
  <c r="CW26" i="2"/>
  <c r="CW22" i="2"/>
  <c r="CW47" i="2"/>
  <c r="CW46" i="2"/>
  <c r="CW45" i="2"/>
  <c r="CW43" i="2"/>
  <c r="CW39" i="2"/>
  <c r="CW38" i="2"/>
  <c r="CW35" i="2"/>
  <c r="CW24" i="2"/>
  <c r="AS13" i="3"/>
  <c r="E22" i="1"/>
  <c r="AR13" i="3"/>
  <c r="E21" i="1"/>
  <c r="AQ13" i="3"/>
  <c r="E20" i="1"/>
  <c r="AP13" i="3"/>
  <c r="E19" i="1"/>
  <c r="AO13" i="3"/>
  <c r="E18" i="1"/>
  <c r="AN13" i="3"/>
  <c r="E17" i="1"/>
  <c r="AM13" i="3"/>
  <c r="E16" i="1"/>
  <c r="AL13" i="3"/>
  <c r="E15" i="1"/>
  <c r="AK13" i="3"/>
  <c r="E14" i="1"/>
  <c r="AJ13" i="3"/>
  <c r="E13" i="1"/>
  <c r="AI13" i="3"/>
  <c r="E12" i="1"/>
  <c r="AH13" i="3"/>
  <c r="E11" i="1"/>
  <c r="AM13" i="2"/>
  <c r="D22" i="1"/>
  <c r="D21" i="1"/>
  <c r="AL13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AB13" i="2"/>
  <c r="D11" i="1"/>
  <c r="CP14" i="3"/>
  <c r="CO77" i="3"/>
  <c r="CH77" i="3"/>
  <c r="CJ14" i="3"/>
  <c r="CV30" i="2"/>
  <c r="CW30" i="2" s="1"/>
  <c r="CU79" i="2"/>
  <c r="CP17" i="2"/>
  <c r="CN79" i="2"/>
  <c r="CW14" i="2"/>
  <c r="CV79" i="2"/>
  <c r="CR14" i="2"/>
  <c r="CP79" i="2"/>
  <c r="CQ60" i="3"/>
  <c r="CQ55" i="3"/>
  <c r="CQ52" i="3"/>
  <c r="CQ51" i="3"/>
  <c r="CQ50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66" i="3"/>
  <c r="CQ65" i="3"/>
  <c r="CQ61" i="3"/>
  <c r="CQ59" i="3"/>
  <c r="CQ57" i="3"/>
  <c r="CQ54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36" i="2"/>
  <c r="CQ76" i="3"/>
  <c r="CQ69" i="3"/>
  <c r="CW78" i="2"/>
  <c r="CW76" i="2"/>
  <c r="CW75" i="2"/>
  <c r="CW69" i="2"/>
  <c r="CW66" i="2"/>
  <c r="CW63" i="2"/>
  <c r="CW62" i="2"/>
  <c r="CW59" i="2"/>
  <c r="CW56" i="2"/>
  <c r="CW55" i="2"/>
  <c r="CW54" i="2"/>
  <c r="CW53" i="2"/>
  <c r="CQ58" i="3"/>
  <c r="CW77" i="2"/>
  <c r="CW73" i="2"/>
  <c r="CW72" i="2"/>
  <c r="CW67" i="2"/>
  <c r="CW52" i="2"/>
  <c r="CW51" i="2"/>
  <c r="CW44" i="2"/>
  <c r="CW42" i="2"/>
  <c r="CW41" i="2"/>
  <c r="CW40" i="2"/>
  <c r="CW37" i="2"/>
  <c r="CQ68" i="3"/>
  <c r="CQ56" i="3"/>
  <c r="CW23" i="2"/>
  <c r="CW34" i="2"/>
  <c r="CW33" i="2"/>
  <c r="CW32" i="2"/>
  <c r="CW31" i="2"/>
  <c r="CW29" i="2"/>
  <c r="CW28" i="2"/>
  <c r="CW27" i="2"/>
  <c r="CW25" i="2"/>
  <c r="CQ73" i="3"/>
  <c r="CQ71" i="3"/>
  <c r="CW21" i="2"/>
  <c r="CW20" i="2"/>
  <c r="CW19" i="2"/>
  <c r="CW18" i="2"/>
  <c r="CW16" i="2"/>
  <c r="CW15" i="2"/>
  <c r="CQ75" i="3"/>
  <c r="D23" i="1" l="1"/>
  <c r="F22" i="1"/>
  <c r="F21" i="1"/>
  <c r="F20" i="1"/>
  <c r="F19" i="1"/>
  <c r="F18" i="1"/>
  <c r="F17" i="1"/>
  <c r="F16" i="1"/>
  <c r="F15" i="1"/>
  <c r="F14" i="1"/>
  <c r="F13" i="1"/>
  <c r="F12" i="1"/>
  <c r="E23" i="1"/>
  <c r="F11" i="1"/>
  <c r="CQ14" i="3"/>
  <c r="CQ77" i="3" s="1"/>
  <c r="CP77" i="3"/>
  <c r="I3" i="2"/>
  <c r="D3" i="3"/>
  <c r="CH13" i="3"/>
  <c r="E6" i="1"/>
  <c r="CL14" i="3"/>
  <c r="CL77" i="3" s="1"/>
  <c r="CJ77" i="3"/>
  <c r="F23" i="1"/>
  <c r="G23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CW17" i="2"/>
  <c r="CW79" i="2" s="1"/>
  <c r="CR17" i="2"/>
  <c r="CR79" i="2" s="1"/>
  <c r="B6" i="1"/>
  <c r="D3" i="2"/>
  <c r="CN13" i="2"/>
  <c r="I3" i="3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<sst xmlns="http://schemas.openxmlformats.org/spreadsheetml/2006/main" count="586" uniqueCount="174">
  <si>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</si>
  <si>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</si>
  <si>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</si>
  <si>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</si>
  <si>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</si>
  <si>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</si>
  <si>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</si>
  <si>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</si>
  <si>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</si>
  <si>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</si>
  <si>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</si>
  <si>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</si>
  <si>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</si>
  <si>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</si>
  <si>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</si>
  <si>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</si>
  <si>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</si>
  <si>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</si>
  <si>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</si>
  <si>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</si>
  <si>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</si>
  <si>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</si>
  <si>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</si>
  <si>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</si>
  <si>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</si>
  <si>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</si>
  <si>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</si>
  <si>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</si>
  <si>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</si>
  <si>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</si>
  <si>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</si>
  <si>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</si>
  <si>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</si>
  <si>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</si>
  <si>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</si>
  <si>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</si>
  <si>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</si>
  <si>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</si>
  <si>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</si>
  <si>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</si>
  <si>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</si>
  <si>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</si>
  <si>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</si>
  <si>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</si>
  <si>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</si>
  <si>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</si>
  <si>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</si>
  <si>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</si>
  <si>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</si>
  <si>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</si>
  <si>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</si>
  <si>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</si>
  <si>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</si>
  <si>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</si>
  <si>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</si>
  <si>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</si>
  <si>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</si>
  <si>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</si>
  <si>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</si>
  <si>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</si>
  <si>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</si>
  <si>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</si>
  <si>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</si>
  <si>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</si>
  <si>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</si>
  <si>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</si>
  <si>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</si>
  <si>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</si>
  <si>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</si>
  <si>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</si>
  <si>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</si>
  <si>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</si>
  <si>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</si>
  <si>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</si>
  <si>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</si>
  <si>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</si>
  <si>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</si>
  <si>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</si>
  <si>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</si>
  <si>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</si>
  <si>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</si>
  <si>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</si>
  <si>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</si>
  <si>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</si>
  <si>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</si>
  <si>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</si>
  <si>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</si>
  <si>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</si>
  <si>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</si>
  <si>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</si>
  <si>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</si>
  <si>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</si>
  <si>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</si>
  <si>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</si>
  <si>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</si>
  <si>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</si>
  <si>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</si>
  <si>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</si>
  <si>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</si>
  <si>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</si>
  <si>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</si>
  <si>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</si>
  <si>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</si>
  <si>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</si>
  <si>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</si>
  <si>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</si>
  <si>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</si>
  <si>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</si>
  <si>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</si>
  <si>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</si>
  <si>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</si>
  <si>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</si>
  <si>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16:38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</si>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</sst>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626</v>
      </c>
      <c r="C6" s="89"/>
      <c r="E6" s="88">
        <f>'Programa CAJAS REPORTE DIARIO'!CH77</f>
        <v>1602</v>
      </c>
      <c r="F6" s="89"/>
      <c r="H6" s="101">
        <f>B6+E6</f>
        <v>2228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144</v>
      </c>
      <c r="E22" s="72">
        <f>'Programa CAJAS REPORTE DIARIO'!AS77</f>
        <v>277</v>
      </c>
      <c r="F22" s="72">
        <f t="shared" si="0"/>
        <v>421</v>
      </c>
      <c r="G22" s="72">
        <f t="shared" si="1"/>
        <v>2228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626</v>
      </c>
      <c r="E23" s="75">
        <f>SUM(E11:E22)</f>
        <v>1602</v>
      </c>
      <c r="F23" s="75">
        <f>SUM(F11:F22)</f>
        <v>2228</v>
      </c>
      <c r="G23" s="75">
        <f>F23</f>
        <v>2228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626</v>
      </c>
      <c r="F3" s="79" t="s">
        <v>1</v>
      </c>
      <c r="I3" s="80">
        <f>'Programa CAJAS REPORTE DIARIO'!CH77+CN79</f>
        <v>2228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144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626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30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180</v>
      </c>
      <c r="CP27" s="27">
        <f t="shared" si="4"/>
        <v>180</v>
      </c>
      <c r="CQ27" s="22">
        <v>0</v>
      </c>
      <c r="CR27" s="22">
        <f t="shared" si="5"/>
        <v>180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144</v>
      </c>
      <c r="CP28" s="27">
        <f t="shared" si="4"/>
        <v>144</v>
      </c>
      <c r="CQ28" s="22">
        <v>0</v>
      </c>
      <c r="CR28" s="22">
        <f t="shared" si="5"/>
        <v>144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63</v>
      </c>
      <c r="CP42" s="27">
        <f t="shared" si="4"/>
        <v>63</v>
      </c>
      <c r="CQ42" s="22">
        <v>0</v>
      </c>
      <c r="CR42" s="22">
        <f t="shared" si="5"/>
        <v>63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144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626</v>
      </c>
      <c r="CP79" s="25">
        <f>+SUM(CP14:CP78)</f>
        <v>626</v>
      </c>
      <c r="CQ79" s="25">
        <f>+SUM(CQ14:CQ78)</f>
        <v>0</v>
      </c>
      <c r="CR79" s="25">
        <f>+SUM(CR14:CR78)</f>
        <v>626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6456.5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1602</v>
      </c>
      <c r="F3" s="79" t="s">
        <v>1</v>
      </c>
      <c r="I3" s="80">
        <f>'Programa CASETAS REPORTE DIARIO'!CN79+CH77</f>
        <v>2228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277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1602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32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364</v>
      </c>
      <c r="CJ27" s="27">
        <f t="shared" si="3"/>
        <v>364</v>
      </c>
      <c r="CK27" s="22">
        <v>0</v>
      </c>
      <c r="CL27" s="22">
        <f t="shared" si="4"/>
        <v>364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48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260</v>
      </c>
      <c r="CJ28" s="27">
        <f t="shared" si="3"/>
        <v>260</v>
      </c>
      <c r="CK28" s="22">
        <v>0</v>
      </c>
      <c r="CL28" s="22">
        <f t="shared" si="4"/>
        <v>260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6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88</v>
      </c>
      <c r="CJ35" s="27">
        <f t="shared" si="3"/>
        <v>88</v>
      </c>
      <c r="CK35" s="22">
        <v>0</v>
      </c>
      <c r="CL35" s="22">
        <f t="shared" si="4"/>
        <v>88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14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44</v>
      </c>
      <c r="CJ36" s="27">
        <f t="shared" si="3"/>
        <v>44</v>
      </c>
      <c r="CK36" s="22">
        <v>0</v>
      </c>
      <c r="CL36" s="22">
        <f t="shared" si="4"/>
        <v>44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-44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13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73</v>
      </c>
      <c r="CJ43" s="27">
        <f t="shared" si="3"/>
        <v>73</v>
      </c>
      <c r="CK43" s="22">
        <v>0</v>
      </c>
      <c r="CL43" s="22">
        <f t="shared" si="4"/>
        <v>73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49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218</v>
      </c>
      <c r="CJ46" s="27">
        <f t="shared" ref="CJ46:CJ76" si="11">CH46</f>
        <v>218</v>
      </c>
      <c r="CK46" s="22">
        <v>0</v>
      </c>
      <c r="CL46" s="22">
        <f t="shared" ref="CL46:CL77" si="12">CJ46+CK46</f>
        <v>218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1286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15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46</v>
      </c>
      <c r="CJ61" s="27">
        <f t="shared" si="11"/>
        <v>46</v>
      </c>
      <c r="CK61" s="22">
        <v>0</v>
      </c>
      <c r="CL61" s="22">
        <f t="shared" si="12"/>
        <v>46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27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72</v>
      </c>
      <c r="CJ70" s="27">
        <f t="shared" si="11"/>
        <v>72</v>
      </c>
      <c r="CK70" s="22">
        <v>0</v>
      </c>
      <c r="CL70" s="22">
        <f t="shared" si="12"/>
        <v>72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-58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277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1602</v>
      </c>
      <c r="CJ77" s="25">
        <f>+SUM(CJ14:CJ76)</f>
        <v>1602</v>
      </c>
      <c r="CK77" s="25">
        <f>+SUM(CK14:CK76)</f>
        <v>0</v>
      </c>
      <c r="CL77" s="25">
        <f>+SUM(CL14:CL76)</f>
        <v>1602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6905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2026-10-28T22:38:47Z</dcterms:modified>
</cp:coreProperties>
</file>