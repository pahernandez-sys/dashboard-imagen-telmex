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05069F6-C6FE-424B-B993-6EAC3A4E284F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Q72" i="3" l="1"/>
  <c r="CQ34" i="3"/>
  <c r="CQ26" i="3"/>
  <c r="CQ18" i="3"/>
  <c r="CW55" i="2"/>
  <c r="CQ35" i="3"/>
  <c r="CQ53" i="3"/>
  <c r="CQ46" i="3"/>
  <c r="CQ44" i="3"/>
  <c r="CW21" i="2"/>
  <c r="CQ42" i="3"/>
  <c r="CQ41" i="3"/>
  <c r="CQ40" i="3"/>
  <c r="CQ39" i="3"/>
  <c r="E23" i="1"/>
  <c r="AT13" i="3"/>
  <c r="AS13" i="3"/>
  <c r="E22" i="1"/>
  <c r="AR13" i="3"/>
  <c r="E21" i="1"/>
  <c r="AQ13" i="3"/>
  <c r="E20" i="1"/>
  <c r="E19" i="1"/>
  <c r="AP13" i="3"/>
  <c r="AO13" i="3"/>
  <c r="E18" i="1"/>
  <c r="AN13" i="3"/>
  <c r="E17" i="1"/>
  <c r="E16" i="1"/>
  <c r="AM13" i="3"/>
  <c r="E15" i="1"/>
  <c r="AL13" i="3"/>
  <c r="E14" i="1"/>
  <c r="AK13" i="3"/>
  <c r="E13" i="1"/>
  <c r="AJ13" i="3"/>
  <c r="AI13" i="3"/>
  <c r="E12" i="1"/>
  <c r="E11" i="1"/>
  <c r="E24" i="1" s="1"/>
  <c r="AH13" i="3"/>
  <c r="CP32" i="3"/>
  <c r="CQ32" i="3" s="1"/>
  <c r="CO77" i="3"/>
  <c r="CJ19" i="3"/>
  <c r="CH77" i="3"/>
  <c r="CQ14" i="3"/>
  <c r="CP77" i="3"/>
  <c r="CL14" i="3"/>
  <c r="CJ77" i="3"/>
  <c r="D23" i="1"/>
  <c r="F23" i="1" s="1"/>
  <c r="AN13" i="2"/>
  <c r="AM13" i="2"/>
  <c r="D22" i="1"/>
  <c r="D21" i="1"/>
  <c r="AL13" i="2"/>
  <c r="D20" i="1"/>
  <c r="AK13" i="2"/>
  <c r="AJ13" i="2"/>
  <c r="D19" i="1"/>
  <c r="D18" i="1"/>
  <c r="AI13" i="2"/>
  <c r="D17" i="1"/>
  <c r="AH13" i="2"/>
  <c r="AG13" i="2"/>
  <c r="D16" i="1"/>
  <c r="AF13" i="2"/>
  <c r="D15" i="1"/>
  <c r="AE13" i="2"/>
  <c r="D14" i="1"/>
  <c r="D13" i="1"/>
  <c r="AD13" i="2"/>
  <c r="AC13" i="2"/>
  <c r="D12" i="1"/>
  <c r="AB13" i="2"/>
  <c r="D11" i="1"/>
  <c r="CV14" i="2"/>
  <c r="CU79" i="2"/>
  <c r="CP14" i="2"/>
  <c r="CN79" i="2"/>
  <c r="CQ76" i="3"/>
  <c r="CQ73" i="3"/>
  <c r="CQ54" i="3"/>
  <c r="CQ49" i="3"/>
  <c r="CQ48" i="3"/>
  <c r="CQ47" i="3"/>
  <c r="CQ43" i="3"/>
  <c r="CQ38" i="3"/>
  <c r="CQ36" i="3"/>
  <c r="CQ33" i="3"/>
  <c r="CQ28" i="3"/>
  <c r="CQ27" i="3"/>
  <c r="CQ23" i="3"/>
  <c r="CQ20" i="3"/>
  <c r="CQ15" i="3"/>
  <c r="CQ75" i="3"/>
  <c r="CQ74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2" i="3"/>
  <c r="CQ51" i="3"/>
  <c r="CQ50" i="3"/>
  <c r="CQ45" i="3"/>
  <c r="CQ37" i="3"/>
  <c r="CQ30" i="3"/>
  <c r="CQ25" i="3"/>
  <c r="CQ22" i="3"/>
  <c r="CQ17" i="3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0" i="2"/>
  <c r="CW19" i="2"/>
  <c r="CW18" i="2"/>
  <c r="CW17" i="2"/>
  <c r="CW16" i="2"/>
  <c r="CW15" i="2"/>
  <c r="CQ31" i="3"/>
  <c r="CQ29" i="3"/>
  <c r="CQ24" i="3"/>
  <c r="CQ21" i="3"/>
  <c r="CQ16" i="3"/>
  <c r="CQ19" i="3" l="1"/>
  <c r="CQ77" i="3" s="1"/>
  <c r="CL19" i="3"/>
  <c r="CL77" i="3" s="1"/>
  <c r="I3" i="2"/>
  <c r="D3" i="3"/>
  <c r="E6" i="1"/>
  <c r="CH13" i="3"/>
  <c r="F11" i="1"/>
  <c r="D24" i="1"/>
  <c r="CW14" i="2"/>
  <c r="CW79" i="2" s="1"/>
  <c r="CV79" i="2"/>
  <c r="CR14" i="2"/>
  <c r="CR79" i="2" s="1"/>
  <c r="CP79" i="2"/>
  <c r="I3" i="3"/>
  <c r="B6" i="1"/>
  <c r="D3" i="2"/>
  <c r="CN13" i="2"/>
  <c r="F22" i="1"/>
  <c r="F21" i="1"/>
  <c r="F20" i="1"/>
  <c r="F19" i="1"/>
  <c r="F18" i="1"/>
  <c r="F14" i="1"/>
  <c r="F17" i="1"/>
  <c r="F16" i="1"/>
  <c r="F15" i="1"/>
  <c r="F13" i="1"/>
  <c r="F12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<sst xmlns="http://schemas.openxmlformats.org/spreadsheetml/2006/main" count="589" uniqueCount="175">
  <si>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</si>
  <si>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</si>
  <si>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</si>
  <si>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</si>
  <si>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</si>
  <si>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</si>
  <si>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</si>
  <si>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</si>
  <si>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</si>
  <si>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</si>
  <si>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</si>
  <si>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</si>
  <si>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</si>
  <si>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</si>
  <si>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</si>
  <si>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</si>
  <si>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</si>
  <si>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</si>
  <si>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</si>
  <si>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</si>
  <si>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</si>
  <si>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</si>
  <si>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</si>
  <si>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</si>
  <si>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</si>
  <si>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</si>
  <si>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</si>
  <si>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</si>
  <si>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</si>
  <si>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</si>
  <si>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</si>
  <si>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</si>
  <si>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</si>
  <si>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</si>
  <si>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</si>
  <si>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</si>
  <si>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</si>
  <si>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</si>
  <si>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</si>
  <si>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</si>
  <si>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</si>
  <si>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</si>
  <si>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</si>
  <si>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</si>
  <si>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</si>
  <si>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</si>
  <si>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</si>
  <si>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</si>
  <si>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</si>
  <si>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</si>
  <si>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</si>
  <si>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</si>
  <si>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</si>
  <si>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</si>
  <si>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</si>
  <si>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</si>
  <si>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</si>
  <si>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</si>
  <si>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</si>
  <si>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</si>
  <si>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</si>
  <si>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</si>
  <si>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</si>
  <si>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</si>
  <si>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</si>
  <si>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</si>
  <si>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</si>
  <si>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</si>
  <si>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</si>
  <si>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</si>
  <si>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</si>
  <si>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</si>
  <si>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</si>
  <si>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</si>
  <si>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</si>
  <si>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</si>
  <si>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</si>
  <si>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</si>
  <si>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</si>
  <si>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</si>
  <si>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</si>
  <si>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</si>
  <si>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</si>
  <si>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</si>
  <si>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</si>
  <si>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</si>
  <si>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</si>
  <si>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</si>
  <si>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</si>
  <si>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</si>
  <si>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</si>
  <si>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</si>
  <si>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</si>
  <si>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</si>
  <si>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</si>
  <si>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</si>
  <si>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</si>
  <si>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</si>
  <si>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</si>
  <si>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</si>
  <si>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</si>
  <si>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</si>
  <si>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</si>
  <si>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</si>
  <si>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</si>
  <si>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</si>
  <si>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</si>
  <si>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</si>
  <si>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</si>
  <si>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</si>
  <si>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</si>
  <si>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</si>
  <si>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21:27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</si>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</sst>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908</v>
      </c>
      <c r="C6" s="89"/>
      <c r="E6" s="88">
        <f>'Programa CAJAS REPORTE DIARIO'!CH77</f>
        <v>2472</v>
      </c>
      <c r="F6" s="89"/>
      <c r="H6" s="101">
        <f>B6+E6</f>
        <v>3380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743</v>
      </c>
      <c r="F23" s="70">
        <f t="shared" si="0"/>
        <v>992</v>
      </c>
      <c r="G23" s="70">
        <f t="shared" si="1"/>
        <v>3380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908</v>
      </c>
      <c r="E24" s="75">
        <f>SUM(E11:E23)</f>
        <v>2472</v>
      </c>
      <c r="F24" s="75">
        <f>SUM(F11:F23)</f>
        <v>3380</v>
      </c>
      <c r="G24" s="75">
        <f>F24</f>
        <v>3380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3380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2472</v>
      </c>
      <c r="F3" s="79" t="s">
        <v>1</v>
      </c>
      <c r="I3" s="80">
        <f>'Programa CASETAS REPORTE DIARIO'!CN79+CH77</f>
        <v>3380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743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2472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12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56</v>
      </c>
      <c r="CJ41" s="27">
        <f t="shared" si="3"/>
        <v>56</v>
      </c>
      <c r="CK41" s="22">
        <v>0</v>
      </c>
      <c r="CL41" s="22">
        <f t="shared" si="4"/>
        <v>56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424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173</v>
      </c>
      <c r="CJ53" s="27">
        <f t="shared" si="11"/>
        <v>173</v>
      </c>
      <c r="CK53" s="22">
        <v>0</v>
      </c>
      <c r="CL53" s="22">
        <f t="shared" si="12"/>
        <v>173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-105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743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2472</v>
      </c>
      <c r="CJ77" s="25">
        <f>+SUM(CJ14:CJ76)</f>
        <v>2472</v>
      </c>
      <c r="CK77" s="25">
        <f>+SUM(CK14:CK76)</f>
        <v>0</v>
      </c>
      <c r="CL77" s="25">
        <f>+SUM(CL14:CL76)</f>
        <v>2472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8760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2026-10-30T03:27:34Z</dcterms:modified>
</cp:coreProperties>
</file>