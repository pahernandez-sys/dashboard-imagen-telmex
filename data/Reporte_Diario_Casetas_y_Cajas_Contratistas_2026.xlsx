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CEE6DFD6-ADCF-4337-BECB-44A7EEBCA437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19" i="3" l="1"/>
  <c r="CQ17" i="3"/>
  <c r="CQ16" i="3"/>
  <c r="CQ15" i="3"/>
  <c r="E24" i="1"/>
  <c r="F24" i="1" s="1"/>
  <c r="AU13" i="3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5" i="1" s="1"/>
  <c r="AH13" i="3"/>
  <c r="CO77" i="3"/>
  <c r="CP14" i="3"/>
  <c r="CH77" i="3"/>
  <c r="CJ14" i="3"/>
  <c r="F11" i="1"/>
  <c r="D25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6" i="3"/>
  <c r="CQ25" i="3"/>
  <c r="CQ24" i="3"/>
  <c r="CQ23" i="3"/>
  <c r="CQ2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27" i="3"/>
  <c r="CQ22" i="3"/>
  <c r="CQ21" i="3"/>
  <c r="CQ18" i="3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CP79" i="2"/>
  <c r="CR14" i="2"/>
  <c r="CR79" i="2" s="1"/>
  <c r="B6" i="1"/>
  <c r="CN13" i="2"/>
  <c r="D3" i="2"/>
  <c r="I3" i="3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<sst xmlns="http://schemas.openxmlformats.org/spreadsheetml/2006/main" count="592" uniqueCount="176">
  <si>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</si>
  <si>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</si>
  <si>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</si>
  <si>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</si>
  <si>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</si>
  <si>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</si>
  <si>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</si>
  <si>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</si>
  <si>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</si>
  <si>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</si>
  <si>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</si>
  <si>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</si>
  <si>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</si>
  <si>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</si>
  <si>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</si>
  <si>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</si>
  <si>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</si>
  <si>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</si>
  <si>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</si>
  <si>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</si>
  <si>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</si>
  <si>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</si>
  <si>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</si>
  <si>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</si>
  <si>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</si>
  <si>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</si>
  <si>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</si>
  <si>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</si>
  <si>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</si>
  <si>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</si>
  <si>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</si>
  <si>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</si>
  <si>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</si>
  <si>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</si>
  <si>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</si>
  <si>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</si>
  <si>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</si>
  <si>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</si>
  <si>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</si>
  <si>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</si>
  <si>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</si>
  <si>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</si>
  <si>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</si>
  <si>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</si>
  <si>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</si>
  <si>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</si>
  <si>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</si>
  <si>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</si>
  <si>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</si>
  <si>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</si>
  <si>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</si>
  <si>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</si>
  <si>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</si>
  <si>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</si>
  <si>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</si>
  <si>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</si>
  <si>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</si>
  <si>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</si>
  <si>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</si>
  <si>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</si>
  <si>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</si>
  <si>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</si>
  <si>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</si>
  <si>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</si>
  <si>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</si>
  <si>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</si>
  <si>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</si>
  <si>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</si>
  <si>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</si>
  <si>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</si>
  <si>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</si>
  <si>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</si>
  <si>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</si>
  <si>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</si>
  <si>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</si>
  <si>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</si>
  <si>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</si>
  <si>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</si>
  <si>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</si>
  <si>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</si>
  <si>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</si>
  <si>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</si>
  <si>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</si>
  <si>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</si>
  <si>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</si>
  <si>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</si>
  <si>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</si>
  <si>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</si>
  <si>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</si>
  <si>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</si>
  <si>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</si>
  <si>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</si>
  <si>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</si>
  <si>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</si>
  <si>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</si>
  <si>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</si>
  <si>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</si>
  <si>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</si>
  <si>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</si>
  <si>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</si>
  <si>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</si>
  <si>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</si>
  <si>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</si>
  <si>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</si>
  <si>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</si>
  <si>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</si>
  <si>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</si>
  <si>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</si>
  <si>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</si>
  <si>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</si>
  <si>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</si>
  <si>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</si>
  <si>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13:12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</si>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</sst>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992</v>
      </c>
      <c r="C6" s="89"/>
      <c r="E6" s="88">
        <f>'Programa CAJAS REPORTE DIARIO'!CH77</f>
        <v>2852</v>
      </c>
      <c r="F6" s="89"/>
      <c r="H6" s="101">
        <f>B6+E6</f>
        <v>3844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84</v>
      </c>
      <c r="E24" s="72">
        <f>'Programa CAJAS REPORTE DIARIO'!AU77</f>
        <v>377</v>
      </c>
      <c r="F24" s="72">
        <f t="shared" si="0"/>
        <v>461</v>
      </c>
      <c r="G24" s="72">
        <f t="shared" si="1"/>
        <v>3844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992</v>
      </c>
      <c r="E25" s="75">
        <f>SUM(E11:E24)</f>
        <v>2852</v>
      </c>
      <c r="F25" s="75">
        <f>SUM(F11:F24)</f>
        <v>3844</v>
      </c>
      <c r="G25" s="75">
        <f>F25</f>
        <v>3844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992</v>
      </c>
      <c r="F3" s="79" t="s">
        <v>1</v>
      </c>
      <c r="I3" s="80">
        <f>'Programa CAJAS REPORTE DIARIO'!CH77+CN79</f>
        <v>3844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84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992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10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210</v>
      </c>
      <c r="CP27" s="27">
        <f t="shared" si="4"/>
        <v>210</v>
      </c>
      <c r="CQ27" s="22">
        <v>0</v>
      </c>
      <c r="CR27" s="22">
        <f t="shared" si="5"/>
        <v>210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10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123</v>
      </c>
      <c r="CP29" s="27">
        <f t="shared" si="4"/>
        <v>123</v>
      </c>
      <c r="CQ29" s="22">
        <v>0</v>
      </c>
      <c r="CR29" s="22">
        <f t="shared" si="5"/>
        <v>123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23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156</v>
      </c>
      <c r="CP42" s="27">
        <f t="shared" si="4"/>
        <v>156</v>
      </c>
      <c r="CQ42" s="22">
        <v>0</v>
      </c>
      <c r="CR42" s="22">
        <f t="shared" si="5"/>
        <v>156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-156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34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96</v>
      </c>
      <c r="CP56" s="27">
        <f t="shared" si="11"/>
        <v>96</v>
      </c>
      <c r="CQ56" s="22">
        <v>0</v>
      </c>
      <c r="CR56" s="22">
        <f t="shared" si="12"/>
        <v>96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-96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84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992</v>
      </c>
      <c r="CP79" s="25">
        <f>+SUM(CP14:CP78)</f>
        <v>992</v>
      </c>
      <c r="CQ79" s="25">
        <f>+SUM(CQ14:CQ78)</f>
        <v>0</v>
      </c>
      <c r="CR79" s="25">
        <f>+SUM(CR14:CR78)</f>
        <v>992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6274.5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2852</v>
      </c>
      <c r="F3" s="79" t="s">
        <v>1</v>
      </c>
      <c r="I3" s="80">
        <f>'Programa CASETAS REPORTE DIARIO'!CN79+CH77</f>
        <v>3844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377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2852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25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462</v>
      </c>
      <c r="CJ27" s="27">
        <f t="shared" si="3"/>
        <v>462</v>
      </c>
      <c r="CK27" s="22">
        <v>0</v>
      </c>
      <c r="CL27" s="22">
        <f t="shared" si="4"/>
        <v>462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324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15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342</v>
      </c>
      <c r="CJ28" s="27">
        <f t="shared" si="3"/>
        <v>342</v>
      </c>
      <c r="CK28" s="22">
        <v>0</v>
      </c>
      <c r="CL28" s="22">
        <f t="shared" si="4"/>
        <v>342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-162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18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123</v>
      </c>
      <c r="CJ29" s="27">
        <f t="shared" si="3"/>
        <v>123</v>
      </c>
      <c r="CK29" s="22">
        <v>0</v>
      </c>
      <c r="CL29" s="22">
        <f t="shared" si="4"/>
        <v>123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1213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5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55</v>
      </c>
      <c r="CJ36" s="27">
        <f t="shared" si="3"/>
        <v>55</v>
      </c>
      <c r="CK36" s="22">
        <v>0</v>
      </c>
      <c r="CL36" s="22">
        <f t="shared" si="4"/>
        <v>55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-55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149</v>
      </c>
      <c r="CJ37" s="27">
        <f t="shared" si="3"/>
        <v>149</v>
      </c>
      <c r="CK37" s="22">
        <v>0</v>
      </c>
      <c r="CL37" s="22">
        <f t="shared" si="4"/>
        <v>149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20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79</v>
      </c>
      <c r="CJ41" s="27">
        <f t="shared" si="3"/>
        <v>79</v>
      </c>
      <c r="CK41" s="22">
        <v>0</v>
      </c>
      <c r="CL41" s="22">
        <f t="shared" si="4"/>
        <v>79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501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47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223</v>
      </c>
      <c r="CJ43" s="27">
        <f t="shared" si="3"/>
        <v>223</v>
      </c>
      <c r="CK43" s="22">
        <v>0</v>
      </c>
      <c r="CL43" s="22">
        <f t="shared" si="4"/>
        <v>223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-203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5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336</v>
      </c>
      <c r="CJ46" s="27">
        <f t="shared" ref="CJ46:CJ76" si="11">CH46</f>
        <v>336</v>
      </c>
      <c r="CK46" s="22">
        <v>0</v>
      </c>
      <c r="CL46" s="22">
        <f t="shared" ref="CL46:CL77" si="12">CJ46+CK46</f>
        <v>336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1192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153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326</v>
      </c>
      <c r="CJ53" s="27">
        <f t="shared" si="11"/>
        <v>326</v>
      </c>
      <c r="CK53" s="22">
        <v>0</v>
      </c>
      <c r="CL53" s="22">
        <f t="shared" si="12"/>
        <v>326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-258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9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92</v>
      </c>
      <c r="CJ55" s="27">
        <f t="shared" si="11"/>
        <v>92</v>
      </c>
      <c r="CK55" s="22">
        <v>0</v>
      </c>
      <c r="CL55" s="22">
        <f t="shared" si="12"/>
        <v>92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377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2852</v>
      </c>
      <c r="CJ77" s="25">
        <f>+SUM(CJ14:CJ76)</f>
        <v>2852</v>
      </c>
      <c r="CK77" s="25">
        <f>+SUM(CK14:CK76)</f>
        <v>0</v>
      </c>
      <c r="CL77" s="25">
        <f>+SUM(CL14:CL76)</f>
        <v>2852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8542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2026-10-30T19:12:24Z</dcterms:modified>
</cp:coreProperties>
</file>