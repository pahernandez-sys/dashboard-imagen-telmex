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024B49F-FD66-4A42-9151-CEFFFF3C5BD7}" xr6:coauthVersionLast="47" xr6:coauthVersionMax="47" xr10:uidLastSave="{00000000-0000-0000-0000-000000000000}"/>
  <bookViews>
    <workbookView xWindow="780" yWindow="78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4" i="3" l="1"/>
  <c r="CQ73" i="3"/>
  <c r="CQ67" i="3"/>
  <c r="CQ66" i="3"/>
  <c r="CQ65" i="3"/>
  <c r="CQ64" i="3"/>
  <c r="CQ62" i="3"/>
  <c r="CW25" i="2"/>
  <c r="CW19" i="2"/>
  <c r="CW56" i="2"/>
  <c r="CW48" i="2"/>
  <c r="CW44" i="2"/>
  <c r="CW43" i="2"/>
  <c r="CW41" i="2"/>
  <c r="CW33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D23" i="1"/>
  <c r="AN13" i="2"/>
  <c r="D22" i="1"/>
  <c r="AM13" i="2"/>
  <c r="CO77" i="3"/>
  <c r="CP14" i="3"/>
  <c r="CH77" i="3"/>
  <c r="CJ14" i="3"/>
  <c r="F11" i="1"/>
  <c r="D24" i="1"/>
  <c r="CV14" i="2"/>
  <c r="CU79" i="2"/>
  <c r="CN79" i="2"/>
  <c r="CP14" i="2"/>
  <c r="CQ63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5" i="3"/>
  <c r="F23" i="1"/>
  <c r="F22" i="1"/>
  <c r="F21" i="1"/>
  <c r="F20" i="1"/>
  <c r="F19" i="1"/>
  <c r="F18" i="1"/>
  <c r="F17" i="1"/>
  <c r="F16" i="1"/>
  <c r="F15" i="1"/>
  <c r="F14" i="1"/>
  <c r="F13" i="1"/>
  <c r="F12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5" i="2"/>
  <c r="CW54" i="2"/>
  <c r="CW53" i="2"/>
  <c r="CW52" i="2"/>
  <c r="CW51" i="2"/>
  <c r="CW50" i="2"/>
  <c r="CW49" i="2"/>
  <c r="CW47" i="2"/>
  <c r="CW46" i="2"/>
  <c r="CW45" i="2"/>
  <c r="CW42" i="2"/>
  <c r="CW40" i="2"/>
  <c r="CW39" i="2"/>
  <c r="CW38" i="2"/>
  <c r="CW37" i="2"/>
  <c r="CW36" i="2"/>
  <c r="CW35" i="2"/>
  <c r="CW34" i="2"/>
  <c r="CW31" i="2"/>
  <c r="CW30" i="2"/>
  <c r="CW29" i="2"/>
  <c r="CW27" i="2"/>
  <c r="CW26" i="2"/>
  <c r="CW24" i="2"/>
  <c r="CW20" i="2"/>
  <c r="CQ76" i="3"/>
  <c r="CQ71" i="3"/>
  <c r="CQ70" i="3"/>
  <c r="CQ69" i="3"/>
  <c r="CQ68" i="3"/>
  <c r="CW28" i="2"/>
  <c r="CW23" i="2"/>
  <c r="CW22" i="2"/>
  <c r="CW21" i="2"/>
  <c r="CW18" i="2"/>
  <c r="CW16" i="2"/>
  <c r="CQ72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<sst xmlns="http://schemas.openxmlformats.org/spreadsheetml/2006/main" count="589" uniqueCount="175">
  <si>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</si>
  <si>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</si>
  <si>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</si>
  <si>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</si>
  <si>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</si>
  <si>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</si>
  <si>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</si>
  <si>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</si>
  <si>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</si>
  <si>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</si>
  <si>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</si>
  <si>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</si>
  <si>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</si>
  <si>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</si>
  <si>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</si>
  <si>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</si>
  <si>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</si>
  <si>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</si>
  <si>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</si>
  <si>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</si>
  <si>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</si>
  <si>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</si>
  <si>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</si>
  <si>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</si>
  <si>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</si>
  <si>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</si>
  <si>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</si>
  <si>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</si>
  <si>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</si>
  <si>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</si>
  <si>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</si>
  <si>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</si>
  <si>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</si>
  <si>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</si>
  <si>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</si>
  <si>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</si>
  <si>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</si>
  <si>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</si>
  <si>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</si>
  <si>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</si>
  <si>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</si>
  <si>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</si>
  <si>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</si>
  <si>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</si>
  <si>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</si>
  <si>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</si>
  <si>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</si>
  <si>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</si>
  <si>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</si>
  <si>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</si>
  <si>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</si>
  <si>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</si>
  <si>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</si>
  <si>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</si>
  <si>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</si>
  <si>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</si>
  <si>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</si>
  <si>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</si>
  <si>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</si>
  <si>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</si>
  <si>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</si>
  <si>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</si>
  <si>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</si>
  <si>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</si>
  <si>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</si>
  <si>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</si>
  <si>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</si>
  <si>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</si>
  <si>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</si>
  <si>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</si>
  <si>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</si>
  <si>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</si>
  <si>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</si>
  <si>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</si>
  <si>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</si>
  <si>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</si>
  <si>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</si>
  <si>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</si>
  <si>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</si>
  <si>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</si>
  <si>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</si>
  <si>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</si>
  <si>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</si>
  <si>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</si>
  <si>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</si>
  <si>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</si>
  <si>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</si>
  <si>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</si>
  <si>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</si>
  <si>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</si>
  <si>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</si>
  <si>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</si>
  <si>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</si>
  <si>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</si>
  <si>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</si>
  <si>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</si>
  <si>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</si>
  <si>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</si>
  <si>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</si>
  <si>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</si>
  <si>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</si>
  <si>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</si>
  <si>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</si>
  <si>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</si>
  <si>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</si>
  <si>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</si>
  <si>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</si>
  <si>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</si>
  <si>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</si>
  <si>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</si>
  <si>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</si>
  <si>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</si>
  <si>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21:40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</si>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</sst>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908</v>
      </c>
      <c r="C6" s="89"/>
      <c r="E6" s="88">
        <f>'Programa CAJAS REPORTE DIARIO'!CH77</f>
        <v>2473</v>
      </c>
      <c r="F6" s="89"/>
      <c r="H6" s="101">
        <f>B6+E6</f>
        <v>3381</v>
      </c>
      <c r="I6" s="97"/>
      <c r="J6" s="97"/>
    </row>
    <row r="7" spans="2:10" ht="15.95" customHeight="1" x14ac:dyDescent="0.2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.100000000000001" customHeight="1" x14ac:dyDescent="0.2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.100000000000001" customHeight="1" x14ac:dyDescent="0.2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.100000000000001" customHeight="1" x14ac:dyDescent="0.2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744</v>
      </c>
      <c r="F23" s="70">
        <f t="shared" si="0"/>
        <v>993</v>
      </c>
      <c r="G23" s="70">
        <f t="shared" si="1"/>
        <v>3381</v>
      </c>
      <c r="H23" s="69" t="s">
        <v>149</v>
      </c>
    </row>
    <row r="24" spans="2:8" ht="24" customHeight="1" x14ac:dyDescent="0.25">
      <c r="B24" s="73" t="s">
        <v>150</v>
      </c>
      <c r="C24" s="74"/>
      <c r="D24" s="75">
        <f>SUM(D11:D23)</f>
        <v>908</v>
      </c>
      <c r="E24" s="75">
        <f>SUM(E11:E23)</f>
        <v>2473</v>
      </c>
      <c r="F24" s="75">
        <f>SUM(F11:F23)</f>
        <v>3381</v>
      </c>
      <c r="G24" s="75">
        <f>F24</f>
        <v>3381</v>
      </c>
      <c r="H24" s="76" t="s">
        <v>151</v>
      </c>
    </row>
    <row r="26" spans="2:8" x14ac:dyDescent="0.2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2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2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2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3381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157</v>
      </c>
      <c r="D3" s="78">
        <f>+CH77</f>
        <v>2473</v>
      </c>
      <c r="F3" s="79" t="s">
        <v>1</v>
      </c>
      <c r="I3" s="80">
        <f>'Programa CASETAS REPORTE DIARIO'!CN79+CH77</f>
        <v>3381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57</v>
      </c>
      <c r="CJ41" s="27">
        <f t="shared" si="3"/>
        <v>57</v>
      </c>
      <c r="CK41" s="22">
        <v>0</v>
      </c>
      <c r="CL41" s="22">
        <f t="shared" si="4"/>
        <v>57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2473</v>
      </c>
      <c r="CJ77" s="25">
        <f>+SUM(CJ14:CJ76)</f>
        <v>2473</v>
      </c>
      <c r="CK77" s="25">
        <f>+SUM(CK14:CK76)</f>
        <v>0</v>
      </c>
      <c r="CL77" s="25">
        <f>+SUM(CL14:CL76)</f>
        <v>2473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8759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2026-10-30T03:40:30Z</dcterms:modified>
</cp:coreProperties>
</file>