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7D99C7C5-1C76-46C1-8103-AD058A4B329C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 s="1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B13" i="2" s="1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D23" i="1" s="1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W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W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W72" i="2" s="1"/>
  <c r="CN72" i="2"/>
  <c r="CP72" i="2" s="1"/>
  <c r="CR72" i="2" s="1"/>
  <c r="DD71" i="2"/>
  <c r="CU71" i="2"/>
  <c r="CV71" i="2" s="1"/>
  <c r="CN71" i="2"/>
  <c r="CP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CQ34" i="3" l="1"/>
  <c r="CQ19" i="3"/>
  <c r="CW77" i="2"/>
  <c r="CW69" i="2"/>
  <c r="AT13" i="3"/>
  <c r="E23" i="1"/>
  <c r="F23" i="1" s="1"/>
  <c r="AS13" i="3"/>
  <c r="E22" i="1"/>
  <c r="E21" i="1"/>
  <c r="AR13" i="3"/>
  <c r="AQ13" i="3"/>
  <c r="E20" i="1"/>
  <c r="AP13" i="3"/>
  <c r="E19" i="1"/>
  <c r="AO13" i="3"/>
  <c r="E18" i="1"/>
  <c r="AN13" i="3"/>
  <c r="E17" i="1"/>
  <c r="AM13" i="3"/>
  <c r="E16" i="1"/>
  <c r="AL13" i="3"/>
  <c r="E15" i="1"/>
  <c r="AK13" i="3"/>
  <c r="E14" i="1"/>
  <c r="AJ13" i="3"/>
  <c r="E13" i="1"/>
  <c r="AI13" i="3"/>
  <c r="E12" i="1"/>
  <c r="AH13" i="3"/>
  <c r="E11" i="1"/>
  <c r="CW75" i="2"/>
  <c r="D22" i="1"/>
  <c r="AM13" i="2"/>
  <c r="D21" i="1"/>
  <c r="AL13" i="2"/>
  <c r="D20" i="1"/>
  <c r="AK13" i="2"/>
  <c r="D19" i="1"/>
  <c r="AJ13" i="2"/>
  <c r="D18" i="1"/>
  <c r="AI13" i="2"/>
  <c r="D17" i="1"/>
  <c r="AH13" i="2"/>
  <c r="D16" i="1"/>
  <c r="AG13" i="2"/>
  <c r="D15" i="1"/>
  <c r="AF13" i="2"/>
  <c r="D14" i="1"/>
  <c r="AE13" i="2"/>
  <c r="D13" i="1"/>
  <c r="AD13" i="2"/>
  <c r="D12" i="1"/>
  <c r="F12" i="1" s="1"/>
  <c r="AC13" i="2"/>
  <c r="D11" i="1"/>
  <c r="AB13" i="2"/>
  <c r="CW71" i="2"/>
  <c r="CR71" i="2"/>
  <c r="CP14" i="3"/>
  <c r="CO77" i="3"/>
  <c r="CH77" i="3"/>
  <c r="CJ14" i="3"/>
  <c r="D24" i="1"/>
  <c r="F11" i="1"/>
  <c r="CV14" i="2"/>
  <c r="CU79" i="2"/>
  <c r="CN79" i="2"/>
  <c r="CP14" i="2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1" i="3"/>
  <c r="CQ40" i="3"/>
  <c r="CQ38" i="3"/>
  <c r="CQ33" i="3"/>
  <c r="CQ29" i="3"/>
  <c r="CQ26" i="3"/>
  <c r="CQ24" i="3"/>
  <c r="CQ23" i="3"/>
  <c r="CQ22" i="3"/>
  <c r="CQ18" i="3"/>
  <c r="CQ17" i="3"/>
  <c r="CQ16" i="3"/>
  <c r="CQ15" i="3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8" i="2"/>
  <c r="CW17" i="2"/>
  <c r="CW16" i="2"/>
  <c r="CW15" i="2"/>
  <c r="CQ76" i="3"/>
  <c r="CQ75" i="3"/>
  <c r="CQ42" i="3"/>
  <c r="CQ39" i="3"/>
  <c r="CQ37" i="3"/>
  <c r="CQ36" i="3"/>
  <c r="CQ35" i="3"/>
  <c r="CQ32" i="3"/>
  <c r="CQ31" i="3"/>
  <c r="CQ30" i="3"/>
  <c r="CQ28" i="3"/>
  <c r="CQ27" i="3"/>
  <c r="CQ25" i="3"/>
  <c r="CQ21" i="3"/>
  <c r="CQ20" i="3"/>
  <c r="CW74" i="2"/>
  <c r="CW73" i="2"/>
  <c r="CW70" i="2"/>
  <c r="E24" i="1" l="1"/>
  <c r="F22" i="1"/>
  <c r="F21" i="1"/>
  <c r="F24" i="1" s="1"/>
  <c r="G24" i="1" s="1"/>
  <c r="F20" i="1"/>
  <c r="F19" i="1"/>
  <c r="F18" i="1"/>
  <c r="F17" i="1"/>
  <c r="F16" i="1"/>
  <c r="F15" i="1"/>
  <c r="F14" i="1"/>
  <c r="F13" i="1"/>
  <c r="CQ14" i="3"/>
  <c r="CQ77" i="3" s="1"/>
  <c r="CP77" i="3"/>
  <c r="E6" i="1"/>
  <c r="I3" i="2"/>
  <c r="D3" i="3"/>
  <c r="CH13" i="3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CW14" i="2"/>
  <c r="CW79" i="2" s="1"/>
  <c r="CV79" i="2"/>
  <c r="CN13" i="2"/>
  <c r="B6" i="1"/>
  <c r="D3" i="2"/>
  <c r="I3" i="3"/>
  <c r="CR14" i="2"/>
  <c r="CR79" i="2" s="1"/>
  <c r="CP79" i="2"/>
  <c r="H6" i="1" l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<sst xmlns="http://schemas.openxmlformats.org/spreadsheetml/2006/main" count="589" uniqueCount="175">
  <si>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</si>
  <si>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</si>
  <si>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</si>
  <si>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</si>
  <si>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</si>
  <si>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</si>
  <si>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</si>
  <si>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</si>
  <si>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</si>
  <si>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</si>
  <si>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</si>
  <si>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</si>
  <si>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</si>
  <si>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</si>
  <si>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</si>
  <si>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</si>
  <si>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</si>
  <si>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</si>
  <si>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</si>
  <si>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</si>
  <si>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</si>
  <si>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</si>
  <si>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</si>
  <si>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</si>
  <si>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</si>
  <si>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</si>
  <si>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</si>
  <si>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</si>
  <si>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</si>
  <si>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</si>
  <si>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</si>
  <si>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</si>
  <si>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</si>
  <si>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</si>
  <si>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</si>
  <si>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</si>
  <si>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</si>
  <si>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</si>
  <si>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</si>
  <si>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</si>
  <si>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</si>
  <si>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</si>
  <si>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</si>
  <si>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</si>
  <si>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</si>
  <si>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</si>
  <si>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</si>
  <si>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</si>
  <si>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</si>
  <si>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</si>
  <si>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</si>
  <si>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</si>
  <si>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</si>
  <si>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</si>
  <si>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</si>
  <si>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</si>
  <si>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</si>
  <si>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</si>
  <si>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</si>
  <si>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</si>
  <si>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</si>
  <si>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</si>
  <si>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</si>
  <si>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</si>
  <si>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</si>
  <si>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</si>
  <si>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</si>
  <si>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</si>
  <si>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</si>
  <si>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</si>
  <si>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</si>
  <si>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</si>
  <si>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</si>
  <si>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</si>
  <si>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</si>
  <si>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</si>
  <si>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</si>
  <si>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</si>
  <si>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</si>
  <si>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</si>
  <si>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</si>
  <si>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</si>
  <si>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</si>
  <si>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</si>
  <si>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</si>
  <si>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</si>
  <si>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</si>
  <si>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</si>
  <si>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</si>
  <si>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</si>
  <si>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</si>
  <si>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</si>
  <si>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</si>
  <si>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</si>
  <si>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</si>
  <si>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</si>
  <si>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</si>
  <si>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</si>
  <si>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</si>
  <si>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</si>
  <si>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</si>
  <si>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</si>
  <si>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</si>
  <si>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</si>
  <si>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</si>
  <si>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</si>
  <si>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</si>
  <si>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</si>
  <si>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</si>
  <si>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</si>
  <si>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</si>
  <si>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</si>
  <si>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10:01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</si>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</sst>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670</v>
      </c>
      <c r="C6" s="89"/>
      <c r="E6" s="88">
        <f>'Programa CAJAS REPORTE DIARIO'!CH77</f>
        <v>1831</v>
      </c>
      <c r="F6" s="89"/>
      <c r="H6" s="101">
        <f>B6+E6</f>
        <v>2501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11</v>
      </c>
      <c r="E23" s="70">
        <f>'Programa CAJAS REPORTE DIARIO'!AT77</f>
        <v>102</v>
      </c>
      <c r="F23" s="70">
        <f t="shared" si="0"/>
        <v>113</v>
      </c>
      <c r="G23" s="70">
        <f t="shared" si="1"/>
        <v>2501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670</v>
      </c>
      <c r="E24" s="75">
        <f>SUM(E11:E23)</f>
        <v>1831</v>
      </c>
      <c r="F24" s="75">
        <f>SUM(F11:F23)</f>
        <v>2501</v>
      </c>
      <c r="G24" s="75">
        <f>F24</f>
        <v>2501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670</v>
      </c>
      <c r="F3" s="79" t="s">
        <v>1</v>
      </c>
      <c r="I3" s="80">
        <f>'Programa CAJAS REPORTE DIARIO'!CH77+CN79</f>
        <v>2501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11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670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184</v>
      </c>
      <c r="CP27" s="27">
        <f t="shared" si="4"/>
        <v>184</v>
      </c>
      <c r="CQ27" s="22">
        <v>0</v>
      </c>
      <c r="CR27" s="22">
        <f t="shared" si="5"/>
        <v>184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186.5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6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151</v>
      </c>
      <c r="CP28" s="27">
        <f t="shared" si="4"/>
        <v>151</v>
      </c>
      <c r="CQ28" s="22">
        <v>0</v>
      </c>
      <c r="CR28" s="22">
        <f t="shared" si="5"/>
        <v>151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1226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88</v>
      </c>
      <c r="CP29" s="27">
        <f t="shared" si="4"/>
        <v>88</v>
      </c>
      <c r="CQ29" s="22">
        <v>0</v>
      </c>
      <c r="CR29" s="22">
        <f t="shared" si="5"/>
        <v>88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318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11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670</v>
      </c>
      <c r="CP79" s="25">
        <f>+SUM(CP14:CP78)</f>
        <v>670</v>
      </c>
      <c r="CQ79" s="25">
        <f>+SUM(CQ14:CQ78)</f>
        <v>0</v>
      </c>
      <c r="CR79" s="25">
        <f>+SUM(CR14:CR78)</f>
        <v>670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6412.5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1831</v>
      </c>
      <c r="F3" s="79" t="s">
        <v>1</v>
      </c>
      <c r="I3" s="80">
        <f>'Programa CASETAS REPORTE DIARIO'!CN79+CH77</f>
        <v>2501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102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1831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3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368</v>
      </c>
      <c r="CJ27" s="27">
        <f t="shared" si="3"/>
        <v>368</v>
      </c>
      <c r="CK27" s="22">
        <v>0</v>
      </c>
      <c r="CL27" s="22">
        <f t="shared" si="4"/>
        <v>368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418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5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285</v>
      </c>
      <c r="CJ28" s="27">
        <f t="shared" si="3"/>
        <v>285</v>
      </c>
      <c r="CK28" s="22">
        <v>0</v>
      </c>
      <c r="CL28" s="22">
        <f t="shared" si="4"/>
        <v>285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-107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34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127</v>
      </c>
      <c r="CJ35" s="27">
        <f t="shared" si="3"/>
        <v>127</v>
      </c>
      <c r="CK35" s="22">
        <v>0</v>
      </c>
      <c r="CL35" s="22">
        <f t="shared" si="4"/>
        <v>127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-28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5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48</v>
      </c>
      <c r="CJ37" s="27">
        <f t="shared" si="3"/>
        <v>48</v>
      </c>
      <c r="CK37" s="22">
        <v>0</v>
      </c>
      <c r="CL37" s="22">
        <f t="shared" si="4"/>
        <v>48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527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3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47</v>
      </c>
      <c r="CJ41" s="27">
        <f t="shared" si="3"/>
        <v>47</v>
      </c>
      <c r="CK41" s="22">
        <v>0</v>
      </c>
      <c r="CL41" s="22">
        <f t="shared" si="4"/>
        <v>47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-34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7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114</v>
      </c>
      <c r="CJ43" s="27">
        <f t="shared" si="3"/>
        <v>114</v>
      </c>
      <c r="CK43" s="22">
        <v>0</v>
      </c>
      <c r="CL43" s="22">
        <f t="shared" si="4"/>
        <v>114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-94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38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264</v>
      </c>
      <c r="CJ46" s="27">
        <f t="shared" ref="CJ46:CJ76" si="11">CH46</f>
        <v>264</v>
      </c>
      <c r="CK46" s="22">
        <v>0</v>
      </c>
      <c r="CL46" s="22">
        <f t="shared" ref="CL46:CL77" si="12">CJ46+CK46</f>
        <v>264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1240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3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50</v>
      </c>
      <c r="CJ61" s="27">
        <f t="shared" si="11"/>
        <v>50</v>
      </c>
      <c r="CK61" s="22">
        <v>0</v>
      </c>
      <c r="CL61" s="22">
        <f t="shared" si="12"/>
        <v>50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-18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4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51</v>
      </c>
      <c r="CJ64" s="27">
        <f t="shared" si="11"/>
        <v>51</v>
      </c>
      <c r="CK64" s="22">
        <v>0</v>
      </c>
      <c r="CL64" s="22">
        <f t="shared" si="12"/>
        <v>51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-31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404</v>
      </c>
      <c r="AT77" s="25">
        <f t="shared" si="17"/>
        <v>102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1831</v>
      </c>
      <c r="CJ77" s="25">
        <f>+SUM(CJ14:CJ76)</f>
        <v>1831</v>
      </c>
      <c r="CK77" s="25">
        <f>+SUM(CK14:CK76)</f>
        <v>0</v>
      </c>
      <c r="CL77" s="25">
        <f>+SUM(CL14:CL76)</f>
        <v>1831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6676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2026-10-29T16:01:17Z</dcterms:modified>
</cp:coreProperties>
</file>