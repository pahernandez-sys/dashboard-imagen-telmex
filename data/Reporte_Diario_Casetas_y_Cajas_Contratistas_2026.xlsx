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4AAFD33B-5D6D-4ABD-9EAF-B140F79D4FAA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E22" i="1" s="1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Q75" i="3" l="1"/>
  <c r="CQ74" i="3"/>
  <c r="CQ71" i="3"/>
  <c r="CQ66" i="3"/>
  <c r="CQ64" i="3"/>
  <c r="CQ17" i="3"/>
  <c r="CQ16" i="3"/>
  <c r="CW17" i="2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AH13" i="3"/>
  <c r="AM13" i="2"/>
  <c r="D22" i="1"/>
  <c r="F22" i="1" s="1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P14" i="3"/>
  <c r="CO77" i="3"/>
  <c r="CH77" i="3"/>
  <c r="CJ14" i="3"/>
  <c r="D23" i="1"/>
  <c r="F11" i="1"/>
  <c r="CV14" i="2"/>
  <c r="CU79" i="2"/>
  <c r="CP14" i="2"/>
  <c r="CN79" i="2"/>
  <c r="CQ65" i="3"/>
  <c r="CQ63" i="3"/>
  <c r="CQ15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2" i="3"/>
  <c r="CQ21" i="3"/>
  <c r="CQ20" i="3"/>
  <c r="CQ19" i="3"/>
  <c r="CQ18" i="3"/>
  <c r="CQ48" i="3"/>
  <c r="CQ47" i="3"/>
  <c r="CQ46" i="3"/>
  <c r="CQ45" i="3"/>
  <c r="CQ44" i="3"/>
  <c r="CQ43" i="3"/>
  <c r="CQ42" i="3"/>
  <c r="CQ41" i="3"/>
  <c r="CQ23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76" i="3"/>
  <c r="CQ72" i="3"/>
  <c r="CQ69" i="3"/>
  <c r="CQ62" i="3"/>
  <c r="CQ73" i="3"/>
  <c r="CQ70" i="3"/>
  <c r="CQ68" i="3"/>
  <c r="CQ67" i="3"/>
  <c r="E23" i="1" l="1"/>
  <c r="F21" i="1"/>
  <c r="F20" i="1"/>
  <c r="F19" i="1"/>
  <c r="F18" i="1"/>
  <c r="F17" i="1"/>
  <c r="F16" i="1"/>
  <c r="F15" i="1"/>
  <c r="F14" i="1"/>
  <c r="F13" i="1"/>
  <c r="F12" i="1"/>
  <c r="CQ14" i="3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4" i="2"/>
  <c r="CW79" i="2" s="1"/>
  <c r="CV79" i="2"/>
  <c r="CR14" i="2"/>
  <c r="CR79" i="2" s="1"/>
  <c r="CP79" i="2"/>
  <c r="B6" i="1"/>
  <c r="I3" i="3"/>
  <c r="CN13" i="2"/>
  <c r="D3" i="2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<sst xmlns="http://schemas.openxmlformats.org/spreadsheetml/2006/main" count="586" uniqueCount="174">
  <si>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</si>
  <si>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</si>
  <si>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</si>
  <si>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</si>
  <si>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</si>
  <si>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</si>
  <si>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</si>
  <si>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</si>
  <si>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</si>
  <si>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</si>
  <si>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</si>
  <si>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</si>
  <si>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</si>
  <si>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</si>
  <si>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</si>
  <si>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</si>
  <si>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</si>
  <si>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</si>
  <si>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</si>
  <si>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</si>
  <si>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</si>
  <si>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</si>
  <si>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</si>
  <si>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</si>
  <si>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</si>
  <si>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</si>
  <si>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</si>
  <si>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</si>
  <si>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</si>
  <si>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</si>
  <si>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</si>
  <si>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</si>
  <si>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</si>
  <si>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</si>
  <si>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</si>
  <si>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</si>
  <si>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</si>
  <si>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</si>
  <si>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</si>
  <si>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</si>
  <si>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</si>
  <si>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</si>
  <si>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</si>
  <si>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</si>
  <si>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</si>
  <si>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</si>
  <si>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</si>
  <si>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</si>
  <si>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</si>
  <si>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</si>
  <si>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</si>
  <si>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</si>
  <si>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</si>
  <si>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</si>
  <si>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</si>
  <si>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</si>
  <si>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</si>
  <si>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</si>
  <si>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</si>
  <si>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</si>
  <si>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</si>
  <si>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</si>
  <si>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</si>
  <si>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</si>
  <si>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</si>
  <si>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</si>
  <si>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</si>
  <si>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</si>
  <si>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</si>
  <si>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</si>
  <si>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</si>
  <si>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</si>
  <si>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</si>
  <si>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</si>
  <si>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</si>
  <si>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</si>
  <si>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</si>
  <si>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</si>
  <si>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</si>
  <si>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</si>
  <si>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</si>
  <si>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</si>
  <si>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</si>
  <si>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</si>
  <si>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</si>
  <si>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</si>
  <si>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</si>
  <si>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</si>
  <si>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</si>
  <si>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</si>
  <si>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</si>
  <si>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</si>
  <si>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</si>
  <si>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</si>
  <si>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</si>
  <si>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</si>
  <si>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</si>
  <si>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</si>
  <si>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</si>
  <si>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</si>
  <si>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</si>
  <si>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</si>
  <si>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</si>
  <si>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</si>
  <si>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</si>
  <si>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</si>
  <si>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</si>
  <si>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</si>
  <si>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</si>
  <si>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</si>
  <si>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</si>
  <si>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</si>
  <si>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20:20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</si>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</sst>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656</v>
      </c>
      <c r="C6" s="89"/>
      <c r="E6" s="88">
        <f>'Programa CAJAS REPORTE DIARIO'!CH77</f>
        <v>1701</v>
      </c>
      <c r="F6" s="89"/>
      <c r="H6" s="101">
        <f>B6+E6</f>
        <v>2357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174</v>
      </c>
      <c r="E22" s="72">
        <f>'Programa CAJAS REPORTE DIARIO'!AS77</f>
        <v>376</v>
      </c>
      <c r="F22" s="72">
        <f t="shared" si="0"/>
        <v>550</v>
      </c>
      <c r="G22" s="72">
        <f t="shared" si="1"/>
        <v>2357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656</v>
      </c>
      <c r="E23" s="75">
        <f>SUM(E11:E22)</f>
        <v>1701</v>
      </c>
      <c r="F23" s="75">
        <f>SUM(F11:F22)</f>
        <v>2357</v>
      </c>
      <c r="G23" s="75">
        <f>F23</f>
        <v>2357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656</v>
      </c>
      <c r="F3" s="79" t="s">
        <v>1</v>
      </c>
      <c r="I3" s="80">
        <f>'Programa CAJAS REPORTE DIARIO'!CH77+CN79</f>
        <v>2357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174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183</v>
      </c>
      <c r="CP27" s="27">
        <f t="shared" si="4"/>
        <v>183</v>
      </c>
      <c r="CQ27" s="22">
        <v>0</v>
      </c>
      <c r="CR27" s="22">
        <f t="shared" si="5"/>
        <v>183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4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18</v>
      </c>
      <c r="CP51" s="27">
        <f t="shared" si="11"/>
        <v>18</v>
      </c>
      <c r="CQ51" s="22">
        <v>0</v>
      </c>
      <c r="CR51" s="22">
        <f t="shared" si="12"/>
        <v>18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732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174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656</v>
      </c>
      <c r="CP79" s="25">
        <f>+SUM(CP14:CP78)</f>
        <v>656</v>
      </c>
      <c r="CQ79" s="25">
        <f>+SUM(CQ14:CQ78)</f>
        <v>0</v>
      </c>
      <c r="CR79" s="25">
        <f>+SUM(CR14:CR78)</f>
        <v>656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6426.5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1701</v>
      </c>
      <c r="F3" s="79" t="s">
        <v>1</v>
      </c>
      <c r="I3" s="80">
        <f>'Programa CASETAS REPORTE DIARIO'!CN79+CH77</f>
        <v>2357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376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1701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19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32</v>
      </c>
      <c r="CJ41" s="27">
        <f t="shared" si="3"/>
        <v>32</v>
      </c>
      <c r="CK41" s="22">
        <v>0</v>
      </c>
      <c r="CL41" s="22">
        <f t="shared" si="4"/>
        <v>32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-19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226</v>
      </c>
      <c r="CJ46" s="27">
        <f t="shared" ref="CJ46:CJ76" si="11">CH46</f>
        <v>226</v>
      </c>
      <c r="CK46" s="22">
        <v>0</v>
      </c>
      <c r="CL46" s="22">
        <f t="shared" ref="CL46:CL77" si="12">CJ46+CK46</f>
        <v>226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1278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376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1701</v>
      </c>
      <c r="CJ77" s="25">
        <f>+SUM(CJ14:CJ76)</f>
        <v>1701</v>
      </c>
      <c r="CK77" s="25">
        <f>+SUM(CK14:CK76)</f>
        <v>0</v>
      </c>
      <c r="CL77" s="25">
        <f>+SUM(CL14:CL76)</f>
        <v>1701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6806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2026-10-29T02:20:57Z</dcterms:modified>
</cp:coreProperties>
</file>