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3C9573E-916C-49A8-8083-7C672260200F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N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G13" i="2" s="1"/>
  <c r="BF79" i="2"/>
  <c r="BE79" i="2"/>
  <c r="BD79" i="2"/>
  <c r="BC79" i="2"/>
  <c r="BC13" i="2" s="1"/>
  <c r="BB79" i="2"/>
  <c r="BA79" i="2"/>
  <c r="BA13" i="2" s="1"/>
  <c r="AZ79" i="2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W44" i="2" s="1"/>
  <c r="CN44" i="2"/>
  <c r="CP44" i="2" s="1"/>
  <c r="CR44" i="2" s="1"/>
  <c r="DD43" i="2"/>
  <c r="CU43" i="2" s="1"/>
  <c r="CV43" i="2" s="1"/>
  <c r="CW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F13" i="2"/>
  <c r="BE13" i="2"/>
  <c r="BD13" i="2"/>
  <c r="BB13" i="2"/>
  <c r="AZ13" i="2"/>
  <c r="AF13" i="2"/>
  <c r="AE13" i="2"/>
  <c r="AD13" i="2"/>
  <c r="AC13" i="2"/>
  <c r="AB13" i="2"/>
  <c r="AA13" i="2"/>
  <c r="Z13" i="2"/>
  <c r="Y13" i="2"/>
  <c r="X13" i="2"/>
  <c r="W13" i="2"/>
  <c r="CQ61" i="3" l="1"/>
  <c r="CW47" i="2"/>
  <c r="CW45" i="2"/>
  <c r="CW65" i="2"/>
  <c r="CW62" i="2"/>
  <c r="D20" i="1"/>
  <c r="AK13" i="2"/>
  <c r="D19" i="1"/>
  <c r="AJ13" i="2"/>
  <c r="D18" i="1"/>
  <c r="AI13" i="2"/>
  <c r="D17" i="1"/>
  <c r="AH13" i="2"/>
  <c r="D16" i="1"/>
  <c r="AG13" i="2"/>
  <c r="CQ73" i="3"/>
  <c r="CQ67" i="3"/>
  <c r="CQ64" i="3"/>
  <c r="CQ48" i="3"/>
  <c r="CQ47" i="3"/>
  <c r="CQ46" i="3"/>
  <c r="CQ45" i="3"/>
  <c r="CQ41" i="3"/>
  <c r="CQ40" i="3"/>
  <c r="CQ35" i="3"/>
  <c r="CQ22" i="3"/>
  <c r="CW48" i="2"/>
  <c r="CQ30" i="3"/>
  <c r="CQ25" i="3"/>
  <c r="CW53" i="2"/>
  <c r="CW46" i="2"/>
  <c r="CW24" i="2"/>
  <c r="CW21" i="2"/>
  <c r="CW20" i="2"/>
  <c r="CW18" i="2"/>
  <c r="CW16" i="2"/>
  <c r="CW15" i="2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AH13" i="3"/>
  <c r="CO77" i="3"/>
  <c r="CP14" i="3"/>
  <c r="CH77" i="3"/>
  <c r="CJ14" i="3"/>
  <c r="D21" i="1"/>
  <c r="CU79" i="2"/>
  <c r="CV14" i="2"/>
  <c r="CN79" i="2"/>
  <c r="CP14" i="2"/>
  <c r="CQ76" i="3"/>
  <c r="CQ75" i="3"/>
  <c r="CQ74" i="3"/>
  <c r="CQ70" i="3"/>
  <c r="CQ69" i="3"/>
  <c r="CQ63" i="3"/>
  <c r="CQ62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27" i="3"/>
  <c r="CQ72" i="3"/>
  <c r="CQ71" i="3"/>
  <c r="CQ68" i="3"/>
  <c r="CQ66" i="3"/>
  <c r="CQ65" i="3"/>
  <c r="CQ21" i="3"/>
  <c r="CQ20" i="3"/>
  <c r="CQ19" i="3"/>
  <c r="CQ18" i="3"/>
  <c r="CQ17" i="3"/>
  <c r="CQ16" i="3"/>
  <c r="CQ15" i="3"/>
  <c r="CW60" i="2"/>
  <c r="CW59" i="2"/>
  <c r="CW58" i="2"/>
  <c r="CW52" i="2"/>
  <c r="CW51" i="2"/>
  <c r="CW50" i="2"/>
  <c r="CW49" i="2"/>
  <c r="CQ42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4" i="2"/>
  <c r="CW63" i="2"/>
  <c r="CW61" i="2"/>
  <c r="CW57" i="2"/>
  <c r="CW56" i="2"/>
  <c r="CW55" i="2"/>
  <c r="CW54" i="2"/>
  <c r="CW25" i="2"/>
  <c r="CW23" i="2"/>
  <c r="CW19" i="2"/>
  <c r="CW17" i="2"/>
  <c r="CQ44" i="3"/>
  <c r="CQ37" i="3"/>
  <c r="CQ31" i="3"/>
  <c r="CQ29" i="3"/>
  <c r="CQ23" i="3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2" i="2"/>
  <c r="CQ43" i="3"/>
  <c r="CQ38" i="3"/>
  <c r="CQ36" i="3"/>
  <c r="CQ34" i="3"/>
  <c r="CQ33" i="3"/>
  <c r="CQ32" i="3"/>
  <c r="CQ26" i="3"/>
  <c r="CQ24" i="3"/>
  <c r="CQ39" i="3"/>
  <c r="CQ28" i="3"/>
  <c r="E21" i="1" l="1"/>
  <c r="F11" i="1"/>
  <c r="CQ14" i="3"/>
  <c r="CQ77" i="3" s="1"/>
  <c r="CP77" i="3"/>
  <c r="I3" i="2"/>
  <c r="D3" i="3"/>
  <c r="E6" i="1"/>
  <c r="CH13" i="3"/>
  <c r="CL14" i="3"/>
  <c r="CL77" i="3" s="1"/>
  <c r="CJ77" i="3"/>
  <c r="CV79" i="2"/>
  <c r="CW14" i="2"/>
  <c r="CW79" i="2" s="1"/>
  <c r="I3" i="3"/>
  <c r="B6" i="1"/>
  <c r="D3" i="2"/>
  <c r="CN13" i="2"/>
  <c r="CP79" i="2"/>
  <c r="CR14" i="2"/>
  <c r="CR79" i="2" s="1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<sst xmlns="http://schemas.openxmlformats.org/spreadsheetml/2006/main" count="580" uniqueCount="171">
  <si>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</si>
  <si>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</si>
  <si>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</si>
  <si>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</si>
  <si>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</si>
  <si>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</si>
  <si>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</si>
  <si>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</si>
  <si>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</si>
  <si>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</si>
  <si>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</si>
  <si>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</si>
  <si>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</si>
  <si>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</si>
  <si>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</si>
  <si>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</si>
  <si>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</si>
  <si>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</si>
  <si>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</si>
  <si>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</si>
  <si>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</si>
  <si>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</si>
  <si>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</si>
  <si>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</si>
  <si>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</si>
  <si>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</si>
  <si>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</si>
  <si>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</si>
  <si>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</si>
  <si>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</si>
  <si>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</si>
  <si>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</si>
  <si>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</si>
  <si>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</si>
  <si>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</si>
  <si>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</si>
  <si>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</si>
  <si>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</si>
  <si>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</si>
  <si>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</si>
  <si>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</si>
  <si>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</si>
  <si>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</si>
  <si>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</si>
  <si>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</si>
  <si>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</si>
  <si>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</si>
  <si>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</si>
  <si>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</si>
  <si>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</si>
  <si>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</si>
  <si>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</si>
  <si>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</si>
  <si>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</si>
  <si>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</si>
  <si>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</si>
  <si>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</si>
  <si>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</si>
  <si>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</si>
  <si>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</si>
  <si>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</si>
  <si>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</si>
  <si>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</si>
  <si>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</si>
  <si>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</si>
  <si>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</si>
  <si>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</si>
  <si>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</si>
  <si>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</si>
  <si>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</si>
  <si>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</si>
  <si>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</si>
  <si>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</si>
  <si>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</si>
  <si>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</si>
  <si>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</si>
  <si>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</si>
  <si>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</si>
  <si>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</si>
  <si>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</si>
  <si>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</si>
  <si>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</si>
  <si>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</si>
  <si>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</si>
  <si>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</si>
  <si>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</si>
  <si>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</si>
  <si>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</si>
  <si>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</si>
  <si>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</si>
  <si>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</si>
  <si>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</si>
  <si>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</si>
  <si>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</si>
  <si>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</si>
  <si>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</si>
  <si>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</si>
  <si>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</si>
  <si>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</si>
  <si>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</si>
  <si>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</si>
  <si>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</si>
  <si>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</si>
  <si>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</si>
  <si>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</si>
  <si>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</si>
  <si>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</si>
  <si>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</si>
  <si>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</si>
  <si>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</si>
  <si>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</si>
  <si>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</si>
  <si>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20:26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</si>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</sst>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468</v>
      </c>
      <c r="C6" s="89"/>
      <c r="E6" s="88">
        <f>'Programa CAJAS REPORTE DIARIO'!CH77</f>
        <v>1311</v>
      </c>
      <c r="F6" s="89"/>
      <c r="H6" s="101">
        <f>B6+E6</f>
        <v>1779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468</v>
      </c>
      <c r="F3" s="79" t="s">
        <v>1</v>
      </c>
      <c r="I3" s="80">
        <f>'Programa CAJAS REPORTE DIARIO'!CH77+CN79</f>
        <v>1779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124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468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3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64</v>
      </c>
      <c r="CP29" s="27">
        <f t="shared" si="4"/>
        <v>64</v>
      </c>
      <c r="CQ29" s="22">
        <v>0</v>
      </c>
      <c r="CR29" s="22">
        <f t="shared" si="5"/>
        <v>64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342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124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468</v>
      </c>
      <c r="CP79" s="25">
        <f>+SUM(CP14:CP78)</f>
        <v>468</v>
      </c>
      <c r="CQ79" s="25">
        <f>+SUM(CQ14:CQ78)</f>
        <v>0</v>
      </c>
      <c r="CR79" s="25">
        <f>+SUM(CR14:CR78)</f>
        <v>468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2664.5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1311</v>
      </c>
      <c r="F3" s="79" t="s">
        <v>1</v>
      </c>
      <c r="I3" s="80">
        <f>'Programa CASETAS REPORTE DIARIO'!CN79+CH77</f>
        <v>1779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452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1311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82</v>
      </c>
      <c r="CJ35" s="27">
        <f t="shared" si="3"/>
        <v>82</v>
      </c>
      <c r="CK35" s="22">
        <v>0</v>
      </c>
      <c r="CL35" s="22">
        <f t="shared" si="4"/>
        <v>82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48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155</v>
      </c>
      <c r="CJ46" s="27">
        <f t="shared" ref="CJ46:CJ76" si="11">CH46</f>
        <v>155</v>
      </c>
      <c r="CK46" s="22">
        <v>0</v>
      </c>
      <c r="CL46" s="22">
        <f t="shared" ref="CL46:CL77" si="12">CJ46+CK46</f>
        <v>155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176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452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1311</v>
      </c>
      <c r="CJ77" s="25">
        <f>+SUM(CJ14:CJ76)</f>
        <v>1311</v>
      </c>
      <c r="CK77" s="25">
        <f>+SUM(CK14:CK76)</f>
        <v>0</v>
      </c>
      <c r="CL77" s="25">
        <f>+SUM(CL14:CL76)</f>
        <v>1311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5676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2026-10-28T02:26:46Z</dcterms:modified>
</cp:coreProperties>
</file>