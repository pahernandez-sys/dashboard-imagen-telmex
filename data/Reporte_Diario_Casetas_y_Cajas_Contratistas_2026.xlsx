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5461620-741A-4F94-A9FA-D3B7F4F76A50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W58" i="2" l="1"/>
  <c r="CW57" i="2"/>
  <c r="CW50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W60" i="2"/>
  <c r="CQ62" i="3"/>
  <c r="CQ59" i="3"/>
  <c r="CQ55" i="3"/>
  <c r="CW68" i="2"/>
  <c r="CW76" i="2"/>
  <c r="CW72" i="2"/>
  <c r="CW42" i="2"/>
  <c r="CQ33" i="3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E13" i="1"/>
  <c r="F13" i="1" s="1"/>
  <c r="AJ13" i="3"/>
  <c r="AI13" i="3"/>
  <c r="E12" i="1"/>
  <c r="F12" i="1" s="1"/>
  <c r="E11" i="1"/>
  <c r="AH13" i="3"/>
  <c r="CH77" i="3"/>
  <c r="CJ74" i="3"/>
  <c r="CP16" i="3"/>
  <c r="CQ16" i="3" s="1"/>
  <c r="CO77" i="3"/>
  <c r="CP77" i="3"/>
  <c r="CQ14" i="3"/>
  <c r="CJ77" i="3"/>
  <c r="CL14" i="3"/>
  <c r="F11" i="1"/>
  <c r="D21" i="1"/>
  <c r="CV14" i="2"/>
  <c r="CU79" i="2"/>
  <c r="CN79" i="2"/>
  <c r="CP14" i="2"/>
  <c r="CQ76" i="3"/>
  <c r="CQ75" i="3"/>
  <c r="CQ73" i="3"/>
  <c r="CQ72" i="3"/>
  <c r="CQ71" i="3"/>
  <c r="CQ70" i="3"/>
  <c r="CQ69" i="3"/>
  <c r="CQ68" i="3"/>
  <c r="CQ67" i="3"/>
  <c r="CQ66" i="3"/>
  <c r="CQ65" i="3"/>
  <c r="CQ64" i="3"/>
  <c r="CQ63" i="3"/>
  <c r="CQ61" i="3"/>
  <c r="CQ56" i="3"/>
  <c r="CW56" i="2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5" i="3"/>
  <c r="CW71" i="2"/>
  <c r="CW70" i="2"/>
  <c r="CW67" i="2"/>
  <c r="CW65" i="2"/>
  <c r="CW64" i="2"/>
  <c r="CW62" i="2"/>
  <c r="CW59" i="2"/>
  <c r="CW55" i="2"/>
  <c r="CW51" i="2"/>
  <c r="CW49" i="2"/>
  <c r="CW47" i="2"/>
  <c r="CW45" i="2"/>
  <c r="CW44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60" i="3"/>
  <c r="CQ58" i="3"/>
  <c r="CQ57" i="3"/>
  <c r="CQ54" i="3"/>
  <c r="CW78" i="2"/>
  <c r="CW77" i="2"/>
  <c r="CW75" i="2"/>
  <c r="CW74" i="2"/>
  <c r="CW73" i="2"/>
  <c r="CW69" i="2"/>
  <c r="CW63" i="2"/>
  <c r="CW61" i="2"/>
  <c r="CW54" i="2"/>
  <c r="CW53" i="2"/>
  <c r="CW46" i="2"/>
  <c r="CW43" i="2"/>
  <c r="CH13" i="3" l="1"/>
  <c r="I3" i="2"/>
  <c r="E6" i="1"/>
  <c r="D3" i="3"/>
  <c r="CQ74" i="3"/>
  <c r="CQ77" i="3" s="1"/>
  <c r="CL74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D3" i="2"/>
  <c r="CN13" i="2"/>
  <c r="B6" i="1"/>
  <c r="I3" i="3"/>
  <c r="CR14" i="2"/>
  <c r="CR79" i="2" s="1"/>
  <c r="CP79" i="2"/>
  <c r="E21" i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<sst xmlns="http://schemas.openxmlformats.org/spreadsheetml/2006/main" count="580" uniqueCount="171">
  <si>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</si>
  <si>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</si>
  <si>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</si>
  <si>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</si>
  <si>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</si>
  <si>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</si>
  <si>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</si>
  <si>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</si>
  <si>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</si>
  <si>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</si>
  <si>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</si>
  <si>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</si>
  <si>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</si>
  <si>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</si>
  <si>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</si>
  <si>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</si>
  <si>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</si>
  <si>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</si>
  <si>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</si>
  <si>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</si>
  <si>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</si>
  <si>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</si>
  <si>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</si>
  <si>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</si>
  <si>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</si>
  <si>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</si>
  <si>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</si>
  <si>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</si>
  <si>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</si>
  <si>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</si>
  <si>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</si>
  <si>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</si>
  <si>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</si>
  <si>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</si>
  <si>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</si>
  <si>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</si>
  <si>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</si>
  <si>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</si>
  <si>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</si>
  <si>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</si>
  <si>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</si>
  <si>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</si>
  <si>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</si>
  <si>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</si>
  <si>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</si>
  <si>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</si>
  <si>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</si>
  <si>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</si>
  <si>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</si>
  <si>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</si>
  <si>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</si>
  <si>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</si>
  <si>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</si>
  <si>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</si>
  <si>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</si>
  <si>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</si>
  <si>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</si>
  <si>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</si>
  <si>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</si>
  <si>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</si>
  <si>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</si>
  <si>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</si>
  <si>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</si>
  <si>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</si>
  <si>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</si>
  <si>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</si>
  <si>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</si>
  <si>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</si>
  <si>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</si>
  <si>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</si>
  <si>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</si>
  <si>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</si>
  <si>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</si>
  <si>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</si>
  <si>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</si>
  <si>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</si>
  <si>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</si>
  <si>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</si>
  <si>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</si>
  <si>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</si>
  <si>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</si>
  <si>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</si>
  <si>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</si>
  <si>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</si>
  <si>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</si>
  <si>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</si>
  <si>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</si>
  <si>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</si>
  <si>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</si>
  <si>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</si>
  <si>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</si>
  <si>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</si>
  <si>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</si>
  <si>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</si>
  <si>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</si>
  <si>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</si>
  <si>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</si>
  <si>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</si>
  <si>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</si>
  <si>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</si>
  <si>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</si>
  <si>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</si>
  <si>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</si>
  <si>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</si>
  <si>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</si>
  <si>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</si>
  <si>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</si>
  <si>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</si>
  <si>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</si>
  <si>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</si>
  <si>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</si>
  <si>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</si>
  <si>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18:44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</si>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</sst>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458</v>
      </c>
      <c r="C6" s="89"/>
      <c r="E6" s="88">
        <f>'Programa CAJAS REPORTE DIARIO'!CH77</f>
        <v>1261</v>
      </c>
      <c r="F6" s="89"/>
      <c r="H6" s="101">
        <f>B6+E6</f>
        <v>1719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458</v>
      </c>
      <c r="F3" s="79" t="s">
        <v>1</v>
      </c>
      <c r="I3" s="80">
        <f>'Programa CAJAS REPORTE DIARIO'!CH77+CN79</f>
        <v>1719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114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458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24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33</v>
      </c>
      <c r="CP42" s="27">
        <f t="shared" si="4"/>
        <v>33</v>
      </c>
      <c r="CQ42" s="22">
        <v>0</v>
      </c>
      <c r="CR42" s="22">
        <f t="shared" si="5"/>
        <v>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114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458</v>
      </c>
      <c r="CP79" s="25">
        <f>+SUM(CP14:CP78)</f>
        <v>458</v>
      </c>
      <c r="CQ79" s="25">
        <f>+SUM(CQ14:CQ78)</f>
        <v>0</v>
      </c>
      <c r="CR79" s="25">
        <f>+SUM(CR14:CR78)</f>
        <v>458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1261</v>
      </c>
      <c r="F3" s="79" t="s">
        <v>1</v>
      </c>
      <c r="I3" s="80">
        <f>'Programa CASETAS REPORTE DIARIO'!CN79+CH77</f>
        <v>1719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402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1261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43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331</v>
      </c>
      <c r="CJ27" s="27">
        <f t="shared" si="3"/>
        <v>331</v>
      </c>
      <c r="CK27" s="22">
        <v>0</v>
      </c>
      <c r="CL27" s="22">
        <f t="shared" si="4"/>
        <v>331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43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196</v>
      </c>
      <c r="CJ28" s="27">
        <f t="shared" si="3"/>
        <v>196</v>
      </c>
      <c r="CK28" s="22">
        <v>0</v>
      </c>
      <c r="CL28" s="22">
        <f t="shared" si="4"/>
        <v>196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71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75</v>
      </c>
      <c r="CJ35" s="27">
        <f t="shared" si="3"/>
        <v>75</v>
      </c>
      <c r="CK35" s="22">
        <v>0</v>
      </c>
      <c r="CL35" s="22">
        <f t="shared" si="4"/>
        <v>75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24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131</v>
      </c>
      <c r="CJ46" s="27">
        <f t="shared" ref="CJ46:CJ76" si="11">CH46</f>
        <v>131</v>
      </c>
      <c r="CK46" s="22">
        <v>0</v>
      </c>
      <c r="CL46" s="22">
        <f t="shared" ref="CL46:CL77" si="12">CJ46+CK46</f>
        <v>131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200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3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5</v>
      </c>
      <c r="CJ75" s="27">
        <f t="shared" si="11"/>
        <v>5</v>
      </c>
      <c r="CK75" s="22">
        <v>0</v>
      </c>
      <c r="CL75" s="22">
        <f t="shared" si="12"/>
        <v>5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-4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402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1261</v>
      </c>
      <c r="CJ77" s="25">
        <f>+SUM(CJ14:CJ76)</f>
        <v>1261</v>
      </c>
      <c r="CK77" s="25">
        <f>+SUM(CK14:CK76)</f>
        <v>0</v>
      </c>
      <c r="CL77" s="25">
        <f>+SUM(CL14:CL76)</f>
        <v>1261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5726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2026-10-28T00:44:06Z</dcterms:modified>
</cp:coreProperties>
</file>