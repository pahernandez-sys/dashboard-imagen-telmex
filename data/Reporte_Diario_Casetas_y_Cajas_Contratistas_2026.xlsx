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AD93B02-75FB-4D56-BA4C-95CC2E3F27B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W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W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 s="1"/>
  <c r="CV55" i="2" s="1"/>
  <c r="CW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W60" i="2" l="1"/>
  <c r="CW76" i="2"/>
  <c r="CW74" i="2"/>
  <c r="CW58" i="2"/>
  <c r="CQ15" i="3"/>
  <c r="CW44" i="2"/>
  <c r="CQ48" i="3"/>
  <c r="CQ32" i="3"/>
  <c r="CQ25" i="3"/>
  <c r="CQ23" i="3"/>
  <c r="CQ17" i="3"/>
  <c r="CW66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71" i="2"/>
  <c r="AT13" i="3"/>
  <c r="E23" i="1"/>
  <c r="F23" i="1" s="1"/>
  <c r="E22" i="1"/>
  <c r="F22" i="1" s="1"/>
  <c r="AS13" i="3"/>
  <c r="AR13" i="3"/>
  <c r="E21" i="1"/>
  <c r="F21" i="1" s="1"/>
  <c r="AQ13" i="3"/>
  <c r="E20" i="1"/>
  <c r="F20" i="1" s="1"/>
  <c r="AP13" i="3"/>
  <c r="E19" i="1"/>
  <c r="F19" i="1" s="1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AK13" i="3"/>
  <c r="E14" i="1"/>
  <c r="F14" i="1" s="1"/>
  <c r="E13" i="1"/>
  <c r="F13" i="1" s="1"/>
  <c r="AJ13" i="3"/>
  <c r="AI13" i="3"/>
  <c r="E12" i="1"/>
  <c r="F12" i="1" s="1"/>
  <c r="E11" i="1"/>
  <c r="AH13" i="3"/>
  <c r="CJ20" i="3"/>
  <c r="CH77" i="3"/>
  <c r="CP19" i="3"/>
  <c r="CQ19" i="3" s="1"/>
  <c r="CO77" i="3"/>
  <c r="CQ14" i="3"/>
  <c r="CP77" i="3"/>
  <c r="CL14" i="3"/>
  <c r="CJ77" i="3"/>
  <c r="F11" i="1"/>
  <c r="D24" i="1"/>
  <c r="CU79" i="2"/>
  <c r="CV14" i="2"/>
  <c r="CN79" i="2"/>
  <c r="CP14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7" i="3"/>
  <c r="CQ46" i="3"/>
  <c r="CQ45" i="3"/>
  <c r="CQ34" i="3"/>
  <c r="CQ33" i="3"/>
  <c r="CQ31" i="3"/>
  <c r="CQ28" i="3"/>
  <c r="CQ16" i="3"/>
  <c r="CW77" i="2"/>
  <c r="CW69" i="2"/>
  <c r="CW68" i="2"/>
  <c r="CW67" i="2"/>
  <c r="CQ30" i="3"/>
  <c r="CQ29" i="3"/>
  <c r="CQ27" i="3"/>
  <c r="CQ26" i="3"/>
  <c r="CW73" i="2"/>
  <c r="CW72" i="2"/>
  <c r="CQ44" i="3"/>
  <c r="CQ43" i="3"/>
  <c r="CQ42" i="3"/>
  <c r="CQ41" i="3"/>
  <c r="CQ24" i="3"/>
  <c r="CQ22" i="3"/>
  <c r="CQ40" i="3"/>
  <c r="CQ39" i="3"/>
  <c r="CQ38" i="3"/>
  <c r="CQ37" i="3"/>
  <c r="CQ36" i="3"/>
  <c r="CQ35" i="3"/>
  <c r="CW54" i="2"/>
  <c r="CW53" i="2"/>
  <c r="CW52" i="2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64" i="2"/>
  <c r="CW57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21" i="3"/>
  <c r="CQ18" i="3"/>
  <c r="CQ20" i="3" l="1"/>
  <c r="CQ77" i="3" s="1"/>
  <c r="CL20" i="3"/>
  <c r="CL77" i="3" s="1"/>
  <c r="I3" i="2"/>
  <c r="E6" i="1"/>
  <c r="D3" i="3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V79" i="2"/>
  <c r="CW14" i="2"/>
  <c r="CW79" i="2" s="1"/>
  <c r="B6" i="1"/>
  <c r="I3" i="3"/>
  <c r="CN13" i="2"/>
  <c r="D3" i="2"/>
  <c r="CR14" i="2"/>
  <c r="CR79" i="2" s="1"/>
  <c r="CP79" i="2"/>
  <c r="E24" i="1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<sst xmlns="http://schemas.openxmlformats.org/spreadsheetml/2006/main" count="589" uniqueCount="175">
  <si>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</si>
  <si>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</si>
  <si>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</si>
  <si>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</si>
  <si>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</si>
  <si>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</si>
  <si>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</si>
  <si>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</si>
  <si>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</si>
  <si>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</si>
  <si>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</si>
  <si>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</si>
  <si>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</si>
  <si>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</si>
  <si>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</si>
  <si>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</si>
  <si>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</si>
  <si>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</si>
  <si>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</si>
  <si>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</si>
  <si>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</si>
  <si>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</si>
  <si>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</si>
  <si>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</si>
  <si>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</si>
  <si>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</si>
  <si>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</si>
  <si>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</si>
  <si>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</si>
  <si>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</si>
  <si>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</si>
  <si>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</si>
  <si>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</si>
  <si>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</si>
  <si>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</si>
  <si>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</si>
  <si>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</si>
  <si>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</si>
  <si>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</si>
  <si>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</si>
  <si>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</si>
  <si>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</si>
  <si>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</si>
  <si>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</si>
  <si>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</si>
  <si>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</si>
  <si>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</si>
  <si>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</si>
  <si>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</si>
  <si>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</si>
  <si>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</si>
  <si>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</si>
  <si>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</si>
  <si>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</si>
  <si>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</si>
  <si>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</si>
  <si>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</si>
  <si>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</si>
  <si>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</si>
  <si>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</si>
  <si>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</si>
  <si>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</si>
  <si>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</si>
  <si>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</si>
  <si>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</si>
  <si>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</si>
  <si>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</si>
  <si>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</si>
  <si>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</si>
  <si>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</si>
  <si>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</si>
  <si>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</si>
  <si>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</si>
  <si>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</si>
  <si>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</si>
  <si>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</si>
  <si>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</si>
  <si>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</si>
  <si>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</si>
  <si>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</si>
  <si>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</si>
  <si>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</si>
  <si>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</si>
  <si>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</si>
  <si>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</si>
  <si>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</si>
  <si>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</si>
  <si>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</si>
  <si>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</si>
  <si>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</si>
  <si>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</si>
  <si>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</si>
  <si>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</si>
  <si>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</si>
  <si>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</si>
  <si>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</si>
  <si>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</si>
  <si>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</si>
  <si>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</si>
  <si>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</si>
  <si>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</si>
  <si>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</si>
  <si>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</si>
  <si>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</si>
  <si>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</si>
  <si>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</si>
  <si>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</si>
  <si>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</si>
  <si>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</si>
  <si>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</si>
  <si>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</si>
  <si>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</si>
  <si>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11:09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</si>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</sst>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692</v>
      </c>
      <c r="C6" s="89"/>
      <c r="E6" s="88">
        <f>'Programa CAJAS REPORTE DIARIO'!CH77</f>
        <v>1863</v>
      </c>
      <c r="F6" s="89"/>
      <c r="H6" s="101">
        <f>B6+E6</f>
        <v>2555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33</v>
      </c>
      <c r="E23" s="70">
        <f>'Programa CAJAS REPORTE DIARIO'!AT77</f>
        <v>134</v>
      </c>
      <c r="F23" s="70">
        <f t="shared" si="0"/>
        <v>167</v>
      </c>
      <c r="G23" s="70">
        <f t="shared" si="1"/>
        <v>2555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692</v>
      </c>
      <c r="E24" s="75">
        <f>SUM(E11:E23)</f>
        <v>1863</v>
      </c>
      <c r="F24" s="75">
        <f>SUM(F11:F23)</f>
        <v>2555</v>
      </c>
      <c r="G24" s="75">
        <f>F24</f>
        <v>2555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692</v>
      </c>
      <c r="F3" s="79" t="s">
        <v>1</v>
      </c>
      <c r="I3" s="80">
        <f>'Programa CAJAS REPORTE DIARIO'!CH77+CN79</f>
        <v>2555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33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10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155</v>
      </c>
      <c r="CP28" s="27">
        <f t="shared" si="4"/>
        <v>155</v>
      </c>
      <c r="CQ28" s="22">
        <v>0</v>
      </c>
      <c r="CR28" s="22">
        <f t="shared" si="5"/>
        <v>155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8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94</v>
      </c>
      <c r="CP29" s="27">
        <f t="shared" si="4"/>
        <v>94</v>
      </c>
      <c r="CQ29" s="22">
        <v>0</v>
      </c>
      <c r="CR29" s="22">
        <f t="shared" si="5"/>
        <v>94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312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2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23</v>
      </c>
      <c r="CP36" s="27">
        <f t="shared" si="4"/>
        <v>23</v>
      </c>
      <c r="CQ36" s="22">
        <v>0</v>
      </c>
      <c r="CR36" s="22">
        <f t="shared" si="5"/>
        <v>23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-23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10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</v>
      </c>
      <c r="CP56" s="27">
        <f t="shared" si="11"/>
        <v>10</v>
      </c>
      <c r="CQ56" s="22">
        <v>0</v>
      </c>
      <c r="CR56" s="22">
        <f t="shared" si="12"/>
        <v>10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33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692</v>
      </c>
      <c r="CP79" s="25">
        <f>+SUM(CP14:CP78)</f>
        <v>692</v>
      </c>
      <c r="CQ79" s="25">
        <f>+SUM(CQ14:CQ78)</f>
        <v>0</v>
      </c>
      <c r="CR79" s="25">
        <f>+SUM(CR14:CR78)</f>
        <v>692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6574.5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1863</v>
      </c>
      <c r="F3" s="79" t="s">
        <v>1</v>
      </c>
      <c r="I3" s="80">
        <f>'Programa CASETAS REPORTE DIARIO'!CN79+CH77</f>
        <v>2555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134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1863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15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380</v>
      </c>
      <c r="CJ27" s="27">
        <f t="shared" si="3"/>
        <v>380</v>
      </c>
      <c r="CK27" s="22">
        <v>0</v>
      </c>
      <c r="CL27" s="22">
        <f t="shared" si="4"/>
        <v>380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406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8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288</v>
      </c>
      <c r="CJ28" s="27">
        <f t="shared" si="3"/>
        <v>288</v>
      </c>
      <c r="CK28" s="22">
        <v>0</v>
      </c>
      <c r="CL28" s="22">
        <f t="shared" si="4"/>
        <v>288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-110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1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47</v>
      </c>
      <c r="CJ36" s="27">
        <f t="shared" si="3"/>
        <v>47</v>
      </c>
      <c r="CK36" s="22">
        <v>0</v>
      </c>
      <c r="CL36" s="22">
        <f t="shared" si="4"/>
        <v>47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6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49</v>
      </c>
      <c r="CJ37" s="27">
        <f t="shared" si="3"/>
        <v>49</v>
      </c>
      <c r="CK37" s="22">
        <v>0</v>
      </c>
      <c r="CL37" s="22">
        <f t="shared" si="4"/>
        <v>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18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125</v>
      </c>
      <c r="CJ43" s="27">
        <f t="shared" si="3"/>
        <v>125</v>
      </c>
      <c r="CK43" s="22">
        <v>0</v>
      </c>
      <c r="CL43" s="22">
        <f t="shared" si="4"/>
        <v>125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-105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</v>
      </c>
      <c r="CJ53" s="27">
        <f t="shared" si="11"/>
        <v>6</v>
      </c>
      <c r="CK53" s="22">
        <v>0</v>
      </c>
      <c r="CL53" s="22">
        <f t="shared" si="12"/>
        <v>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62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5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52</v>
      </c>
      <c r="CJ61" s="27">
        <f t="shared" si="11"/>
        <v>52</v>
      </c>
      <c r="CK61" s="22">
        <v>0</v>
      </c>
      <c r="CL61" s="22">
        <f t="shared" si="12"/>
        <v>52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-20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-32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134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1863</v>
      </c>
      <c r="CJ77" s="25">
        <f>+SUM(CJ14:CJ76)</f>
        <v>1863</v>
      </c>
      <c r="CK77" s="25">
        <f>+SUM(CK14:CK76)</f>
        <v>0</v>
      </c>
      <c r="CL77" s="25">
        <f>+SUM(CL14:CL76)</f>
        <v>1863</v>
      </c>
      <c r="CM77" s="25"/>
      <c r="CN77" s="25"/>
      <c r="CO77" s="25">
        <f>+SUM(CO14:CO76)</f>
        <v>10291</v>
      </c>
      <c r="CP77" s="25">
        <f>+SUM(CP14:CP76)</f>
        <v>10291</v>
      </c>
      <c r="CQ77" s="25">
        <f>+SUM(CQ14:CQ76)</f>
        <v>8428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2026-10-29T17:09:17Z</dcterms:modified>
</cp:coreProperties>
</file>