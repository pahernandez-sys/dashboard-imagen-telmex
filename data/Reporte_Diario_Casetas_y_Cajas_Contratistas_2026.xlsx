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857CC4CD-AE9E-4D36-964F-A45E493DC2D8}" xr6:coauthVersionLast="47" xr6:coauthVersionMax="47" xr10:uidLastSave="{00000000-0000-0000-0000-000000000000}"/>
  <bookViews>
    <workbookView xWindow="2124" yWindow="2280" windowWidth="7296" windowHeight="64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 s="1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Q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W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V14" i="2" s="1"/>
  <c r="CN14" i="2"/>
  <c r="CQ41" i="3" l="1"/>
  <c r="CW33" i="2"/>
  <c r="CQ62" i="3"/>
  <c r="CQ59" i="3"/>
  <c r="CQ37" i="3"/>
  <c r="CQ22" i="3"/>
  <c r="CQ20" i="3"/>
  <c r="AO13" i="2"/>
  <c r="D24" i="1"/>
  <c r="AN13" i="2"/>
  <c r="D23" i="1"/>
  <c r="AM13" i="2"/>
  <c r="D22" i="1"/>
  <c r="AL13" i="2"/>
  <c r="D21" i="1"/>
  <c r="AK13" i="2"/>
  <c r="D20" i="1"/>
  <c r="AJ13" i="2"/>
  <c r="D19" i="1"/>
  <c r="AI13" i="2"/>
  <c r="D18" i="1"/>
  <c r="AH13" i="2"/>
  <c r="D17" i="1"/>
  <c r="AG13" i="2"/>
  <c r="D16" i="1"/>
  <c r="AF13" i="2"/>
  <c r="D15" i="1"/>
  <c r="AE13" i="2"/>
  <c r="D14" i="1"/>
  <c r="AD13" i="2"/>
  <c r="D13" i="1"/>
  <c r="AC13" i="2"/>
  <c r="D12" i="1"/>
  <c r="AB13" i="2"/>
  <c r="D11" i="1"/>
  <c r="CP14" i="2"/>
  <c r="CN79" i="2"/>
  <c r="E24" i="1"/>
  <c r="F24" i="1" s="1"/>
  <c r="AU13" i="3"/>
  <c r="E23" i="1"/>
  <c r="F23" i="1" s="1"/>
  <c r="AT13" i="3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AO13" i="3"/>
  <c r="E18" i="1"/>
  <c r="F18" i="1" s="1"/>
  <c r="AN13" i="3"/>
  <c r="E17" i="1"/>
  <c r="F17" i="1" s="1"/>
  <c r="E16" i="1"/>
  <c r="F16" i="1" s="1"/>
  <c r="AM13" i="3"/>
  <c r="AL13" i="3"/>
  <c r="E15" i="1"/>
  <c r="F15" i="1" s="1"/>
  <c r="AK13" i="3"/>
  <c r="E14" i="1"/>
  <c r="F14" i="1" s="1"/>
  <c r="AJ13" i="3"/>
  <c r="E13" i="1"/>
  <c r="F13" i="1" s="1"/>
  <c r="AI13" i="3"/>
  <c r="E12" i="1"/>
  <c r="F12" i="1" s="1"/>
  <c r="AH13" i="3"/>
  <c r="E11" i="1"/>
  <c r="CJ60" i="3"/>
  <c r="CH77" i="3"/>
  <c r="CP32" i="3"/>
  <c r="CQ32" i="3" s="1"/>
  <c r="CO77" i="3"/>
  <c r="CQ14" i="3"/>
  <c r="CP77" i="3"/>
  <c r="CL14" i="3"/>
  <c r="CJ77" i="3"/>
  <c r="F11" i="1"/>
  <c r="D25" i="1"/>
  <c r="B6" i="1"/>
  <c r="D3" i="2"/>
  <c r="CN13" i="2"/>
  <c r="CV18" i="2"/>
  <c r="CW18" i="2" s="1"/>
  <c r="CU79" i="2"/>
  <c r="CV79" i="2"/>
  <c r="CQ75" i="3"/>
  <c r="CQ74" i="3"/>
  <c r="CQ73" i="3"/>
  <c r="CQ72" i="3"/>
  <c r="CQ68" i="3"/>
  <c r="CQ64" i="3"/>
  <c r="CQ63" i="3"/>
  <c r="CQ58" i="3"/>
  <c r="CQ55" i="3"/>
  <c r="CQ54" i="3"/>
  <c r="CQ51" i="3"/>
  <c r="CQ50" i="3"/>
  <c r="CQ49" i="3"/>
  <c r="CQ48" i="3"/>
  <c r="CQ47" i="3"/>
  <c r="CQ46" i="3"/>
  <c r="CQ45" i="3"/>
  <c r="CQ44" i="3"/>
  <c r="CQ43" i="3"/>
  <c r="CQ34" i="3"/>
  <c r="CQ28" i="3"/>
  <c r="CQ27" i="3"/>
  <c r="CQ26" i="3"/>
  <c r="CQ21" i="3"/>
  <c r="CQ16" i="3"/>
  <c r="CQ15" i="3"/>
  <c r="CQ76" i="3"/>
  <c r="CQ71" i="3"/>
  <c r="CQ70" i="3"/>
  <c r="CQ69" i="3"/>
  <c r="CQ67" i="3"/>
  <c r="CQ66" i="3"/>
  <c r="CQ65" i="3"/>
  <c r="CQ61" i="3"/>
  <c r="CQ57" i="3"/>
  <c r="CQ56" i="3"/>
  <c r="CQ53" i="3"/>
  <c r="CQ52" i="3"/>
  <c r="CQ40" i="3"/>
  <c r="CQ39" i="3"/>
  <c r="CQ38" i="3"/>
  <c r="CQ36" i="3"/>
  <c r="CQ35" i="3"/>
  <c r="CQ33" i="3"/>
  <c r="CQ31" i="3"/>
  <c r="CQ30" i="3"/>
  <c r="CQ29" i="3"/>
  <c r="CQ25" i="3"/>
  <c r="CQ24" i="3"/>
  <c r="CQ23" i="3"/>
  <c r="CQ19" i="3"/>
  <c r="CQ18" i="3"/>
  <c r="CQ17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7" i="2"/>
  <c r="CW15" i="2"/>
  <c r="CW14" i="2" l="1"/>
  <c r="CW79" i="2" s="1"/>
  <c r="CR14" i="2"/>
  <c r="CR79" i="2" s="1"/>
  <c r="CP79" i="2"/>
  <c r="E25" i="1"/>
  <c r="CQ60" i="3"/>
  <c r="CQ77" i="3" s="1"/>
  <c r="CL60" i="3"/>
  <c r="CL77" i="3" s="1"/>
  <c r="D3" i="3"/>
  <c r="I3" i="3"/>
  <c r="CH13" i="3"/>
  <c r="E6" i="1"/>
  <c r="H6" i="1" s="1"/>
  <c r="I3" i="2"/>
  <c r="F25" i="1"/>
  <c r="G25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<sst xmlns="http://schemas.openxmlformats.org/spreadsheetml/2006/main" count="592" uniqueCount="176">
  <si>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</si>
  <si>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</si>
  <si>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</si>
  <si>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</si>
  <si>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</si>
  <si>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</si>
  <si>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</si>
  <si>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</si>
  <si>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</si>
  <si>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</si>
  <si>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</si>
  <si>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</si>
  <si>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</si>
  <si>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</si>
  <si>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</si>
  <si>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</si>
  <si>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</si>
  <si>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</si>
  <si>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</si>
  <si>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</si>
  <si>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</si>
  <si>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</si>
  <si>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</si>
  <si>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</si>
  <si>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</si>
  <si>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</si>
  <si>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</si>
  <si>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</si>
  <si>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</si>
  <si>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</si>
  <si>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</si>
  <si>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</si>
  <si>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</si>
  <si>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</si>
  <si>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</si>
  <si>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</si>
  <si>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</si>
  <si>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</si>
  <si>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</si>
  <si>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</si>
  <si>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</si>
  <si>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</si>
  <si>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</si>
  <si>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</si>
  <si>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</si>
  <si>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</si>
  <si>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</si>
  <si>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</si>
  <si>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</si>
  <si>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</si>
  <si>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</si>
  <si>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</si>
  <si>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</si>
  <si>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</si>
  <si>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</si>
  <si>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</si>
  <si>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</si>
  <si>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</si>
  <si>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</si>
  <si>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</si>
  <si>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</si>
  <si>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</si>
  <si>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</si>
  <si>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</si>
  <si>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</si>
  <si>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</si>
  <si>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</si>
  <si>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</si>
  <si>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</si>
  <si>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</si>
  <si>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</si>
  <si>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</si>
  <si>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</si>
  <si>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</si>
  <si>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</si>
  <si>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</si>
  <si>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</si>
  <si>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</si>
  <si>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</si>
  <si>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</si>
  <si>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</si>
  <si>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</si>
  <si>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</si>
  <si>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</si>
  <si>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</si>
  <si>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</si>
  <si>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</si>
  <si>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</si>
  <si>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</si>
  <si>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</si>
  <si>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</si>
  <si>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</si>
  <si>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</si>
  <si>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</si>
  <si>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</si>
  <si>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</si>
  <si>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</si>
  <si>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</si>
  <si>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</si>
  <si>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</si>
  <si>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</si>
  <si>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</si>
  <si>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</si>
  <si>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</si>
  <si>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</si>
  <si>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</si>
  <si>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</si>
  <si>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</si>
  <si>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</si>
  <si>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</si>
  <si>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</si>
  <si>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</si>
  <si>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14:30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</si>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</sst>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1014</v>
      </c>
      <c r="C6" s="89"/>
      <c r="E6" s="88">
        <f>'Programa CAJAS REPORTE DIARIO'!CH77</f>
        <v>2975</v>
      </c>
      <c r="F6" s="89"/>
      <c r="H6" s="101">
        <f>B6+E6</f>
        <v>3989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106</v>
      </c>
      <c r="E24" s="72">
        <f>'Programa CAJAS REPORTE DIARIO'!AU77</f>
        <v>500</v>
      </c>
      <c r="F24" s="72">
        <f t="shared" si="0"/>
        <v>606</v>
      </c>
      <c r="G24" s="72">
        <f t="shared" si="1"/>
        <v>3989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1014</v>
      </c>
      <c r="E25" s="75">
        <f>SUM(E11:E24)</f>
        <v>2975</v>
      </c>
      <c r="F25" s="75">
        <f>SUM(F11:F24)</f>
        <v>3989</v>
      </c>
      <c r="G25" s="75">
        <f>F25</f>
        <v>3989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1014</v>
      </c>
      <c r="F3" s="79" t="s">
        <v>1</v>
      </c>
      <c r="I3" s="80">
        <f>'Programa CAJAS REPORTE DIARIO'!CH77+CN79</f>
        <v>3989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106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1014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13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213</v>
      </c>
      <c r="CP27" s="27">
        <f t="shared" si="4"/>
        <v>213</v>
      </c>
      <c r="CQ27" s="22">
        <v>0</v>
      </c>
      <c r="CR27" s="22">
        <f t="shared" si="5"/>
        <v>213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157.5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12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125</v>
      </c>
      <c r="CP29" s="27">
        <f t="shared" si="4"/>
        <v>125</v>
      </c>
      <c r="CQ29" s="22">
        <v>0</v>
      </c>
      <c r="CR29" s="22">
        <f t="shared" si="5"/>
        <v>125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281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>
        <v>2</v>
      </c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39</v>
      </c>
      <c r="CP30" s="27">
        <f t="shared" si="4"/>
        <v>39</v>
      </c>
      <c r="CQ30" s="22">
        <v>0</v>
      </c>
      <c r="CR30" s="22">
        <f t="shared" si="5"/>
        <v>39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147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>
        <v>2</v>
      </c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26</v>
      </c>
      <c r="CP36" s="27">
        <f t="shared" si="4"/>
        <v>26</v>
      </c>
      <c r="CQ36" s="22">
        <v>0</v>
      </c>
      <c r="CR36" s="22">
        <f t="shared" si="5"/>
        <v>26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>
        <v>33</v>
      </c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166</v>
      </c>
      <c r="CP42" s="27">
        <f t="shared" si="4"/>
        <v>166</v>
      </c>
      <c r="CQ42" s="22">
        <v>0</v>
      </c>
      <c r="CR42" s="22">
        <f t="shared" si="5"/>
        <v>166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-166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41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103</v>
      </c>
      <c r="CP56" s="27">
        <f t="shared" si="11"/>
        <v>103</v>
      </c>
      <c r="CQ56" s="22">
        <v>0</v>
      </c>
      <c r="CR56" s="22">
        <f t="shared" si="12"/>
        <v>103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-103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>
        <v>2</v>
      </c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4</v>
      </c>
      <c r="CP75" s="27">
        <f t="shared" si="11"/>
        <v>4</v>
      </c>
      <c r="CQ75" s="22">
        <v>0</v>
      </c>
      <c r="CR75" s="22">
        <f t="shared" si="12"/>
        <v>4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-4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106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1014</v>
      </c>
      <c r="CP79" s="25">
        <f>+SUM(CP14:CP78)</f>
        <v>1014</v>
      </c>
      <c r="CQ79" s="25">
        <f>+SUM(CQ14:CQ78)</f>
        <v>0</v>
      </c>
      <c r="CR79" s="25">
        <f>+SUM(CR14:CR78)</f>
        <v>1014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6252.5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2975</v>
      </c>
      <c r="F3" s="79" t="s">
        <v>1</v>
      </c>
      <c r="I3" s="80">
        <f>'Programa CASETAS REPORTE DIARIO'!CN79+CH77</f>
        <v>3989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500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2975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41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478</v>
      </c>
      <c r="CJ27" s="27">
        <f t="shared" si="3"/>
        <v>478</v>
      </c>
      <c r="CK27" s="22">
        <v>0</v>
      </c>
      <c r="CL27" s="22">
        <f t="shared" si="4"/>
        <v>478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308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21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348</v>
      </c>
      <c r="CJ28" s="27">
        <f t="shared" si="3"/>
        <v>348</v>
      </c>
      <c r="CK28" s="22">
        <v>0</v>
      </c>
      <c r="CL28" s="22">
        <f t="shared" si="4"/>
        <v>348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-168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24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129</v>
      </c>
      <c r="CJ29" s="27">
        <f t="shared" si="3"/>
        <v>129</v>
      </c>
      <c r="CK29" s="22">
        <v>0</v>
      </c>
      <c r="CL29" s="22">
        <f t="shared" si="4"/>
        <v>129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1207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>
        <v>6</v>
      </c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56</v>
      </c>
      <c r="CJ36" s="27">
        <f t="shared" si="3"/>
        <v>56</v>
      </c>
      <c r="CK36" s="22">
        <v>0</v>
      </c>
      <c r="CL36" s="22">
        <f t="shared" si="4"/>
        <v>56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68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154</v>
      </c>
      <c r="CJ37" s="27">
        <f t="shared" si="3"/>
        <v>154</v>
      </c>
      <c r="CK37" s="22">
        <v>0</v>
      </c>
      <c r="CL37" s="22">
        <f t="shared" si="4"/>
        <v>154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421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32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91</v>
      </c>
      <c r="CJ41" s="27">
        <f t="shared" si="3"/>
        <v>91</v>
      </c>
      <c r="CK41" s="22">
        <v>0</v>
      </c>
      <c r="CL41" s="22">
        <f t="shared" si="4"/>
        <v>91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489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231</v>
      </c>
      <c r="CJ43" s="27">
        <f t="shared" si="3"/>
        <v>231</v>
      </c>
      <c r="CK43" s="22">
        <v>0</v>
      </c>
      <c r="CL43" s="22">
        <f t="shared" si="4"/>
        <v>231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-211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>
        <v>10</v>
      </c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341</v>
      </c>
      <c r="CJ46" s="27">
        <f t="shared" ref="CJ46:CJ76" si="11">CH46</f>
        <v>341</v>
      </c>
      <c r="CK46" s="22">
        <v>0</v>
      </c>
      <c r="CL46" s="22">
        <f t="shared" ref="CL46:CL77" si="12">CJ46+CK46</f>
        <v>341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1187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>
        <v>1</v>
      </c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2</v>
      </c>
      <c r="CJ52" s="27">
        <f t="shared" si="11"/>
        <v>2</v>
      </c>
      <c r="CK52" s="22">
        <v>0</v>
      </c>
      <c r="CL52" s="22">
        <f t="shared" si="12"/>
        <v>2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46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210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383</v>
      </c>
      <c r="CJ53" s="27">
        <f t="shared" si="11"/>
        <v>383</v>
      </c>
      <c r="CK53" s="22">
        <v>0</v>
      </c>
      <c r="CL53" s="22">
        <f t="shared" si="12"/>
        <v>383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-315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16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99</v>
      </c>
      <c r="CJ55" s="27">
        <f t="shared" si="11"/>
        <v>99</v>
      </c>
      <c r="CK55" s="22">
        <v>0</v>
      </c>
      <c r="CL55" s="22">
        <f t="shared" si="12"/>
        <v>99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-69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500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2975</v>
      </c>
      <c r="CJ77" s="25">
        <f>+SUM(CJ14:CJ76)</f>
        <v>2975</v>
      </c>
      <c r="CK77" s="25">
        <f>+SUM(CK14:CK76)</f>
        <v>0</v>
      </c>
      <c r="CL77" s="25">
        <f>+SUM(CL14:CL76)</f>
        <v>2975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8419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2026-10-30T20:30:08Z</dcterms:modified>
</cp:coreProperties>
</file>