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9B6AE6C-96B1-43E1-9555-E02FF2E8F455}" xr6:coauthVersionLast="47" xr6:coauthVersionMax="47" xr10:uidLastSave="{00000000-0000-0000-0000-000000000000}"/>
  <bookViews>
    <workbookView xWindow="384" yWindow="38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28" i="2" l="1"/>
  <c r="CW20" i="2"/>
  <c r="CQ74" i="3"/>
  <c r="CQ68" i="3"/>
  <c r="CQ66" i="3"/>
  <c r="CW57" i="2"/>
  <c r="CW56" i="2"/>
  <c r="CW52" i="2"/>
  <c r="CW48" i="2"/>
  <c r="CW47" i="2"/>
  <c r="CW46" i="2"/>
  <c r="CW42" i="2"/>
  <c r="CW41" i="2"/>
  <c r="CW39" i="2"/>
  <c r="CW37" i="2"/>
  <c r="CW34" i="2"/>
  <c r="CW31" i="2"/>
  <c r="CW30" i="2"/>
  <c r="CW29" i="2"/>
  <c r="CW22" i="2"/>
  <c r="CW19" i="2"/>
  <c r="CW16" i="2"/>
  <c r="CW15" i="2"/>
  <c r="CW27" i="2"/>
  <c r="CW26" i="2"/>
  <c r="CW17" i="2"/>
  <c r="E24" i="1"/>
  <c r="F24" i="1" s="1"/>
  <c r="AU13" i="3"/>
  <c r="E23" i="1"/>
  <c r="F23" i="1" s="1"/>
  <c r="AT13" i="3"/>
  <c r="E22" i="1"/>
  <c r="F22" i="1" s="1"/>
  <c r="AS13" i="3"/>
  <c r="E21" i="1"/>
  <c r="F21" i="1" s="1"/>
  <c r="AR13" i="3"/>
  <c r="AQ13" i="3"/>
  <c r="E20" i="1"/>
  <c r="F20" i="1" s="1"/>
  <c r="E19" i="1"/>
  <c r="F19" i="1" s="1"/>
  <c r="AP13" i="3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E11" i="1"/>
  <c r="AH13" i="3"/>
  <c r="CJ60" i="3"/>
  <c r="CH77" i="3"/>
  <c r="CP19" i="3"/>
  <c r="CQ19" i="3" s="1"/>
  <c r="CO77" i="3"/>
  <c r="CQ14" i="3"/>
  <c r="CP77" i="3"/>
  <c r="CL14" i="3"/>
  <c r="CJ77" i="3"/>
  <c r="D25" i="1"/>
  <c r="F11" i="1"/>
  <c r="CV14" i="2"/>
  <c r="CU79" i="2"/>
  <c r="CP14" i="2"/>
  <c r="CN79" i="2"/>
  <c r="CQ76" i="3"/>
  <c r="CQ75" i="3"/>
  <c r="CQ73" i="3"/>
  <c r="CQ72" i="3"/>
  <c r="CQ71" i="3"/>
  <c r="CQ70" i="3"/>
  <c r="CQ69" i="3"/>
  <c r="CQ67" i="3"/>
  <c r="CW23" i="2"/>
  <c r="CQ65" i="3"/>
  <c r="CQ64" i="3"/>
  <c r="CQ63" i="3"/>
  <c r="CQ62" i="3"/>
  <c r="CQ61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38" i="2"/>
  <c r="CW36" i="2"/>
  <c r="CW35" i="2"/>
  <c r="CW33" i="2"/>
  <c r="CW32" i="2"/>
  <c r="CW18" i="2"/>
  <c r="CW51" i="2"/>
  <c r="CW44" i="2"/>
  <c r="CW40" i="2"/>
  <c r="CW25" i="2"/>
  <c r="CW21" i="2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5" i="2"/>
  <c r="CW54" i="2"/>
  <c r="CW53" i="2"/>
  <c r="CW50" i="2"/>
  <c r="CW49" i="2"/>
  <c r="CW45" i="2"/>
  <c r="CW43" i="2"/>
  <c r="CW24" i="2"/>
  <c r="CQ60" i="3" l="1"/>
  <c r="CQ77" i="3" s="1"/>
  <c r="CL60" i="3"/>
  <c r="CL77" i="3" s="1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V79" i="2"/>
  <c r="CW14" i="2"/>
  <c r="CW79" i="2" s="1"/>
  <c r="CR14" i="2"/>
  <c r="CR79" i="2" s="1"/>
  <c r="CP79" i="2"/>
  <c r="B6" i="1"/>
  <c r="D3" i="2"/>
  <c r="I3" i="3"/>
  <c r="CN13" i="2"/>
  <c r="E25" i="1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<sst xmlns="http://schemas.openxmlformats.org/spreadsheetml/2006/main" count="592" uniqueCount="176">
  <si>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</si>
  <si>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</si>
  <si>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</si>
  <si>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</si>
  <si>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</si>
  <si>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</si>
  <si>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</si>
  <si>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</si>
  <si>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</si>
  <si>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</si>
  <si>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</si>
  <si>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</si>
  <si>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</si>
  <si>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</si>
  <si>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</si>
  <si>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</si>
  <si>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</si>
  <si>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</si>
  <si>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</si>
  <si>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</si>
  <si>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</si>
  <si>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</si>
  <si>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</si>
  <si>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</si>
  <si>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</si>
  <si>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</si>
  <si>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</si>
  <si>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</si>
  <si>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</si>
  <si>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</si>
  <si>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</si>
  <si>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</si>
  <si>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</si>
  <si>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</si>
  <si>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</si>
  <si>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</si>
  <si>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</si>
  <si>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</si>
  <si>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</si>
  <si>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</si>
  <si>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</si>
  <si>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</si>
  <si>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</si>
  <si>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</si>
  <si>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</si>
  <si>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</si>
  <si>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</si>
  <si>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</si>
  <si>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</si>
  <si>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</si>
  <si>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</si>
  <si>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</si>
  <si>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</si>
  <si>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</si>
  <si>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</si>
  <si>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</si>
  <si>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</si>
  <si>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</si>
  <si>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</si>
  <si>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</si>
  <si>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</si>
  <si>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</si>
  <si>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</si>
  <si>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</si>
  <si>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</si>
  <si>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</si>
  <si>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</si>
  <si>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</si>
  <si>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</si>
  <si>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</si>
  <si>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</si>
  <si>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</si>
  <si>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</si>
  <si>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</si>
  <si>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</si>
  <si>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</si>
  <si>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</si>
  <si>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</si>
  <si>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</si>
  <si>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</si>
  <si>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</si>
  <si>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</si>
  <si>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</si>
  <si>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</si>
  <si>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</si>
  <si>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</si>
  <si>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</si>
  <si>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</si>
  <si>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</si>
  <si>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</si>
  <si>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</si>
  <si>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</si>
  <si>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</si>
  <si>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</si>
  <si>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</si>
  <si>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</si>
  <si>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</si>
  <si>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</si>
  <si>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</si>
  <si>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</si>
  <si>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</si>
  <si>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</si>
  <si>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</si>
  <si>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</si>
  <si>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</si>
  <si>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</si>
  <si>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</si>
  <si>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</si>
  <si>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</si>
  <si>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</si>
  <si>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</si>
  <si>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</si>
  <si>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10:41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</si>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</sst>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924</v>
      </c>
      <c r="C6" s="89"/>
      <c r="E6" s="88">
        <f>'Programa CAJAS REPORTE DIARIO'!CH77</f>
        <v>2543</v>
      </c>
      <c r="F6" s="89"/>
      <c r="H6" s="101">
        <f>B6+E6</f>
        <v>3467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16</v>
      </c>
      <c r="E24" s="72">
        <f>'Programa CAJAS REPORTE DIARIO'!AU77</f>
        <v>68</v>
      </c>
      <c r="F24" s="72">
        <f t="shared" si="0"/>
        <v>84</v>
      </c>
      <c r="G24" s="72">
        <f t="shared" si="1"/>
        <v>3467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924</v>
      </c>
      <c r="E25" s="75">
        <f>SUM(E11:E24)</f>
        <v>2543</v>
      </c>
      <c r="F25" s="75">
        <f>SUM(F11:F24)</f>
        <v>3467</v>
      </c>
      <c r="G25" s="75">
        <f>F25</f>
        <v>3467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924</v>
      </c>
      <c r="F3" s="79" t="s">
        <v>1</v>
      </c>
      <c r="I3" s="80">
        <f>'Programa CAJAS REPORTE DIARIO'!CH77+CN79</f>
        <v>3467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16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924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201</v>
      </c>
      <c r="CP27" s="27">
        <f t="shared" si="4"/>
        <v>201</v>
      </c>
      <c r="CQ27" s="22">
        <v>0</v>
      </c>
      <c r="CR27" s="22">
        <f t="shared" si="5"/>
        <v>201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4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117</v>
      </c>
      <c r="CP29" s="27">
        <f t="shared" si="4"/>
        <v>117</v>
      </c>
      <c r="CQ29" s="22">
        <v>0</v>
      </c>
      <c r="CR29" s="22">
        <f t="shared" si="5"/>
        <v>117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289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10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72</v>
      </c>
      <c r="CP56" s="27">
        <f t="shared" si="11"/>
        <v>72</v>
      </c>
      <c r="CQ56" s="22">
        <v>0</v>
      </c>
      <c r="CR56" s="22">
        <f t="shared" si="12"/>
        <v>72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-72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16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924</v>
      </c>
      <c r="CP79" s="25">
        <f>+SUM(CP14:CP78)</f>
        <v>924</v>
      </c>
      <c r="CQ79" s="25">
        <f>+SUM(CQ14:CQ78)</f>
        <v>0</v>
      </c>
      <c r="CR79" s="25">
        <f>+SUM(CR14:CR78)</f>
        <v>924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6342.5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2543</v>
      </c>
      <c r="F3" s="79" t="s">
        <v>1</v>
      </c>
      <c r="I3" s="80">
        <f>'Programa CASETAS REPORTE DIARIO'!CN79+CH77</f>
        <v>3467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68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2543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5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442</v>
      </c>
      <c r="CJ27" s="27">
        <f t="shared" si="3"/>
        <v>442</v>
      </c>
      <c r="CK27" s="22">
        <v>0</v>
      </c>
      <c r="CL27" s="22">
        <f t="shared" si="4"/>
        <v>442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4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331</v>
      </c>
      <c r="CJ28" s="27">
        <f t="shared" si="3"/>
        <v>331</v>
      </c>
      <c r="CK28" s="22">
        <v>0</v>
      </c>
      <c r="CL28" s="22">
        <f t="shared" si="4"/>
        <v>331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-151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107</v>
      </c>
      <c r="CJ29" s="27">
        <f t="shared" si="3"/>
        <v>107</v>
      </c>
      <c r="CK29" s="22">
        <v>0</v>
      </c>
      <c r="CL29" s="22">
        <f t="shared" si="4"/>
        <v>107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1229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1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164</v>
      </c>
      <c r="CJ35" s="27">
        <f t="shared" si="3"/>
        <v>164</v>
      </c>
      <c r="CK35" s="22">
        <v>0</v>
      </c>
      <c r="CL35" s="22">
        <f t="shared" si="4"/>
        <v>164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24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110</v>
      </c>
      <c r="CJ37" s="27">
        <f t="shared" si="3"/>
        <v>110</v>
      </c>
      <c r="CK37" s="22">
        <v>0</v>
      </c>
      <c r="CL37" s="22">
        <f t="shared" si="4"/>
        <v>110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465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6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65</v>
      </c>
      <c r="CJ41" s="27">
        <f t="shared" si="3"/>
        <v>65</v>
      </c>
      <c r="CK41" s="22">
        <v>0</v>
      </c>
      <c r="CL41" s="22">
        <f t="shared" si="4"/>
        <v>65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515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7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183</v>
      </c>
      <c r="CJ43" s="27">
        <f t="shared" si="3"/>
        <v>183</v>
      </c>
      <c r="CK43" s="22">
        <v>0</v>
      </c>
      <c r="CL43" s="22">
        <f t="shared" si="4"/>
        <v>183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-163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5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178</v>
      </c>
      <c r="CJ53" s="27">
        <f t="shared" si="11"/>
        <v>178</v>
      </c>
      <c r="CK53" s="22">
        <v>0</v>
      </c>
      <c r="CL53" s="22">
        <f t="shared" si="12"/>
        <v>178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-110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68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2543</v>
      </c>
      <c r="CJ77" s="25">
        <f>+SUM(CJ14:CJ76)</f>
        <v>2543</v>
      </c>
      <c r="CK77" s="25">
        <f>+SUM(CK14:CK76)</f>
        <v>0</v>
      </c>
      <c r="CL77" s="25">
        <f>+SUM(CL14:CL76)</f>
        <v>2543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8851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2026-10-30T16:41:12Z</dcterms:modified>
</cp:coreProperties>
</file>