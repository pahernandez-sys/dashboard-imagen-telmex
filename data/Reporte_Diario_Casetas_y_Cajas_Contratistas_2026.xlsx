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B1F055B-F4A4-4E2F-88D0-DDEC3031845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Q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27" i="2" l="1"/>
  <c r="CW71" i="2"/>
  <c r="AT13" i="3"/>
  <c r="E23" i="1"/>
  <c r="E22" i="1"/>
  <c r="AS13" i="3"/>
  <c r="E21" i="1"/>
  <c r="AR13" i="3"/>
  <c r="AQ13" i="3"/>
  <c r="E20" i="1"/>
  <c r="E19" i="1"/>
  <c r="AP13" i="3"/>
  <c r="E18" i="1"/>
  <c r="AO13" i="3"/>
  <c r="E17" i="1"/>
  <c r="AN13" i="3"/>
  <c r="E16" i="1"/>
  <c r="AM13" i="3"/>
  <c r="AL13" i="3"/>
  <c r="E15" i="1"/>
  <c r="AK13" i="3"/>
  <c r="E14" i="1"/>
  <c r="E13" i="1"/>
  <c r="AJ13" i="3"/>
  <c r="E12" i="1"/>
  <c r="AI13" i="3"/>
  <c r="E11" i="1"/>
  <c r="AH13" i="3"/>
  <c r="CJ20" i="3"/>
  <c r="CH77" i="3"/>
  <c r="CP19" i="3"/>
  <c r="CQ19" i="3" s="1"/>
  <c r="CO77" i="3"/>
  <c r="CQ14" i="3"/>
  <c r="CP77" i="3"/>
  <c r="CL14" i="3"/>
  <c r="CJ77" i="3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F12" i="1" s="1"/>
  <c r="AB13" i="2"/>
  <c r="D11" i="1"/>
  <c r="CP18" i="2"/>
  <c r="CN79" i="2"/>
  <c r="CV17" i="2"/>
  <c r="CW17" i="2" s="1"/>
  <c r="CU79" i="2"/>
  <c r="CW14" i="2"/>
  <c r="CV79" i="2"/>
  <c r="CR14" i="2"/>
  <c r="CP79" i="2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1" i="3"/>
  <c r="CQ18" i="3"/>
  <c r="CQ17" i="3"/>
  <c r="CQ16" i="3"/>
  <c r="CQ15" i="3"/>
  <c r="E24" i="1" l="1"/>
  <c r="F23" i="1"/>
  <c r="F22" i="1"/>
  <c r="F21" i="1"/>
  <c r="F20" i="1"/>
  <c r="F19" i="1"/>
  <c r="F18" i="1"/>
  <c r="F17" i="1"/>
  <c r="F16" i="1"/>
  <c r="F15" i="1"/>
  <c r="F14" i="1"/>
  <c r="F13" i="1"/>
  <c r="CQ20" i="3"/>
  <c r="CQ77" i="3" s="1"/>
  <c r="CL20" i="3"/>
  <c r="CL77" i="3" s="1"/>
  <c r="E6" i="1"/>
  <c r="CH13" i="3"/>
  <c r="I3" i="2"/>
  <c r="D3" i="3"/>
  <c r="F11" i="1"/>
  <c r="D24" i="1"/>
  <c r="CW18" i="2"/>
  <c r="CW79" i="2" s="1"/>
  <c r="CR18" i="2"/>
  <c r="CR79" i="2" s="1"/>
  <c r="B6" i="1"/>
  <c r="D3" i="2"/>
  <c r="CN13" i="2"/>
  <c r="I3" i="3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<sst xmlns="http://schemas.openxmlformats.org/spreadsheetml/2006/main" count="589" uniqueCount="175">
  <si>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</si>
  <si>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</si>
  <si>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</si>
  <si>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</si>
  <si>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</si>
  <si>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</si>
  <si>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</si>
  <si>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</si>
  <si>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</si>
  <si>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</si>
  <si>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</si>
  <si>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</si>
  <si>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</si>
  <si>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</si>
  <si>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</si>
  <si>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</si>
  <si>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</si>
  <si>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</si>
  <si>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</si>
  <si>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</si>
  <si>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</si>
  <si>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</si>
  <si>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</si>
  <si>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</si>
  <si>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</si>
  <si>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</si>
  <si>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</si>
  <si>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</si>
  <si>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</si>
  <si>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</si>
  <si>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</si>
  <si>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</si>
  <si>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</si>
  <si>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</si>
  <si>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</si>
  <si>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</si>
  <si>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</si>
  <si>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</si>
  <si>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</si>
  <si>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</si>
  <si>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</si>
  <si>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</si>
  <si>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</si>
  <si>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</si>
  <si>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</si>
  <si>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</si>
  <si>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</si>
  <si>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</si>
  <si>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</si>
  <si>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</si>
  <si>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</si>
  <si>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</si>
  <si>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</si>
  <si>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</si>
  <si>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</si>
  <si>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</si>
  <si>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</si>
  <si>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</si>
  <si>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</si>
  <si>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</si>
  <si>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</si>
  <si>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</si>
  <si>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</si>
  <si>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</si>
  <si>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</si>
  <si>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</si>
  <si>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</si>
  <si>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</si>
  <si>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</si>
  <si>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</si>
  <si>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</si>
  <si>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</si>
  <si>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</si>
  <si>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</si>
  <si>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</si>
  <si>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</si>
  <si>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</si>
  <si>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</si>
  <si>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</si>
  <si>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</si>
  <si>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</si>
  <si>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</si>
  <si>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</si>
  <si>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</si>
  <si>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</si>
  <si>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</si>
  <si>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</si>
  <si>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</si>
  <si>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</si>
  <si>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</si>
  <si>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</si>
  <si>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</si>
  <si>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</si>
  <si>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</si>
  <si>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</si>
  <si>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</si>
  <si>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</si>
  <si>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</si>
  <si>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</si>
  <si>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</si>
  <si>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</si>
  <si>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</si>
  <si>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</si>
  <si>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</si>
  <si>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</si>
  <si>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</si>
  <si>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</si>
  <si>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</si>
  <si>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</si>
  <si>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</si>
  <si>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</si>
  <si>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</si>
  <si>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10:13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</si>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</sst>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672</v>
      </c>
      <c r="C6" s="89"/>
      <c r="E6" s="88">
        <f>'Programa CAJAS REPORTE DIARIO'!CH77</f>
        <v>1837</v>
      </c>
      <c r="F6" s="89"/>
      <c r="H6" s="101">
        <f>B6+E6</f>
        <v>2509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13</v>
      </c>
      <c r="E23" s="70">
        <f>'Programa CAJAS REPORTE DIARIO'!AT77</f>
        <v>108</v>
      </c>
      <c r="F23" s="70">
        <f t="shared" si="0"/>
        <v>121</v>
      </c>
      <c r="G23" s="70">
        <f t="shared" si="1"/>
        <v>2509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672</v>
      </c>
      <c r="E24" s="75">
        <f>SUM(E11:E23)</f>
        <v>1837</v>
      </c>
      <c r="F24" s="75">
        <f>SUM(F11:F23)</f>
        <v>2509</v>
      </c>
      <c r="G24" s="75">
        <f>F24</f>
        <v>2509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672</v>
      </c>
      <c r="F3" s="79" t="s">
        <v>1</v>
      </c>
      <c r="I3" s="80">
        <f>'Programa CAJAS REPORTE DIARIO'!CH77+CN79</f>
        <v>2509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88</v>
      </c>
      <c r="CP29" s="27">
        <f t="shared" si="4"/>
        <v>88</v>
      </c>
      <c r="CQ29" s="22">
        <v>0</v>
      </c>
      <c r="CR29" s="22">
        <f t="shared" si="5"/>
        <v>88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1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</v>
      </c>
      <c r="CP56" s="27">
        <f t="shared" si="11"/>
        <v>1</v>
      </c>
      <c r="CQ56" s="22">
        <v>0</v>
      </c>
      <c r="CR56" s="22">
        <f t="shared" si="12"/>
        <v>1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672</v>
      </c>
      <c r="CP79" s="25">
        <f>+SUM(CP14:CP78)</f>
        <v>672</v>
      </c>
      <c r="CQ79" s="25">
        <f>+SUM(CQ14:CQ78)</f>
        <v>0</v>
      </c>
      <c r="CR79" s="25">
        <f>+SUM(CR14:CR78)</f>
        <v>672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6410.5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1837</v>
      </c>
      <c r="F3" s="79" t="s">
        <v>1</v>
      </c>
      <c r="I3" s="80">
        <f>'Programa CASETAS REPORTE DIARIO'!CN79+CH77</f>
        <v>2509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108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1837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371</v>
      </c>
      <c r="CJ27" s="27">
        <f t="shared" si="3"/>
        <v>371</v>
      </c>
      <c r="CK27" s="22">
        <v>0</v>
      </c>
      <c r="CL27" s="22">
        <f t="shared" si="4"/>
        <v>371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285</v>
      </c>
      <c r="CJ28" s="27">
        <f t="shared" si="3"/>
        <v>285</v>
      </c>
      <c r="CK28" s="22">
        <v>0</v>
      </c>
      <c r="CL28" s="22">
        <f t="shared" si="4"/>
        <v>285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8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115</v>
      </c>
      <c r="CJ43" s="27">
        <f t="shared" si="3"/>
        <v>115</v>
      </c>
      <c r="CK43" s="22">
        <v>0</v>
      </c>
      <c r="CL43" s="22">
        <f t="shared" si="4"/>
        <v>115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51</v>
      </c>
      <c r="CJ61" s="27">
        <f t="shared" si="11"/>
        <v>51</v>
      </c>
      <c r="CK61" s="22">
        <v>0</v>
      </c>
      <c r="CL61" s="22">
        <f t="shared" si="12"/>
        <v>51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108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1837</v>
      </c>
      <c r="CJ77" s="25">
        <f>+SUM(CJ14:CJ76)</f>
        <v>1837</v>
      </c>
      <c r="CK77" s="25">
        <f>+SUM(CK14:CK76)</f>
        <v>0</v>
      </c>
      <c r="CL77" s="25">
        <f>+SUM(CL14:CL76)</f>
        <v>1837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6670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2026-10-29T16:13:43Z</dcterms:modified>
</cp:coreProperties>
</file>