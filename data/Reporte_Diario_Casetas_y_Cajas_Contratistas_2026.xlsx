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FEE7E472-CE21-4FFD-B92A-1F1E9E5993F4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W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78" i="2" l="1"/>
  <c r="CW74" i="2"/>
  <c r="CW72" i="2"/>
  <c r="CW41" i="2"/>
  <c r="AT13" i="3"/>
  <c r="E23" i="1"/>
  <c r="F23" i="1" s="1"/>
  <c r="E22" i="1"/>
  <c r="F22" i="1" s="1"/>
  <c r="AS13" i="3"/>
  <c r="E21" i="1"/>
  <c r="F21" i="1" s="1"/>
  <c r="AR13" i="3"/>
  <c r="AQ13" i="3"/>
  <c r="E20" i="1"/>
  <c r="F20" i="1" s="1"/>
  <c r="E19" i="1"/>
  <c r="F19" i="1" s="1"/>
  <c r="AP13" i="3"/>
  <c r="AO13" i="3"/>
  <c r="E18" i="1"/>
  <c r="F18" i="1" s="1"/>
  <c r="E17" i="1"/>
  <c r="F17" i="1" s="1"/>
  <c r="AN13" i="3"/>
  <c r="AM13" i="3"/>
  <c r="E16" i="1"/>
  <c r="F16" i="1" s="1"/>
  <c r="AL13" i="3"/>
  <c r="E15" i="1"/>
  <c r="F15" i="1" s="1"/>
  <c r="E14" i="1"/>
  <c r="F14" i="1" s="1"/>
  <c r="AK13" i="3"/>
  <c r="E13" i="1"/>
  <c r="F13" i="1" s="1"/>
  <c r="AJ13" i="3"/>
  <c r="E12" i="1"/>
  <c r="F12" i="1" s="1"/>
  <c r="AI13" i="3"/>
  <c r="E11" i="1"/>
  <c r="AH13" i="3"/>
  <c r="CH77" i="3"/>
  <c r="CJ46" i="3"/>
  <c r="CP32" i="3"/>
  <c r="CQ32" i="3" s="1"/>
  <c r="CO77" i="3"/>
  <c r="CQ14" i="3"/>
  <c r="CP77" i="3"/>
  <c r="CL14" i="3"/>
  <c r="CJ77" i="3"/>
  <c r="F11" i="1"/>
  <c r="D24" i="1"/>
  <c r="CU79" i="2"/>
  <c r="CV14" i="2"/>
  <c r="CN79" i="2"/>
  <c r="CP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W70" i="2"/>
  <c r="CQ53" i="3"/>
  <c r="CQ52" i="3"/>
  <c r="CQ51" i="3"/>
  <c r="CQ50" i="3"/>
  <c r="CQ49" i="3"/>
  <c r="CQ48" i="3"/>
  <c r="CQ47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7" i="2"/>
  <c r="CW75" i="2"/>
  <c r="CW73" i="2"/>
  <c r="CW71" i="2"/>
  <c r="CW69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76" i="2"/>
  <c r="CW68" i="2"/>
  <c r="CW16" i="2"/>
  <c r="CW15" i="2"/>
  <c r="E24" i="1" l="1"/>
  <c r="D3" i="3"/>
  <c r="I3" i="2"/>
  <c r="E6" i="1"/>
  <c r="CH13" i="3"/>
  <c r="CQ46" i="3"/>
  <c r="CQ77" i="3" s="1"/>
  <c r="CL46" i="3"/>
  <c r="CL77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W14" i="2"/>
  <c r="CW79" i="2" s="1"/>
  <c r="CV79" i="2"/>
  <c r="B6" i="1"/>
  <c r="D3" i="2"/>
  <c r="I3" i="3"/>
  <c r="CN13" i="2"/>
  <c r="CP79" i="2"/>
  <c r="CR14" i="2"/>
  <c r="CR79" i="2" s="1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<sst xmlns="http://schemas.openxmlformats.org/spreadsheetml/2006/main" count="589" uniqueCount="175">
  <si>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</si>
  <si>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</si>
  <si>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</si>
  <si>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</si>
  <si>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</si>
  <si>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</si>
  <si>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</si>
  <si>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</si>
  <si>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</si>
  <si>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</si>
  <si>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</si>
  <si>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</si>
  <si>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</si>
  <si>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</si>
  <si>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</si>
  <si>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</si>
  <si>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</si>
  <si>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</si>
  <si>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</si>
  <si>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</si>
  <si>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</si>
  <si>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</si>
  <si>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</si>
  <si>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</si>
  <si>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</si>
  <si>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</si>
  <si>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</si>
  <si>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</si>
  <si>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</si>
  <si>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</si>
  <si>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</si>
  <si>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</si>
  <si>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</si>
  <si>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</si>
  <si>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</si>
  <si>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</si>
  <si>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</si>
  <si>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</si>
  <si>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</si>
  <si>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</si>
  <si>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</si>
  <si>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</si>
  <si>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</si>
  <si>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</si>
  <si>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</si>
  <si>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</si>
  <si>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</si>
  <si>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</si>
  <si>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</si>
  <si>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</si>
  <si>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</si>
  <si>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</si>
  <si>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</si>
  <si>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</si>
  <si>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</si>
  <si>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</si>
  <si>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</si>
  <si>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</si>
  <si>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</si>
  <si>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</si>
  <si>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</si>
  <si>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</si>
  <si>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</si>
  <si>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</si>
  <si>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</si>
  <si>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</si>
  <si>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</si>
  <si>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</si>
  <si>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</si>
  <si>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</si>
  <si>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</si>
  <si>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</si>
  <si>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</si>
  <si>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</si>
  <si>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</si>
  <si>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</si>
  <si>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</si>
  <si>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</si>
  <si>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</si>
  <si>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</si>
  <si>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</si>
  <si>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</si>
  <si>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</si>
  <si>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</si>
  <si>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</si>
  <si>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</si>
  <si>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</si>
  <si>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</si>
  <si>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</si>
  <si>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</si>
  <si>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</si>
  <si>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</si>
  <si>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</si>
  <si>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</si>
  <si>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</si>
  <si>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</si>
  <si>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</si>
  <si>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</si>
  <si>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</si>
  <si>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</si>
  <si>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</si>
  <si>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</si>
  <si>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</si>
  <si>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</si>
  <si>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</si>
  <si>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</si>
  <si>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</si>
  <si>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</si>
  <si>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</si>
  <si>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</si>
  <si>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</si>
  <si>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</si>
  <si>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14:38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</si>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</sst>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777</v>
      </c>
      <c r="C6" s="89"/>
      <c r="E6" s="88">
        <f>'Programa CAJAS REPORTE DIARIO'!CH77</f>
        <v>2079</v>
      </c>
      <c r="F6" s="89"/>
      <c r="H6" s="101">
        <f>B6+E6</f>
        <v>2856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118</v>
      </c>
      <c r="E23" s="70">
        <f>'Programa CAJAS REPORTE DIARIO'!AT77</f>
        <v>350</v>
      </c>
      <c r="F23" s="70">
        <f t="shared" si="0"/>
        <v>468</v>
      </c>
      <c r="G23" s="70">
        <f t="shared" si="1"/>
        <v>2856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777</v>
      </c>
      <c r="E24" s="75">
        <f>SUM(E11:E23)</f>
        <v>2079</v>
      </c>
      <c r="F24" s="75">
        <f>SUM(F11:F23)</f>
        <v>2856</v>
      </c>
      <c r="G24" s="75">
        <f>F24</f>
        <v>2856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777</v>
      </c>
      <c r="F3" s="79" t="s">
        <v>1</v>
      </c>
      <c r="I3" s="80">
        <f>'Programa CAJAS REPORTE DIARIO'!CH77+CN79</f>
        <v>2856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118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777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6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189</v>
      </c>
      <c r="CP27" s="27">
        <f t="shared" si="4"/>
        <v>189</v>
      </c>
      <c r="CQ27" s="22">
        <v>0</v>
      </c>
      <c r="CR27" s="22">
        <f t="shared" si="5"/>
        <v>189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181.5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22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167</v>
      </c>
      <c r="CP28" s="27">
        <f t="shared" si="4"/>
        <v>167</v>
      </c>
      <c r="CQ28" s="22">
        <v>0</v>
      </c>
      <c r="CR28" s="22">
        <f t="shared" si="5"/>
        <v>167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1210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26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112</v>
      </c>
      <c r="CP29" s="27">
        <f t="shared" si="4"/>
        <v>112</v>
      </c>
      <c r="CQ29" s="22">
        <v>0</v>
      </c>
      <c r="CR29" s="22">
        <f t="shared" si="5"/>
        <v>112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</v>
      </c>
      <c r="CP37" s="27">
        <f t="shared" si="4"/>
        <v>2</v>
      </c>
      <c r="CQ37" s="22">
        <v>0</v>
      </c>
      <c r="CR37" s="22">
        <f t="shared" si="5"/>
        <v>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12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82</v>
      </c>
      <c r="CP42" s="27">
        <f t="shared" si="4"/>
        <v>82</v>
      </c>
      <c r="CQ42" s="22">
        <v>0</v>
      </c>
      <c r="CR42" s="22">
        <f t="shared" si="5"/>
        <v>82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-82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37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37</v>
      </c>
      <c r="CP56" s="27">
        <f t="shared" si="11"/>
        <v>37</v>
      </c>
      <c r="CQ56" s="22">
        <v>0</v>
      </c>
      <c r="CR56" s="22">
        <f t="shared" si="12"/>
        <v>37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-37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118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777</v>
      </c>
      <c r="CP79" s="25">
        <f>+SUM(CP14:CP78)</f>
        <v>777</v>
      </c>
      <c r="CQ79" s="25">
        <f>+SUM(CQ14:CQ78)</f>
        <v>0</v>
      </c>
      <c r="CR79" s="25">
        <f>+SUM(CR14:CR78)</f>
        <v>777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6489.5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2079</v>
      </c>
      <c r="F3" s="79" t="s">
        <v>1</v>
      </c>
      <c r="I3" s="80">
        <f>'Programa CASETAS REPORTE DIARIO'!CN79+CH77</f>
        <v>2856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350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2079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38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403</v>
      </c>
      <c r="CJ27" s="27">
        <f t="shared" si="3"/>
        <v>403</v>
      </c>
      <c r="CK27" s="22">
        <v>0</v>
      </c>
      <c r="CL27" s="22">
        <f t="shared" si="4"/>
        <v>403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383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32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312</v>
      </c>
      <c r="CJ28" s="27">
        <f t="shared" si="3"/>
        <v>312</v>
      </c>
      <c r="CK28" s="22">
        <v>0</v>
      </c>
      <c r="CL28" s="22">
        <f t="shared" si="4"/>
        <v>312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13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50</v>
      </c>
      <c r="CJ29" s="27">
        <f t="shared" si="3"/>
        <v>50</v>
      </c>
      <c r="CK29" s="22">
        <v>0</v>
      </c>
      <c r="CL29" s="22">
        <f t="shared" si="4"/>
        <v>50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1286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54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147</v>
      </c>
      <c r="CJ35" s="27">
        <f t="shared" si="3"/>
        <v>147</v>
      </c>
      <c r="CK35" s="22">
        <v>0</v>
      </c>
      <c r="CL35" s="22">
        <f t="shared" si="4"/>
        <v>147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-48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11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54</v>
      </c>
      <c r="CJ37" s="27">
        <f t="shared" si="3"/>
        <v>54</v>
      </c>
      <c r="CK37" s="22">
        <v>0</v>
      </c>
      <c r="CL37" s="22">
        <f t="shared" si="4"/>
        <v>54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521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34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141</v>
      </c>
      <c r="CJ43" s="27">
        <f t="shared" si="3"/>
        <v>141</v>
      </c>
      <c r="CK43" s="22">
        <v>0</v>
      </c>
      <c r="CL43" s="22">
        <f t="shared" si="4"/>
        <v>141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-121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271</v>
      </c>
      <c r="CJ46" s="27">
        <f t="shared" ref="CJ46:CJ76" si="11">CH46</f>
        <v>271</v>
      </c>
      <c r="CK46" s="22">
        <v>0</v>
      </c>
      <c r="CL46" s="22">
        <f t="shared" ref="CL46:CL77" si="12">CJ46+CK46</f>
        <v>271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80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85</v>
      </c>
      <c r="CJ53" s="27">
        <f t="shared" si="11"/>
        <v>85</v>
      </c>
      <c r="CK53" s="22">
        <v>0</v>
      </c>
      <c r="CL53" s="22">
        <f t="shared" si="12"/>
        <v>85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-17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14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61</v>
      </c>
      <c r="CJ61" s="27">
        <f t="shared" si="11"/>
        <v>61</v>
      </c>
      <c r="CK61" s="22">
        <v>0</v>
      </c>
      <c r="CL61" s="22">
        <f t="shared" si="12"/>
        <v>61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-29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13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87</v>
      </c>
      <c r="CJ70" s="27">
        <f t="shared" si="11"/>
        <v>87</v>
      </c>
      <c r="CK70" s="22">
        <v>0</v>
      </c>
      <c r="CL70" s="22">
        <f t="shared" si="12"/>
        <v>87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350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2079</v>
      </c>
      <c r="CJ77" s="25">
        <f>+SUM(CJ14:CJ76)</f>
        <v>2079</v>
      </c>
      <c r="CK77" s="25">
        <f>+SUM(CK14:CK76)</f>
        <v>0</v>
      </c>
      <c r="CL77" s="25">
        <f>+SUM(CL14:CL76)</f>
        <v>2079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9153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2026-10-29T20:38:35Z</dcterms:modified>
</cp:coreProperties>
</file>