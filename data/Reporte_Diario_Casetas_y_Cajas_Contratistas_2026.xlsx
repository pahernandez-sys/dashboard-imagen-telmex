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E387D09-FA57-4295-8570-CFC275BE4AF5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68" i="2" l="1"/>
  <c r="CW58" i="2"/>
  <c r="CW54" i="2"/>
  <c r="CQ62" i="3"/>
  <c r="CQ59" i="3"/>
  <c r="CQ53" i="3"/>
  <c r="CQ47" i="3"/>
  <c r="CW44" i="2"/>
  <c r="CW62" i="2"/>
  <c r="AT13" i="3"/>
  <c r="E23" i="1"/>
  <c r="AS13" i="3"/>
  <c r="E22" i="1"/>
  <c r="E21" i="1"/>
  <c r="AR13" i="3"/>
  <c r="AQ13" i="3"/>
  <c r="E20" i="1"/>
  <c r="AP13" i="3"/>
  <c r="E19" i="1"/>
  <c r="E18" i="1"/>
  <c r="AO13" i="3"/>
  <c r="AN13" i="3"/>
  <c r="E17" i="1"/>
  <c r="AM13" i="3"/>
  <c r="E16" i="1"/>
  <c r="E15" i="1"/>
  <c r="AL13" i="3"/>
  <c r="AK13" i="3"/>
  <c r="E14" i="1"/>
  <c r="AJ13" i="3"/>
  <c r="E13" i="1"/>
  <c r="AI13" i="3"/>
  <c r="E12" i="1"/>
  <c r="AH13" i="3"/>
  <c r="E11" i="1"/>
  <c r="E24" i="1" s="1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D24" i="1"/>
  <c r="CV30" i="2"/>
  <c r="CU79" i="2"/>
  <c r="CN79" i="2"/>
  <c r="CP17" i="2"/>
  <c r="CP79" i="2" s="1"/>
  <c r="CW14" i="2"/>
  <c r="CR14" i="2"/>
  <c r="CQ56" i="3"/>
  <c r="CQ52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61" i="2"/>
  <c r="CW60" i="2"/>
  <c r="CW59" i="2"/>
  <c r="CW55" i="2"/>
  <c r="CQ50" i="3"/>
  <c r="CW78" i="2"/>
  <c r="CW77" i="2"/>
  <c r="CW76" i="2"/>
  <c r="CW75" i="2"/>
  <c r="CW74" i="2"/>
  <c r="CW73" i="2"/>
  <c r="CW72" i="2"/>
  <c r="CW71" i="2"/>
  <c r="CW70" i="2"/>
  <c r="CW69" i="2"/>
  <c r="CW66" i="2"/>
  <c r="CW65" i="2"/>
  <c r="CW63" i="2"/>
  <c r="CW56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Q63" i="3"/>
  <c r="CQ60" i="3"/>
  <c r="CQ57" i="3"/>
  <c r="CQ54" i="3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1" i="3"/>
  <c r="CQ58" i="3"/>
  <c r="CQ55" i="3"/>
  <c r="CQ51" i="3"/>
  <c r="CQ49" i="3"/>
  <c r="CW30" i="2" l="1"/>
  <c r="CV79" i="2"/>
  <c r="CQ14" i="3"/>
  <c r="CQ77" i="3" s="1"/>
  <c r="CP77" i="3"/>
  <c r="CJ77" i="3"/>
  <c r="CL14" i="3"/>
  <c r="CL77" i="3" s="1"/>
  <c r="I3" i="2"/>
  <c r="D3" i="3"/>
  <c r="CH13" i="3"/>
  <c r="E6" i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I3" i="3"/>
  <c r="D3" i="2"/>
  <c r="CN13" i="2"/>
  <c r="B6" i="1"/>
  <c r="CW17" i="2"/>
  <c r="CW79" i="2" s="1"/>
  <c r="CR17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<sst xmlns="http://schemas.openxmlformats.org/spreadsheetml/2006/main" count="589" uniqueCount="175">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</sst>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2471</v>
      </c>
      <c r="F6" s="89"/>
      <c r="H6" s="101">
        <f>B6+E6</f>
        <v>3379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742</v>
      </c>
      <c r="F23" s="70">
        <f t="shared" si="0"/>
        <v>991</v>
      </c>
      <c r="G23" s="70">
        <f t="shared" si="1"/>
        <v>3379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2471</v>
      </c>
      <c r="F24" s="75">
        <f>SUM(F11:F23)</f>
        <v>3379</v>
      </c>
      <c r="G24" s="75">
        <f>F24</f>
        <v>3379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3379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2471</v>
      </c>
      <c r="F3" s="79" t="s">
        <v>1</v>
      </c>
      <c r="I3" s="80">
        <f>'Programa CASETAS REPORTE DIARIO'!CN79+CH77</f>
        <v>3379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11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55</v>
      </c>
      <c r="CJ41" s="27">
        <f t="shared" si="3"/>
        <v>55</v>
      </c>
      <c r="CK41" s="22">
        <v>0</v>
      </c>
      <c r="CL41" s="22">
        <f t="shared" si="4"/>
        <v>55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425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2471</v>
      </c>
      <c r="CJ77" s="25">
        <f>+SUM(CJ14:CJ76)</f>
        <v>2471</v>
      </c>
      <c r="CK77" s="25">
        <f>+SUM(CK14:CK76)</f>
        <v>0</v>
      </c>
      <c r="CL77" s="25">
        <f>+SUM(CL14:CL76)</f>
        <v>2471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2026-10-30T03:08:19Z</dcterms:modified>
</cp:coreProperties>
</file>