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FC9A86E-259A-4543-ADCC-DE422CC537E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Q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E22" i="1" l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Q17" i="3"/>
  <c r="CQ15" i="3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O77" i="3"/>
  <c r="CP14" i="3"/>
  <c r="CH77" i="3"/>
  <c r="CJ14" i="3"/>
  <c r="F11" i="1"/>
  <c r="D23" i="1"/>
  <c r="CU79" i="2"/>
  <c r="CV14" i="2"/>
  <c r="CP14" i="2"/>
  <c r="CN79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28" i="3"/>
  <c r="CQ27" i="3"/>
  <c r="CQ26" i="3"/>
  <c r="CQ25" i="3"/>
  <c r="CQ24" i="3"/>
  <c r="CQ23" i="3"/>
  <c r="CQ22" i="3"/>
  <c r="CQ21" i="3"/>
  <c r="CQ20" i="3"/>
  <c r="CQ19" i="3"/>
  <c r="CQ16" i="3"/>
  <c r="CP77" i="3" l="1"/>
  <c r="CQ14" i="3"/>
  <c r="CQ77" i="3" s="1"/>
  <c r="I3" i="2"/>
  <c r="E6" i="1"/>
  <c r="CH13" i="3"/>
  <c r="D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I3" i="3"/>
  <c r="D3" i="2"/>
  <c r="CN13" i="2"/>
  <c r="B6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<sst xmlns="http://schemas.openxmlformats.org/spreadsheetml/2006/main" count="586" uniqueCount="174">
  <si>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</si>
  <si>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</si>
  <si>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</si>
  <si>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</si>
  <si>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</si>
  <si>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</si>
  <si>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</si>
  <si>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</si>
  <si>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</si>
  <si>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</si>
  <si>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</si>
  <si>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</si>
  <si>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</si>
  <si>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</si>
  <si>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</si>
  <si>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</si>
  <si>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</si>
  <si>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</si>
  <si>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</si>
  <si>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</si>
  <si>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</si>
  <si>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</si>
  <si>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</si>
  <si>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</si>
  <si>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</si>
  <si>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</si>
  <si>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</si>
  <si>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</si>
  <si>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</si>
  <si>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</si>
  <si>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</si>
  <si>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</si>
  <si>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</si>
  <si>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</si>
  <si>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</si>
  <si>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</si>
  <si>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</si>
  <si>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</si>
  <si>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</si>
  <si>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</si>
  <si>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</si>
  <si>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</si>
  <si>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</si>
  <si>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</si>
  <si>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</si>
  <si>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</si>
  <si>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</si>
  <si>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</si>
  <si>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</si>
  <si>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</si>
  <si>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</si>
  <si>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</si>
  <si>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</si>
  <si>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</si>
  <si>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</si>
  <si>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</si>
  <si>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</si>
  <si>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</si>
  <si>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</si>
  <si>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</si>
  <si>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</si>
  <si>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</si>
  <si>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</si>
  <si>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</si>
  <si>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</si>
  <si>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</si>
  <si>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</si>
  <si>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</si>
  <si>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</si>
  <si>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</si>
  <si>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</si>
  <si>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</si>
  <si>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</si>
  <si>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</si>
  <si>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</si>
  <si>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</si>
  <si>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</si>
  <si>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</si>
  <si>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</si>
  <si>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</si>
  <si>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</si>
  <si>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</si>
  <si>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</si>
  <si>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</si>
  <si>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</si>
  <si>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</si>
  <si>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</si>
  <si>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</si>
  <si>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</si>
  <si>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</si>
  <si>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</si>
  <si>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</si>
  <si>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</si>
  <si>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</si>
  <si>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</si>
  <si>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</si>
  <si>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</si>
  <si>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</si>
  <si>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</si>
  <si>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</si>
  <si>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</si>
  <si>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</si>
  <si>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</si>
  <si>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</si>
  <si>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</si>
  <si>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</si>
  <si>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</si>
  <si>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</si>
  <si>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</si>
  <si>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</si>
  <si>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</si>
  <si>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</si>
  <si>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15:43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</si>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</sst>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616</v>
      </c>
      <c r="C6" s="89"/>
      <c r="E6" s="88">
        <f>'Programa CAJAS REPORTE DIARIO'!CH77</f>
        <v>1557</v>
      </c>
      <c r="F6" s="89"/>
      <c r="H6" s="101">
        <f>B6+E6</f>
        <v>2173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134</v>
      </c>
      <c r="E22" s="72">
        <f>'Programa CAJAS REPORTE DIARIO'!AS77</f>
        <v>232</v>
      </c>
      <c r="F22" s="72">
        <f t="shared" si="0"/>
        <v>366</v>
      </c>
      <c r="G22" s="72">
        <f t="shared" si="1"/>
        <v>2173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616</v>
      </c>
      <c r="E23" s="75">
        <f>SUM(E11:E22)</f>
        <v>1557</v>
      </c>
      <c r="F23" s="75">
        <f>SUM(F11:F22)</f>
        <v>2173</v>
      </c>
      <c r="G23" s="75">
        <f>F23</f>
        <v>2173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616</v>
      </c>
      <c r="F3" s="79" t="s">
        <v>1</v>
      </c>
      <c r="I3" s="80">
        <f>'Programa CAJAS REPORTE DIARIO'!CH77+CN79</f>
        <v>2173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16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59</v>
      </c>
      <c r="CP42" s="27">
        <f t="shared" si="4"/>
        <v>59</v>
      </c>
      <c r="CQ42" s="22">
        <v>0</v>
      </c>
      <c r="CR42" s="22">
        <f t="shared" si="5"/>
        <v>59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616</v>
      </c>
      <c r="CP79" s="25">
        <f>+SUM(CP14:CP78)</f>
        <v>616</v>
      </c>
      <c r="CQ79" s="25">
        <f>+SUM(CQ14:CQ78)</f>
        <v>0</v>
      </c>
      <c r="CR79" s="25">
        <f>+SUM(CR14:CR78)</f>
        <v>616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1557</v>
      </c>
      <c r="F3" s="79" t="s">
        <v>1</v>
      </c>
      <c r="I3" s="80">
        <f>'Programa CASETAS REPORTE DIARIO'!CN79+CH77</f>
        <v>2173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1557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361</v>
      </c>
      <c r="CJ27" s="27">
        <f t="shared" si="3"/>
        <v>361</v>
      </c>
      <c r="CK27" s="22">
        <v>0</v>
      </c>
      <c r="CL27" s="22">
        <f t="shared" si="4"/>
        <v>361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256</v>
      </c>
      <c r="CJ28" s="27">
        <f t="shared" si="3"/>
        <v>256</v>
      </c>
      <c r="CK28" s="22">
        <v>0</v>
      </c>
      <c r="CL28" s="22">
        <f t="shared" si="4"/>
        <v>256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43</v>
      </c>
      <c r="CJ36" s="27">
        <f t="shared" si="3"/>
        <v>43</v>
      </c>
      <c r="CK36" s="22">
        <v>0</v>
      </c>
      <c r="CL36" s="22">
        <f t="shared" si="4"/>
        <v>43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1557</v>
      </c>
      <c r="CJ77" s="25">
        <f>+SUM(CJ14:CJ76)</f>
        <v>1557</v>
      </c>
      <c r="CK77" s="25">
        <f>+SUM(CK14:CK76)</f>
        <v>0</v>
      </c>
      <c r="CL77" s="25">
        <f>+SUM(CL14:CL76)</f>
        <v>1557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6950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2026-10-28T21:43:35Z</dcterms:modified>
</cp:coreProperties>
</file>