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41F74B8-6EC2-4749-B948-2DADC927BADE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 s="1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V14" i="2" s="1"/>
  <c r="CN14" i="2"/>
  <c r="CP14" i="2" s="1"/>
  <c r="CQ63" i="3" l="1"/>
  <c r="CW69" i="2"/>
  <c r="CW68" i="2"/>
  <c r="CW67" i="2"/>
  <c r="CW64" i="2"/>
  <c r="CW63" i="2"/>
  <c r="CW61" i="2"/>
  <c r="CW59" i="2"/>
  <c r="CW58" i="2"/>
  <c r="CW56" i="2"/>
  <c r="CW55" i="2"/>
  <c r="AT13" i="3"/>
  <c r="E23" i="1"/>
  <c r="AS13" i="3"/>
  <c r="E22" i="1"/>
  <c r="E21" i="1"/>
  <c r="AR13" i="3"/>
  <c r="E20" i="1"/>
  <c r="AQ13" i="3"/>
  <c r="E19" i="1"/>
  <c r="AP13" i="3"/>
  <c r="AO13" i="3"/>
  <c r="E18" i="1"/>
  <c r="E17" i="1"/>
  <c r="AN13" i="3"/>
  <c r="AM13" i="3"/>
  <c r="E16" i="1"/>
  <c r="E15" i="1"/>
  <c r="AL13" i="3"/>
  <c r="E14" i="1"/>
  <c r="AK13" i="3"/>
  <c r="E13" i="1"/>
  <c r="AJ13" i="3"/>
  <c r="E12" i="1"/>
  <c r="AI13" i="3"/>
  <c r="AH13" i="3"/>
  <c r="E11" i="1"/>
  <c r="CQ18" i="3"/>
  <c r="CW62" i="2"/>
  <c r="CQ73" i="3"/>
  <c r="CQ35" i="3"/>
  <c r="CQ21" i="3"/>
  <c r="CW65" i="2"/>
  <c r="CW73" i="2"/>
  <c r="CW53" i="2"/>
  <c r="CW52" i="2"/>
  <c r="CW20" i="2"/>
  <c r="CW15" i="2"/>
  <c r="CW71" i="2"/>
  <c r="CR71" i="2"/>
  <c r="CO77" i="3"/>
  <c r="CP14" i="3"/>
  <c r="CH77" i="3"/>
  <c r="CJ14" i="3"/>
  <c r="AN13" i="2"/>
  <c r="D23" i="1"/>
  <c r="F23" i="1" s="1"/>
  <c r="AM13" i="2"/>
  <c r="D22" i="1"/>
  <c r="F22" i="1" s="1"/>
  <c r="AL13" i="2"/>
  <c r="D21" i="1"/>
  <c r="F21" i="1" s="1"/>
  <c r="D20" i="1"/>
  <c r="F20" i="1" s="1"/>
  <c r="AK13" i="2"/>
  <c r="D19" i="1"/>
  <c r="F19" i="1" s="1"/>
  <c r="AJ13" i="2"/>
  <c r="D18" i="1"/>
  <c r="F18" i="1" s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AB13" i="2"/>
  <c r="D11" i="1"/>
  <c r="CV30" i="2"/>
  <c r="CW30" i="2" s="1"/>
  <c r="CU79" i="2"/>
  <c r="CN79" i="2"/>
  <c r="CP17" i="2"/>
  <c r="CW14" i="2"/>
  <c r="CV79" i="2"/>
  <c r="CR14" i="2"/>
  <c r="CP79" i="2"/>
  <c r="CQ27" i="3"/>
  <c r="CQ72" i="3"/>
  <c r="CQ71" i="3"/>
  <c r="CQ70" i="3"/>
  <c r="CQ69" i="3"/>
  <c r="CQ68" i="3"/>
  <c r="CQ67" i="3"/>
  <c r="CQ66" i="3"/>
  <c r="CQ65" i="3"/>
  <c r="CQ64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3" i="3"/>
  <c r="CQ32" i="3"/>
  <c r="CQ30" i="3"/>
  <c r="CQ29" i="3"/>
  <c r="CQ28" i="3"/>
  <c r="CQ25" i="3"/>
  <c r="CQ24" i="3"/>
  <c r="CQ23" i="3"/>
  <c r="CQ20" i="3"/>
  <c r="CW78" i="2"/>
  <c r="CW74" i="2"/>
  <c r="CW70" i="2"/>
  <c r="CW57" i="2"/>
  <c r="CW72" i="2"/>
  <c r="CW66" i="2"/>
  <c r="CW60" i="2"/>
  <c r="CW54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29" i="2"/>
  <c r="CW28" i="2"/>
  <c r="CW27" i="2"/>
  <c r="CW26" i="2"/>
  <c r="CW25" i="2"/>
  <c r="CW24" i="2"/>
  <c r="CW23" i="2"/>
  <c r="CW22" i="2"/>
  <c r="CW21" i="2"/>
  <c r="CW19" i="2"/>
  <c r="CW18" i="2"/>
  <c r="CW16" i="2"/>
  <c r="CQ76" i="3"/>
  <c r="CQ75" i="3"/>
  <c r="CQ74" i="3"/>
  <c r="CQ37" i="3"/>
  <c r="CQ36" i="3"/>
  <c r="CQ34" i="3"/>
  <c r="CQ31" i="3"/>
  <c r="CQ26" i="3"/>
  <c r="CQ22" i="3"/>
  <c r="CQ19" i="3"/>
  <c r="CQ17" i="3"/>
  <c r="CQ16" i="3"/>
  <c r="CQ15" i="3"/>
  <c r="CW77" i="2"/>
  <c r="CW76" i="2"/>
  <c r="CW75" i="2"/>
  <c r="E24" i="1" l="1"/>
  <c r="F17" i="1"/>
  <c r="F16" i="1"/>
  <c r="F15" i="1"/>
  <c r="F14" i="1"/>
  <c r="F13" i="1"/>
  <c r="F12" i="1"/>
  <c r="CQ14" i="3"/>
  <c r="CQ77" i="3" s="1"/>
  <c r="CP77" i="3"/>
  <c r="I3" i="2"/>
  <c r="D3" i="3"/>
  <c r="E6" i="1"/>
  <c r="CH13" i="3"/>
  <c r="CL14" i="3"/>
  <c r="CL77" i="3" s="1"/>
  <c r="CJ77" i="3"/>
  <c r="F11" i="1"/>
  <c r="D24" i="1"/>
  <c r="B6" i="1"/>
  <c r="D3" i="2"/>
  <c r="CN13" i="2"/>
  <c r="I3" i="3"/>
  <c r="CW17" i="2"/>
  <c r="CW79" i="2" s="1"/>
  <c r="CR17" i="2"/>
  <c r="CR79" i="2" s="1"/>
  <c r="H6" i="1" l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<sst xmlns="http://schemas.openxmlformats.org/spreadsheetml/2006/main" count="589" uniqueCount="175">
  <si>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</si>
  <si>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</si>
  <si>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</si>
  <si>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</si>
  <si>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</si>
  <si>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</si>
  <si>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</si>
  <si>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</si>
  <si>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</si>
  <si>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</si>
  <si>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</si>
  <si>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</si>
  <si>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</si>
  <si>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</si>
  <si>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</si>
  <si>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</si>
  <si>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</si>
  <si>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</si>
  <si>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</si>
  <si>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</si>
  <si>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</si>
  <si>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</si>
  <si>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</si>
  <si>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</si>
  <si>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</si>
  <si>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</si>
  <si>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</si>
  <si>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</si>
  <si>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</si>
  <si>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</si>
  <si>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</si>
  <si>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</si>
  <si>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</si>
  <si>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</si>
  <si>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</si>
  <si>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</si>
  <si>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</si>
  <si>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</si>
  <si>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</si>
  <si>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</si>
  <si>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</si>
  <si>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</si>
  <si>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</si>
  <si>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</si>
  <si>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</si>
  <si>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</si>
  <si>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</si>
  <si>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</si>
  <si>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</si>
  <si>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</si>
  <si>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</si>
  <si>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</si>
  <si>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</si>
  <si>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</si>
  <si>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</si>
  <si>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</si>
  <si>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</si>
  <si>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</si>
  <si>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</si>
  <si>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</si>
  <si>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</si>
  <si>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</si>
  <si>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</si>
  <si>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</si>
  <si>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</si>
  <si>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</si>
  <si>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</si>
  <si>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</si>
  <si>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</si>
  <si>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</si>
  <si>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</si>
  <si>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</si>
  <si>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</si>
  <si>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</si>
  <si>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</si>
  <si>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</si>
  <si>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</si>
  <si>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</si>
  <si>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</si>
  <si>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</si>
  <si>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</si>
  <si>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</si>
  <si>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</si>
  <si>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</si>
  <si>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</si>
  <si>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</si>
  <si>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</si>
  <si>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</si>
  <si>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</si>
  <si>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</si>
  <si>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</si>
  <si>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</si>
  <si>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</si>
  <si>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</si>
  <si>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</si>
  <si>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</si>
  <si>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</si>
  <si>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</si>
  <si>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</si>
  <si>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</si>
  <si>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</si>
  <si>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</si>
  <si>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</si>
  <si>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</si>
  <si>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</si>
  <si>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</si>
  <si>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</si>
  <si>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</si>
  <si>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</si>
  <si>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</si>
  <si>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</si>
  <si>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</si>
  <si>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13:53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</si>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</sst>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752</v>
      </c>
      <c r="C6" s="89"/>
      <c r="E6" s="88">
        <f>'Programa CAJAS REPORTE DIARIO'!CH77</f>
        <v>2038</v>
      </c>
      <c r="F6" s="89"/>
      <c r="H6" s="101">
        <f>B6+E6</f>
        <v>2790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93</v>
      </c>
      <c r="E23" s="70">
        <f>'Programa CAJAS REPORTE DIARIO'!AT77</f>
        <v>309</v>
      </c>
      <c r="F23" s="70">
        <f t="shared" si="0"/>
        <v>402</v>
      </c>
      <c r="G23" s="70">
        <f t="shared" si="1"/>
        <v>2790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752</v>
      </c>
      <c r="E24" s="75">
        <f>SUM(E11:E23)</f>
        <v>2038</v>
      </c>
      <c r="F24" s="75">
        <f>SUM(F11:F23)</f>
        <v>2790</v>
      </c>
      <c r="G24" s="75">
        <f>F24</f>
        <v>2790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752</v>
      </c>
      <c r="F3" s="79" t="s">
        <v>1</v>
      </c>
      <c r="I3" s="80">
        <f>'Programa CAJAS REPORTE DIARIO'!CH77+CN79</f>
        <v>2790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93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752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5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188</v>
      </c>
      <c r="CP27" s="27">
        <f t="shared" si="4"/>
        <v>188</v>
      </c>
      <c r="CQ27" s="22">
        <v>0</v>
      </c>
      <c r="CR27" s="22">
        <f t="shared" si="5"/>
        <v>188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182.5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19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164</v>
      </c>
      <c r="CP28" s="27">
        <f t="shared" si="4"/>
        <v>164</v>
      </c>
      <c r="CQ28" s="22">
        <v>0</v>
      </c>
      <c r="CR28" s="22">
        <f t="shared" si="5"/>
        <v>164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1213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23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109</v>
      </c>
      <c r="CP29" s="27">
        <f t="shared" si="4"/>
        <v>109</v>
      </c>
      <c r="CQ29" s="22">
        <v>0</v>
      </c>
      <c r="CR29" s="22">
        <f t="shared" si="5"/>
        <v>109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297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</v>
      </c>
      <c r="CP37" s="27">
        <f t="shared" si="4"/>
        <v>2</v>
      </c>
      <c r="CQ37" s="22">
        <v>0</v>
      </c>
      <c r="CR37" s="22">
        <f t="shared" si="5"/>
        <v>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7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77</v>
      </c>
      <c r="CP42" s="27">
        <f t="shared" si="4"/>
        <v>77</v>
      </c>
      <c r="CQ42" s="22">
        <v>0</v>
      </c>
      <c r="CR42" s="22">
        <f t="shared" si="5"/>
        <v>77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-77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24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24</v>
      </c>
      <c r="CP56" s="27">
        <f t="shared" si="11"/>
        <v>24</v>
      </c>
      <c r="CQ56" s="22">
        <v>0</v>
      </c>
      <c r="CR56" s="22">
        <f t="shared" si="12"/>
        <v>24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-24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93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752</v>
      </c>
      <c r="CP79" s="25">
        <f>+SUM(CP14:CP78)</f>
        <v>752</v>
      </c>
      <c r="CQ79" s="25">
        <f>+SUM(CQ14:CQ78)</f>
        <v>0</v>
      </c>
      <c r="CR79" s="25">
        <f>+SUM(CR14:CR78)</f>
        <v>752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6514.5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2038</v>
      </c>
      <c r="F3" s="79" t="s">
        <v>1</v>
      </c>
      <c r="I3" s="80">
        <f>'Programa CASETAS REPORTE DIARIO'!CN79+CH77</f>
        <v>2790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309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2038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397</v>
      </c>
      <c r="CJ27" s="27">
        <f t="shared" si="3"/>
        <v>397</v>
      </c>
      <c r="CK27" s="22">
        <v>0</v>
      </c>
      <c r="CL27" s="22">
        <f t="shared" si="4"/>
        <v>397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389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29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309</v>
      </c>
      <c r="CJ28" s="27">
        <f t="shared" si="3"/>
        <v>309</v>
      </c>
      <c r="CK28" s="22">
        <v>0</v>
      </c>
      <c r="CL28" s="22">
        <f t="shared" si="4"/>
        <v>309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-131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7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44</v>
      </c>
      <c r="CJ29" s="27">
        <f t="shared" si="3"/>
        <v>44</v>
      </c>
      <c r="CK29" s="22">
        <v>0</v>
      </c>
      <c r="CL29" s="22">
        <f t="shared" si="4"/>
        <v>44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1292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53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146</v>
      </c>
      <c r="CJ35" s="27">
        <f t="shared" si="3"/>
        <v>146</v>
      </c>
      <c r="CK35" s="22">
        <v>0</v>
      </c>
      <c r="CL35" s="22">
        <f t="shared" si="4"/>
        <v>146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-47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3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49</v>
      </c>
      <c r="CJ36" s="27">
        <f t="shared" si="3"/>
        <v>49</v>
      </c>
      <c r="CK36" s="22">
        <v>0</v>
      </c>
      <c r="CL36" s="22">
        <f t="shared" si="4"/>
        <v>49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-49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9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52</v>
      </c>
      <c r="CJ37" s="27">
        <f t="shared" si="3"/>
        <v>52</v>
      </c>
      <c r="CK37" s="22">
        <v>0</v>
      </c>
      <c r="CL37" s="22">
        <f t="shared" si="4"/>
        <v>52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433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30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137</v>
      </c>
      <c r="CJ43" s="27">
        <f t="shared" si="3"/>
        <v>137</v>
      </c>
      <c r="CK43" s="22">
        <v>0</v>
      </c>
      <c r="CL43" s="22">
        <f t="shared" si="4"/>
        <v>137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-117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271</v>
      </c>
      <c r="CJ46" s="27">
        <f t="shared" ref="CJ46:CJ76" si="11">CH46</f>
        <v>271</v>
      </c>
      <c r="CK46" s="22">
        <v>0</v>
      </c>
      <c r="CL46" s="22">
        <f t="shared" ref="CL46:CL77" si="12">CJ46+CK46</f>
        <v>271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64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69</v>
      </c>
      <c r="CJ53" s="27">
        <f t="shared" si="11"/>
        <v>69</v>
      </c>
      <c r="CK53" s="22">
        <v>0</v>
      </c>
      <c r="CL53" s="22">
        <f t="shared" si="12"/>
        <v>69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12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59</v>
      </c>
      <c r="CJ61" s="27">
        <f t="shared" si="11"/>
        <v>59</v>
      </c>
      <c r="CK61" s="22">
        <v>0</v>
      </c>
      <c r="CL61" s="22">
        <f t="shared" si="12"/>
        <v>59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-27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13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87</v>
      </c>
      <c r="CJ70" s="27">
        <f t="shared" si="11"/>
        <v>87</v>
      </c>
      <c r="CK70" s="22">
        <v>0</v>
      </c>
      <c r="CL70" s="22">
        <f t="shared" si="12"/>
        <v>87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309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2038</v>
      </c>
      <c r="CJ77" s="25">
        <f>+SUM(CJ14:CJ76)</f>
        <v>2038</v>
      </c>
      <c r="CK77" s="25">
        <f>+SUM(CK14:CK76)</f>
        <v>0</v>
      </c>
      <c r="CL77" s="25">
        <f>+SUM(CL14:CL76)</f>
        <v>2038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9194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2026-10-29T19:53:46Z</dcterms:modified>
</cp:coreProperties>
</file>