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2DDC065-2A51-4F55-A49F-3733D19CD35D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P14" i="2" s="1"/>
  <c r="CW48" i="2" l="1"/>
  <c r="CW16" i="2"/>
  <c r="CW38" i="2"/>
  <c r="CW33" i="2"/>
  <c r="CW19" i="2"/>
  <c r="CW57" i="2"/>
  <c r="CW28" i="2"/>
  <c r="CW24" i="2"/>
  <c r="CN85" i="2"/>
  <c r="E24" i="1"/>
  <c r="AU13" i="3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W78" i="2"/>
  <c r="CR78" i="2"/>
  <c r="CW58" i="2"/>
  <c r="CW50" i="2"/>
  <c r="CP14" i="3"/>
  <c r="CO77" i="3"/>
  <c r="CH77" i="3"/>
  <c r="CJ14" i="3"/>
  <c r="D24" i="1"/>
  <c r="F24" i="1" s="1"/>
  <c r="AO13" i="2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D13" i="1"/>
  <c r="F13" i="1" s="1"/>
  <c r="AD13" i="2"/>
  <c r="D12" i="1"/>
  <c r="F12" i="1" s="1"/>
  <c r="AC13" i="2"/>
  <c r="AB13" i="2"/>
  <c r="D11" i="1"/>
  <c r="CP45" i="2"/>
  <c r="CN79" i="2"/>
  <c r="CV14" i="2"/>
  <c r="CU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53" i="2"/>
  <c r="CW52" i="2"/>
  <c r="CW51" i="2"/>
  <c r="CW49" i="2"/>
  <c r="CW47" i="2"/>
  <c r="CW46" i="2"/>
  <c r="CW44" i="2"/>
  <c r="CW43" i="2"/>
  <c r="CW42" i="2"/>
  <c r="CW41" i="2"/>
  <c r="CW40" i="2"/>
  <c r="CW39" i="2"/>
  <c r="CW37" i="2"/>
  <c r="CW36" i="2"/>
  <c r="CW35" i="2"/>
  <c r="CW34" i="2"/>
  <c r="CW32" i="2"/>
  <c r="CW31" i="2"/>
  <c r="CW30" i="2"/>
  <c r="CW29" i="2"/>
  <c r="CW27" i="2"/>
  <c r="CW26" i="2"/>
  <c r="CW25" i="2"/>
  <c r="CW23" i="2"/>
  <c r="CW22" i="2"/>
  <c r="CW21" i="2"/>
  <c r="CW20" i="2"/>
  <c r="CW18" i="2"/>
  <c r="CW17" i="2"/>
  <c r="CW15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6" i="2"/>
  <c r="CW55" i="2"/>
  <c r="E25" i="1" l="1"/>
  <c r="CP77" i="3"/>
  <c r="CQ14" i="3"/>
  <c r="CQ77" i="3" s="1"/>
  <c r="I3" i="2"/>
  <c r="E6" i="1"/>
  <c r="D3" i="3"/>
  <c r="CH13" i="3"/>
  <c r="CL14" i="3"/>
  <c r="CL77" i="3" s="1"/>
  <c r="CJ77" i="3"/>
  <c r="F11" i="1"/>
  <c r="D25" i="1"/>
  <c r="CW45" i="2"/>
  <c r="CR45" i="2"/>
  <c r="CR79" i="2" s="1"/>
  <c r="B6" i="1"/>
  <c r="I3" i="3"/>
  <c r="D3" i="2"/>
  <c r="CN13" i="2"/>
  <c r="CW14" i="2"/>
  <c r="CV79" i="2"/>
  <c r="H6" i="1" l="1"/>
  <c r="CW79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<sst xmlns="http://schemas.openxmlformats.org/spreadsheetml/2006/main" count="592" uniqueCount="176">
  <si>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</si>
  <si>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</si>
  <si>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</si>
  <si>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</si>
  <si>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</si>
  <si>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</si>
  <si>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</si>
  <si>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</si>
  <si>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</si>
  <si>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</si>
  <si>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</si>
  <si>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</si>
  <si>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</si>
  <si>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</si>
  <si>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</si>
  <si>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</si>
  <si>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</si>
  <si>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</si>
  <si>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</si>
  <si>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</si>
  <si>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</si>
  <si>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</si>
  <si>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</si>
  <si>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</si>
  <si>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</si>
  <si>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</si>
  <si>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</si>
  <si>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</si>
  <si>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</si>
  <si>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</si>
  <si>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</si>
  <si>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</si>
  <si>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</si>
  <si>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</si>
  <si>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</si>
  <si>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</si>
  <si>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</si>
  <si>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</si>
  <si>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</si>
  <si>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</si>
  <si>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</si>
  <si>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</si>
  <si>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</si>
  <si>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</si>
  <si>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</si>
  <si>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</si>
  <si>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</si>
  <si>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</si>
  <si>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</si>
  <si>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</si>
  <si>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</si>
  <si>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</si>
  <si>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</si>
  <si>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</si>
  <si>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</si>
  <si>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</si>
  <si>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</si>
  <si>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</si>
  <si>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</si>
  <si>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</si>
  <si>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</si>
  <si>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</si>
  <si>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</si>
  <si>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</si>
  <si>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</si>
  <si>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</si>
  <si>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</si>
  <si>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</si>
  <si>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</si>
  <si>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</si>
  <si>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</si>
  <si>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</si>
  <si>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</si>
  <si>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</si>
  <si>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</si>
  <si>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</si>
  <si>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</si>
  <si>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</si>
  <si>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</si>
  <si>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</si>
  <si>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</si>
  <si>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</si>
  <si>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</si>
  <si>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</si>
  <si>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</si>
  <si>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</si>
  <si>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</si>
  <si>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</si>
  <si>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</si>
  <si>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</si>
  <si>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</si>
  <si>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</si>
  <si>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</si>
  <si>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</si>
  <si>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</si>
  <si>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</si>
  <si>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</si>
  <si>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</si>
  <si>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</si>
  <si>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</si>
  <si>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</si>
  <si>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</si>
  <si>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</si>
  <si>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</si>
  <si>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</si>
  <si>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</si>
  <si>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</si>
  <si>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</si>
  <si>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</si>
  <si>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</si>
  <si>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</si>
  <si>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</si>
  <si>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11:54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</si>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</sst>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956</v>
      </c>
      <c r="C6" s="89"/>
      <c r="E6" s="88">
        <f>'Programa CAJAS REPORTE DIARIO'!CH77</f>
        <v>2656</v>
      </c>
      <c r="F6" s="89"/>
      <c r="H6" s="101">
        <f>B6+E6</f>
        <v>3612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48</v>
      </c>
      <c r="E24" s="72">
        <f>'Programa CAJAS REPORTE DIARIO'!AU77</f>
        <v>181</v>
      </c>
      <c r="F24" s="72">
        <f t="shared" si="0"/>
        <v>229</v>
      </c>
      <c r="G24" s="72">
        <f t="shared" si="1"/>
        <v>3612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956</v>
      </c>
      <c r="E25" s="75">
        <f>SUM(E11:E24)</f>
        <v>2656</v>
      </c>
      <c r="F25" s="75">
        <f>SUM(F11:F24)</f>
        <v>3612</v>
      </c>
      <c r="G25" s="75">
        <f>F25</f>
        <v>3612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956</v>
      </c>
      <c r="F3" s="79" t="s">
        <v>1</v>
      </c>
      <c r="I3" s="80">
        <f>'Programa CAJAS REPORTE DIARIO'!CH77+CN79</f>
        <v>3612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48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956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5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205</v>
      </c>
      <c r="CP27" s="27">
        <f t="shared" si="4"/>
        <v>205</v>
      </c>
      <c r="CQ27" s="22">
        <v>0</v>
      </c>
      <c r="CR27" s="22">
        <f t="shared" si="5"/>
        <v>205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1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25</v>
      </c>
      <c r="CP36" s="27">
        <f t="shared" si="4"/>
        <v>25</v>
      </c>
      <c r="CQ36" s="22">
        <v>0</v>
      </c>
      <c r="CR36" s="22">
        <f t="shared" si="5"/>
        <v>25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6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139</v>
      </c>
      <c r="CP42" s="27">
        <f t="shared" si="4"/>
        <v>139</v>
      </c>
      <c r="CQ42" s="22">
        <v>0</v>
      </c>
      <c r="CR42" s="22">
        <f t="shared" si="5"/>
        <v>139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25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87</v>
      </c>
      <c r="CP56" s="27">
        <f t="shared" si="11"/>
        <v>87</v>
      </c>
      <c r="CQ56" s="22">
        <v>0</v>
      </c>
      <c r="CR56" s="22">
        <f t="shared" si="12"/>
        <v>87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1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3</v>
      </c>
      <c r="CP75" s="27">
        <f t="shared" si="11"/>
        <v>3</v>
      </c>
      <c r="CQ75" s="22">
        <v>0</v>
      </c>
      <c r="CR75" s="22">
        <f t="shared" si="12"/>
        <v>3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-3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48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956</v>
      </c>
      <c r="CP79" s="25">
        <f>+SUM(CP14:CP78)</f>
        <v>956</v>
      </c>
      <c r="CQ79" s="25">
        <f>+SUM(CQ14:CQ78)</f>
        <v>0</v>
      </c>
      <c r="CR79" s="25">
        <f>+SUM(CR14:CR78)</f>
        <v>956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6310.5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2656</v>
      </c>
      <c r="F3" s="79" t="s">
        <v>1</v>
      </c>
      <c r="I3" s="80">
        <f>'Programa CASETAS REPORTE DIARIO'!CN79+CH77</f>
        <v>3612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181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2656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17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454</v>
      </c>
      <c r="CJ27" s="27">
        <f t="shared" si="3"/>
        <v>454</v>
      </c>
      <c r="CK27" s="22">
        <v>0</v>
      </c>
      <c r="CL27" s="22">
        <f t="shared" si="4"/>
        <v>454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332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9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336</v>
      </c>
      <c r="CJ28" s="27">
        <f t="shared" si="3"/>
        <v>336</v>
      </c>
      <c r="CK28" s="22">
        <v>0</v>
      </c>
      <c r="CL28" s="22">
        <f t="shared" si="4"/>
        <v>336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-156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10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115</v>
      </c>
      <c r="CJ29" s="27">
        <f t="shared" si="3"/>
        <v>115</v>
      </c>
      <c r="CK29" s="22">
        <v>0</v>
      </c>
      <c r="CL29" s="22">
        <f t="shared" si="4"/>
        <v>115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2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52</v>
      </c>
      <c r="CJ36" s="27">
        <f t="shared" si="3"/>
        <v>52</v>
      </c>
      <c r="CK36" s="22">
        <v>0</v>
      </c>
      <c r="CL36" s="22">
        <f t="shared" si="4"/>
        <v>52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52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138</v>
      </c>
      <c r="CJ37" s="27">
        <f t="shared" si="3"/>
        <v>138</v>
      </c>
      <c r="CK37" s="22">
        <v>0</v>
      </c>
      <c r="CL37" s="22">
        <f t="shared" si="4"/>
        <v>138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27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203</v>
      </c>
      <c r="CJ43" s="27">
        <f t="shared" si="3"/>
        <v>203</v>
      </c>
      <c r="CK43" s="22">
        <v>0</v>
      </c>
      <c r="CL43" s="22">
        <f t="shared" si="4"/>
        <v>203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-183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35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208</v>
      </c>
      <c r="CJ53" s="27">
        <f t="shared" si="11"/>
        <v>208</v>
      </c>
      <c r="CK53" s="22">
        <v>0</v>
      </c>
      <c r="CL53" s="22">
        <f t="shared" si="12"/>
        <v>208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-140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5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88</v>
      </c>
      <c r="CJ55" s="27">
        <f t="shared" si="11"/>
        <v>88</v>
      </c>
      <c r="CK55" s="22">
        <v>0</v>
      </c>
      <c r="CL55" s="22">
        <f t="shared" si="12"/>
        <v>88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181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2656</v>
      </c>
      <c r="CJ77" s="25">
        <f>+SUM(CJ14:CJ76)</f>
        <v>2656</v>
      </c>
      <c r="CK77" s="25">
        <f>+SUM(CK14:CK76)</f>
        <v>0</v>
      </c>
      <c r="CL77" s="25">
        <f>+SUM(CL14:CL76)</f>
        <v>2656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8738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2026-10-30T17:55:00Z</dcterms:modified>
</cp:coreProperties>
</file>