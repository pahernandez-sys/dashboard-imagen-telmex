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FAFB497-6504-44B0-9050-BF7FE0E9762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2" i="3" l="1"/>
  <c r="CW30" i="2"/>
  <c r="CQ75" i="3"/>
  <c r="CQ69" i="3"/>
  <c r="CQ65" i="3"/>
  <c r="CQ19" i="3"/>
  <c r="CW78" i="2"/>
  <c r="CW77" i="2"/>
  <c r="CW76" i="2"/>
  <c r="CW75" i="2"/>
  <c r="CW73" i="2"/>
  <c r="CW68" i="2"/>
  <c r="CW65" i="2"/>
  <c r="CW61" i="2"/>
  <c r="CW60" i="2"/>
  <c r="CW58" i="2"/>
  <c r="CW20" i="2"/>
  <c r="CW17" i="2"/>
  <c r="CW56" i="2"/>
  <c r="CW44" i="2"/>
  <c r="CW27" i="2"/>
  <c r="CW24" i="2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4" i="1" s="1"/>
  <c r="AH13" i="3"/>
  <c r="CO77" i="3"/>
  <c r="CP14" i="3"/>
  <c r="CJ14" i="3"/>
  <c r="CH77" i="3"/>
  <c r="F11" i="1"/>
  <c r="D24" i="1"/>
  <c r="CU79" i="2"/>
  <c r="CV14" i="2"/>
  <c r="CP14" i="2"/>
  <c r="CN79" i="2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67" i="2"/>
  <c r="CW66" i="2"/>
  <c r="CW63" i="2"/>
  <c r="CQ68" i="3"/>
  <c r="CQ64" i="3"/>
  <c r="CW74" i="2"/>
  <c r="CW72" i="2"/>
  <c r="CW71" i="2"/>
  <c r="CW70" i="2"/>
  <c r="CW69" i="2"/>
  <c r="CW64" i="2"/>
  <c r="CW57" i="2"/>
  <c r="CW62" i="2"/>
  <c r="CW59" i="2"/>
  <c r="CQ67" i="3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6" i="2"/>
  <c r="CW25" i="2"/>
  <c r="CW23" i="2"/>
  <c r="CW22" i="2"/>
  <c r="CW21" i="2"/>
  <c r="CW19" i="2"/>
  <c r="CW18" i="2"/>
  <c r="CW16" i="2"/>
  <c r="CW15" i="2"/>
  <c r="CQ76" i="3"/>
  <c r="CQ74" i="3"/>
  <c r="CQ73" i="3"/>
  <c r="CQ72" i="3"/>
  <c r="CQ71" i="3"/>
  <c r="CQ70" i="3"/>
  <c r="CQ66" i="3"/>
  <c r="CQ63" i="3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P79" i="2"/>
  <c r="CR14" i="2"/>
  <c r="CR79" i="2" s="1"/>
  <c r="D3" i="2"/>
  <c r="CN13" i="2"/>
  <c r="B6" i="1"/>
  <c r="I3" i="3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<sst xmlns="http://schemas.openxmlformats.org/spreadsheetml/2006/main" count="589" uniqueCount="175">
  <si>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</si>
  <si>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</si>
  <si>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</si>
  <si>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</si>
  <si>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</si>
  <si>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</si>
  <si>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</si>
  <si>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</si>
  <si>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</si>
  <si>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</si>
  <si>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</si>
  <si>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</si>
  <si>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</si>
  <si>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</si>
  <si>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</si>
  <si>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</si>
  <si>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</si>
  <si>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</si>
  <si>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</si>
  <si>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</si>
  <si>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</si>
  <si>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</si>
  <si>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</si>
  <si>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</si>
  <si>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</si>
  <si>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</si>
  <si>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</si>
  <si>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</si>
  <si>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</si>
  <si>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</si>
  <si>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</si>
  <si>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</si>
  <si>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</si>
  <si>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</si>
  <si>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</si>
  <si>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</si>
  <si>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</si>
  <si>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</si>
  <si>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</si>
  <si>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</si>
  <si>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</si>
  <si>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</si>
  <si>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</si>
  <si>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</si>
  <si>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</si>
  <si>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</si>
  <si>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</si>
  <si>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</si>
  <si>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</si>
  <si>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</si>
  <si>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</si>
  <si>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</si>
  <si>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</si>
  <si>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</si>
  <si>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</si>
  <si>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</si>
  <si>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</si>
  <si>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</si>
  <si>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</si>
  <si>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</si>
  <si>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</si>
  <si>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</si>
  <si>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</si>
  <si>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</si>
  <si>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</si>
  <si>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</si>
  <si>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</si>
  <si>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</si>
  <si>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</si>
  <si>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</si>
  <si>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</si>
  <si>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</si>
  <si>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</si>
  <si>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</si>
  <si>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</si>
  <si>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</si>
  <si>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</si>
  <si>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</si>
  <si>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</si>
  <si>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</si>
  <si>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</si>
  <si>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</si>
  <si>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</si>
  <si>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</si>
  <si>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</si>
  <si>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</si>
  <si>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</si>
  <si>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</si>
  <si>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</si>
  <si>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</si>
  <si>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</si>
  <si>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</si>
  <si>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</si>
  <si>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</si>
  <si>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</si>
  <si>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</si>
  <si>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</si>
  <si>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</si>
  <si>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</si>
  <si>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</si>
  <si>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</si>
  <si>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</si>
  <si>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</si>
  <si>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</si>
  <si>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</si>
  <si>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</si>
  <si>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</si>
  <si>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</si>
  <si>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</si>
  <si>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</si>
  <si>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</si>
  <si>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</si>
  <si>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11:40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</si>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</sst>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716</v>
      </c>
      <c r="C6" s="89"/>
      <c r="E6" s="88">
        <f>'Programa CAJAS REPORTE DIARIO'!CH77</f>
        <v>1886</v>
      </c>
      <c r="F6" s="89"/>
      <c r="H6" s="101">
        <f>B6+E6</f>
        <v>2602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57</v>
      </c>
      <c r="E23" s="70">
        <f>'Programa CAJAS REPORTE DIARIO'!AT77</f>
        <v>157</v>
      </c>
      <c r="F23" s="70">
        <f t="shared" si="0"/>
        <v>214</v>
      </c>
      <c r="G23" s="70">
        <f t="shared" si="1"/>
        <v>2602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716</v>
      </c>
      <c r="E24" s="75">
        <f>SUM(E11:E23)</f>
        <v>1886</v>
      </c>
      <c r="F24" s="75">
        <f>SUM(F11:F23)</f>
        <v>2602</v>
      </c>
      <c r="G24" s="75">
        <f>F24</f>
        <v>2602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716</v>
      </c>
      <c r="F3" s="79" t="s">
        <v>1</v>
      </c>
      <c r="I3" s="80">
        <f>'Programa CAJAS REPORTE DIARIO'!CH77+CN79</f>
        <v>2602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57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716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3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186</v>
      </c>
      <c r="CP27" s="27">
        <f t="shared" si="4"/>
        <v>186</v>
      </c>
      <c r="CQ27" s="22">
        <v>0</v>
      </c>
      <c r="CR27" s="22">
        <f t="shared" si="5"/>
        <v>186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14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159</v>
      </c>
      <c r="CP28" s="27">
        <f t="shared" si="4"/>
        <v>159</v>
      </c>
      <c r="CQ28" s="22">
        <v>0</v>
      </c>
      <c r="CR28" s="22">
        <f t="shared" si="5"/>
        <v>159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99</v>
      </c>
      <c r="CP29" s="27">
        <f t="shared" si="4"/>
        <v>99</v>
      </c>
      <c r="CQ29" s="22">
        <v>0</v>
      </c>
      <c r="CR29" s="22">
        <f t="shared" si="5"/>
        <v>99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22</v>
      </c>
      <c r="CP56" s="27">
        <f t="shared" si="11"/>
        <v>22</v>
      </c>
      <c r="CQ56" s="22">
        <v>0</v>
      </c>
      <c r="CR56" s="22">
        <f t="shared" si="12"/>
        <v>22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57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716</v>
      </c>
      <c r="CP79" s="25">
        <f>+SUM(CP14:CP78)</f>
        <v>716</v>
      </c>
      <c r="CQ79" s="25">
        <f>+SUM(CQ14:CQ78)</f>
        <v>0</v>
      </c>
      <c r="CR79" s="25">
        <f>+SUM(CR14:CR78)</f>
        <v>716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1886</v>
      </c>
      <c r="F3" s="79" t="s">
        <v>1</v>
      </c>
      <c r="I3" s="80">
        <f>'Programa CASETAS REPORTE DIARIO'!CN79+CH77</f>
        <v>2602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157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1886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384</v>
      </c>
      <c r="CJ27" s="27">
        <f t="shared" si="3"/>
        <v>384</v>
      </c>
      <c r="CK27" s="22">
        <v>0</v>
      </c>
      <c r="CL27" s="22">
        <f t="shared" si="4"/>
        <v>384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13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293</v>
      </c>
      <c r="CJ28" s="27">
        <f t="shared" si="3"/>
        <v>293</v>
      </c>
      <c r="CK28" s="22">
        <v>0</v>
      </c>
      <c r="CL28" s="22">
        <f t="shared" si="4"/>
        <v>293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35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128</v>
      </c>
      <c r="CJ35" s="27">
        <f t="shared" si="3"/>
        <v>128</v>
      </c>
      <c r="CK35" s="22">
        <v>0</v>
      </c>
      <c r="CL35" s="22">
        <f t="shared" si="4"/>
        <v>128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1238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6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11</v>
      </c>
      <c r="CJ53" s="27">
        <f t="shared" si="11"/>
        <v>11</v>
      </c>
      <c r="CK53" s="22">
        <v>0</v>
      </c>
      <c r="CL53" s="22">
        <f t="shared" si="12"/>
        <v>11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57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54</v>
      </c>
      <c r="CJ61" s="27">
        <f t="shared" si="11"/>
        <v>54</v>
      </c>
      <c r="CK61" s="22">
        <v>0</v>
      </c>
      <c r="CL61" s="22">
        <f t="shared" si="12"/>
        <v>54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157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1886</v>
      </c>
      <c r="CJ77" s="25">
        <f>+SUM(CJ14:CJ76)</f>
        <v>1886</v>
      </c>
      <c r="CK77" s="25">
        <f>+SUM(CK14:CK76)</f>
        <v>0</v>
      </c>
      <c r="CL77" s="25">
        <f>+SUM(CL14:CL76)</f>
        <v>1886</v>
      </c>
      <c r="CM77" s="25"/>
      <c r="CN77" s="25"/>
      <c r="CO77" s="25">
        <f>+SUM(CO14:CO76)</f>
        <v>10890</v>
      </c>
      <c r="CP77" s="25">
        <f>+SUM(CP14:CP76)</f>
        <v>10890</v>
      </c>
      <c r="CQ77" s="25">
        <f>+SUM(CQ14:CQ76)</f>
        <v>9004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2026-10-29T17:40:12Z</dcterms:modified>
</cp:coreProperties>
</file>