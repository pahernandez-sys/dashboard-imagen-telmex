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32A9225C-7D9E-4B43-93A4-70091F6619AB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 s="1"/>
  <c r="CP76" i="3" s="1"/>
  <c r="CH76" i="3"/>
  <c r="CJ76" i="3" s="1"/>
  <c r="CL76" i="3" s="1"/>
  <c r="DC75" i="3"/>
  <c r="CO75" i="3" s="1"/>
  <c r="CP75" i="3" s="1"/>
  <c r="CH75" i="3"/>
  <c r="CJ75" i="3" s="1"/>
  <c r="CL75" i="3" s="1"/>
  <c r="DC74" i="3"/>
  <c r="CO74" i="3" s="1"/>
  <c r="CP74" i="3" s="1"/>
  <c r="CH74" i="3"/>
  <c r="CJ74" i="3" s="1"/>
  <c r="CL74" i="3" s="1"/>
  <c r="DC73" i="3"/>
  <c r="CO73" i="3" s="1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 s="1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O60" i="3" s="1"/>
  <c r="CP60" i="3" s="1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 s="1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 s="1"/>
  <c r="CP54" i="3" s="1"/>
  <c r="CH54" i="3"/>
  <c r="CJ54" i="3" s="1"/>
  <c r="CL54" i="3" s="1"/>
  <c r="DC53" i="3"/>
  <c r="CO53" i="3" s="1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 s="1"/>
  <c r="CP51" i="3" s="1"/>
  <c r="CH51" i="3"/>
  <c r="CJ51" i="3" s="1"/>
  <c r="CL51" i="3" s="1"/>
  <c r="DC50" i="3"/>
  <c r="CO50" i="3" s="1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 s="1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 s="1"/>
  <c r="CP46" i="3" s="1"/>
  <c r="CH46" i="3"/>
  <c r="CJ46" i="3" s="1"/>
  <c r="CL46" i="3" s="1"/>
  <c r="DC45" i="3"/>
  <c r="CO45" i="3" s="1"/>
  <c r="CP45" i="3" s="1"/>
  <c r="CH45" i="3"/>
  <c r="CJ45" i="3" s="1"/>
  <c r="CL45" i="3" s="1"/>
  <c r="DC44" i="3"/>
  <c r="CO44" i="3" s="1"/>
  <c r="CP44" i="3" s="1"/>
  <c r="CH44" i="3"/>
  <c r="CJ44" i="3" s="1"/>
  <c r="CL44" i="3" s="1"/>
  <c r="DC43" i="3"/>
  <c r="CP43" i="3"/>
  <c r="CH43" i="3"/>
  <c r="CJ43" i="3" s="1"/>
  <c r="CL43" i="3" s="1"/>
  <c r="DC42" i="3"/>
  <c r="CO42" i="3" s="1"/>
  <c r="CP42" i="3" s="1"/>
  <c r="CH42" i="3"/>
  <c r="CJ42" i="3" s="1"/>
  <c r="CL42" i="3" s="1"/>
  <c r="DC41" i="3"/>
  <c r="CO41" i="3" s="1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 s="1"/>
  <c r="CP38" i="3" s="1"/>
  <c r="CH38" i="3"/>
  <c r="CJ38" i="3" s="1"/>
  <c r="CL38" i="3" s="1"/>
  <c r="DC37" i="3"/>
  <c r="CO37" i="3" s="1"/>
  <c r="CP37" i="3" s="1"/>
  <c r="CH37" i="3"/>
  <c r="CJ37" i="3" s="1"/>
  <c r="CL37" i="3" s="1"/>
  <c r="DC36" i="3"/>
  <c r="CO36" i="3" s="1"/>
  <c r="CP36" i="3" s="1"/>
  <c r="CH36" i="3"/>
  <c r="CJ36" i="3" s="1"/>
  <c r="CL36" i="3" s="1"/>
  <c r="DC35" i="3"/>
  <c r="CO35" i="3" s="1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 s="1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 s="1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/>
  <c r="CP20" i="3" s="1"/>
  <c r="CH20" i="3"/>
  <c r="CJ20" i="3" s="1"/>
  <c r="CL20" i="3" s="1"/>
  <c r="DC19" i="3"/>
  <c r="CO19" i="3"/>
  <c r="CP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 s="1"/>
  <c r="CP17" i="3" s="1"/>
  <c r="CH17" i="3"/>
  <c r="CJ17" i="3" s="1"/>
  <c r="CL17" i="3" s="1"/>
  <c r="DC16" i="3"/>
  <c r="CO16" i="3" s="1"/>
  <c r="CP16" i="3" s="1"/>
  <c r="CH16" i="3"/>
  <c r="CJ16" i="3" s="1"/>
  <c r="CL16" i="3" s="1"/>
  <c r="DC15" i="3"/>
  <c r="CO15" i="3" s="1"/>
  <c r="CP15" i="3" s="1"/>
  <c r="CQ15" i="3" s="1"/>
  <c r="CH15" i="3"/>
  <c r="CJ15" i="3" s="1"/>
  <c r="CL15" i="3" s="1"/>
  <c r="DC14" i="3"/>
  <c r="CO14" i="3"/>
  <c r="CH14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L79" i="2"/>
  <c r="CK79" i="2"/>
  <c r="CJ79" i="2"/>
  <c r="CI79" i="2"/>
  <c r="CH79" i="2"/>
  <c r="CG79" i="2"/>
  <c r="CF79" i="2"/>
  <c r="CE79" i="2"/>
  <c r="CD79" i="2"/>
  <c r="CC79" i="2"/>
  <c r="CB79" i="2"/>
  <c r="CA79" i="2"/>
  <c r="BZ79" i="2"/>
  <c r="BY79" i="2"/>
  <c r="BX79" i="2"/>
  <c r="BW79" i="2"/>
  <c r="BV79" i="2"/>
  <c r="BU79" i="2"/>
  <c r="BT79" i="2"/>
  <c r="BS79" i="2"/>
  <c r="BR79" i="2"/>
  <c r="BQ79" i="2"/>
  <c r="BP79" i="2"/>
  <c r="BO79" i="2"/>
  <c r="BN79" i="2"/>
  <c r="BM79" i="2"/>
  <c r="BL79" i="2"/>
  <c r="BK79" i="2"/>
  <c r="BJ79" i="2"/>
  <c r="BI79" i="2"/>
  <c r="BI13" i="2" s="1"/>
  <c r="BH79" i="2"/>
  <c r="BG79" i="2"/>
  <c r="BF79" i="2"/>
  <c r="BE79" i="2"/>
  <c r="BD79" i="2"/>
  <c r="BC79" i="2"/>
  <c r="BB79" i="2"/>
  <c r="BA79" i="2"/>
  <c r="AZ79" i="2"/>
  <c r="AY79" i="2"/>
  <c r="AX79" i="2"/>
  <c r="AW79" i="2"/>
  <c r="AV79" i="2"/>
  <c r="AU79" i="2"/>
  <c r="AT79" i="2"/>
  <c r="AS79" i="2"/>
  <c r="AR79" i="2"/>
  <c r="AQ79" i="2"/>
  <c r="AP79" i="2"/>
  <c r="AO79" i="2"/>
  <c r="AN79" i="2"/>
  <c r="D23" i="1" s="1"/>
  <c r="AM79" i="2"/>
  <c r="D22" i="1" s="1"/>
  <c r="AL79" i="2"/>
  <c r="D21" i="1" s="1"/>
  <c r="AK79" i="2"/>
  <c r="D20" i="1" s="1"/>
  <c r="AJ79" i="2"/>
  <c r="D19" i="1" s="1"/>
  <c r="AI79" i="2"/>
  <c r="D18" i="1" s="1"/>
  <c r="AH79" i="2"/>
  <c r="D17" i="1" s="1"/>
  <c r="AG79" i="2"/>
  <c r="D16" i="1" s="1"/>
  <c r="AF79" i="2"/>
  <c r="D15" i="1" s="1"/>
  <c r="AE79" i="2"/>
  <c r="D14" i="1" s="1"/>
  <c r="AD79" i="2"/>
  <c r="D13" i="1" s="1"/>
  <c r="AC79" i="2"/>
  <c r="D12" i="1" s="1"/>
  <c r="AB79" i="2"/>
  <c r="D11" i="1" s="1"/>
  <c r="AA79" i="2"/>
  <c r="Z79" i="2"/>
  <c r="Y79" i="2"/>
  <c r="X79" i="2"/>
  <c r="W79" i="2"/>
  <c r="DD78" i="2"/>
  <c r="CU78" i="2" s="1"/>
  <c r="CV78" i="2" s="1"/>
  <c r="CN78" i="2"/>
  <c r="CP78" i="2" s="1"/>
  <c r="CR78" i="2" s="1"/>
  <c r="DD77" i="2"/>
  <c r="CU77" i="2" s="1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/>
  <c r="CV66" i="2" s="1"/>
  <c r="CN66" i="2"/>
  <c r="CP66" i="2" s="1"/>
  <c r="CR66" i="2" s="1"/>
  <c r="DD65" i="2"/>
  <c r="CU65" i="2"/>
  <c r="CV65" i="2" s="1"/>
  <c r="CN65" i="2"/>
  <c r="CP65" i="2" s="1"/>
  <c r="CR65" i="2" s="1"/>
  <c r="DD64" i="2"/>
  <c r="CU64" i="2"/>
  <c r="CV64" i="2" s="1"/>
  <c r="CN64" i="2"/>
  <c r="CP64" i="2" s="1"/>
  <c r="CR64" i="2" s="1"/>
  <c r="DD63" i="2"/>
  <c r="CU63" i="2" s="1"/>
  <c r="CV63" i="2" s="1"/>
  <c r="CW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 s="1"/>
  <c r="CV60" i="2" s="1"/>
  <c r="CN60" i="2"/>
  <c r="CP60" i="2" s="1"/>
  <c r="CR60" i="2" s="1"/>
  <c r="DD59" i="2"/>
  <c r="CU59" i="2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/>
  <c r="CV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 s="1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 s="1"/>
  <c r="CV50" i="2" s="1"/>
  <c r="CN50" i="2"/>
  <c r="CP50" i="2" s="1"/>
  <c r="CR50" i="2" s="1"/>
  <c r="DD49" i="2"/>
  <c r="CU49" i="2" s="1"/>
  <c r="CV49" i="2" s="1"/>
  <c r="CN49" i="2"/>
  <c r="CP49" i="2" s="1"/>
  <c r="CR49" i="2" s="1"/>
  <c r="DD48" i="2"/>
  <c r="CU48" i="2" s="1"/>
  <c r="CV48" i="2" s="1"/>
  <c r="CN48" i="2"/>
  <c r="CP48" i="2" s="1"/>
  <c r="CR48" i="2" s="1"/>
  <c r="DD47" i="2"/>
  <c r="CU47" i="2" s="1"/>
  <c r="CV47" i="2" s="1"/>
  <c r="CN47" i="2"/>
  <c r="CP47" i="2" s="1"/>
  <c r="CR47" i="2" s="1"/>
  <c r="DD46" i="2"/>
  <c r="CU46" i="2" s="1"/>
  <c r="CV46" i="2" s="1"/>
  <c r="CN46" i="2"/>
  <c r="CP46" i="2" s="1"/>
  <c r="CR46" i="2" s="1"/>
  <c r="DD45" i="2"/>
  <c r="CU45" i="2" s="1"/>
  <c r="CV45" i="2" s="1"/>
  <c r="CN45" i="2"/>
  <c r="CP45" i="2" s="1"/>
  <c r="CR45" i="2" s="1"/>
  <c r="DD44" i="2"/>
  <c r="CU44" i="2" s="1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 s="1"/>
  <c r="CV39" i="2" s="1"/>
  <c r="CN39" i="2"/>
  <c r="CP39" i="2" s="1"/>
  <c r="CR39" i="2" s="1"/>
  <c r="DD38" i="2"/>
  <c r="CU38" i="2" s="1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 s="1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 s="1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/>
  <c r="CV18" i="2" s="1"/>
  <c r="CN18" i="2"/>
  <c r="CP18" i="2" s="1"/>
  <c r="CR18" i="2" s="1"/>
  <c r="DD17" i="2"/>
  <c r="CU17" i="2" s="1"/>
  <c r="CV17" i="2" s="1"/>
  <c r="CN17" i="2"/>
  <c r="CP17" i="2" s="1"/>
  <c r="CR17" i="2" s="1"/>
  <c r="DD16" i="2"/>
  <c r="CU16" i="2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 s="1"/>
  <c r="CN14" i="2"/>
  <c r="CM13" i="2"/>
  <c r="CL13" i="2"/>
  <c r="CK13" i="2"/>
  <c r="CJ13" i="2"/>
  <c r="CI13" i="2"/>
  <c r="CH13" i="2"/>
  <c r="CG13" i="2"/>
  <c r="CF13" i="2"/>
  <c r="CE13" i="2"/>
  <c r="CD13" i="2"/>
  <c r="CC13" i="2"/>
  <c r="CB13" i="2"/>
  <c r="CA13" i="2"/>
  <c r="BZ13" i="2"/>
  <c r="BY13" i="2"/>
  <c r="BX13" i="2"/>
  <c r="BW13" i="2"/>
  <c r="BV13" i="2"/>
  <c r="BU13" i="2"/>
  <c r="BT13" i="2"/>
  <c r="BS13" i="2"/>
  <c r="BR13" i="2"/>
  <c r="BQ13" i="2"/>
  <c r="BP13" i="2"/>
  <c r="BO13" i="2"/>
  <c r="BN13" i="2"/>
  <c r="BM13" i="2"/>
  <c r="BL13" i="2"/>
  <c r="BK13" i="2"/>
  <c r="BJ13" i="2"/>
  <c r="BH13" i="2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CW61" i="2" l="1"/>
  <c r="CW60" i="2"/>
  <c r="CW57" i="2"/>
  <c r="CW58" i="2"/>
  <c r="CW56" i="2"/>
  <c r="CQ69" i="3"/>
  <c r="CQ54" i="3"/>
  <c r="CQ53" i="3"/>
  <c r="CQ66" i="3"/>
  <c r="CQ62" i="3"/>
  <c r="CQ61" i="3"/>
  <c r="CQ59" i="3"/>
  <c r="CQ57" i="3"/>
  <c r="CQ56" i="3"/>
  <c r="AT13" i="3"/>
  <c r="E23" i="1"/>
  <c r="F23" i="1" s="1"/>
  <c r="E22" i="1"/>
  <c r="F22" i="1" s="1"/>
  <c r="AS13" i="3"/>
  <c r="E21" i="1"/>
  <c r="F21" i="1" s="1"/>
  <c r="AR13" i="3"/>
  <c r="E20" i="1"/>
  <c r="F20" i="1" s="1"/>
  <c r="AQ13" i="3"/>
  <c r="E19" i="1"/>
  <c r="F19" i="1" s="1"/>
  <c r="AP13" i="3"/>
  <c r="E18" i="1"/>
  <c r="F18" i="1" s="1"/>
  <c r="AO13" i="3"/>
  <c r="AN13" i="3"/>
  <c r="E17" i="1"/>
  <c r="F17" i="1" s="1"/>
  <c r="AM13" i="3"/>
  <c r="E16" i="1"/>
  <c r="F16" i="1" s="1"/>
  <c r="AL13" i="3"/>
  <c r="E15" i="1"/>
  <c r="F15" i="1" s="1"/>
  <c r="AK13" i="3"/>
  <c r="E14" i="1"/>
  <c r="F14" i="1" s="1"/>
  <c r="AJ13" i="3"/>
  <c r="E13" i="1"/>
  <c r="F13" i="1" s="1"/>
  <c r="AI13" i="3"/>
  <c r="E12" i="1"/>
  <c r="F12" i="1" s="1"/>
  <c r="E11" i="1"/>
  <c r="AH13" i="3"/>
  <c r="CO77" i="3"/>
  <c r="CP14" i="3"/>
  <c r="CJ14" i="3"/>
  <c r="CH77" i="3"/>
  <c r="D24" i="1"/>
  <c r="CV14" i="2"/>
  <c r="CU79" i="2"/>
  <c r="CP14" i="2"/>
  <c r="CN79" i="2"/>
  <c r="CQ52" i="3"/>
  <c r="CQ51" i="3"/>
  <c r="CQ50" i="3"/>
  <c r="CQ49" i="3"/>
  <c r="CQ48" i="3"/>
  <c r="CQ47" i="3"/>
  <c r="CQ46" i="3"/>
  <c r="CQ45" i="3"/>
  <c r="CQ44" i="3"/>
  <c r="CQ43" i="3"/>
  <c r="CQ42" i="3"/>
  <c r="CQ41" i="3"/>
  <c r="CQ74" i="3"/>
  <c r="CQ63" i="3"/>
  <c r="CQ40" i="3"/>
  <c r="CQ39" i="3"/>
  <c r="CQ38" i="3"/>
  <c r="CQ37" i="3"/>
  <c r="CQ36" i="3"/>
  <c r="CQ35" i="3"/>
  <c r="CQ34" i="3"/>
  <c r="CQ33" i="3"/>
  <c r="CQ32" i="3"/>
  <c r="CQ31" i="3"/>
  <c r="CQ30" i="3"/>
  <c r="CQ29" i="3"/>
  <c r="CQ28" i="3"/>
  <c r="CQ27" i="3"/>
  <c r="CQ26" i="3"/>
  <c r="CQ25" i="3"/>
  <c r="CQ24" i="3"/>
  <c r="CQ23" i="3"/>
  <c r="CQ22" i="3"/>
  <c r="CQ21" i="3"/>
  <c r="CQ20" i="3"/>
  <c r="CQ19" i="3"/>
  <c r="CQ18" i="3"/>
  <c r="CQ17" i="3"/>
  <c r="CQ16" i="3"/>
  <c r="CQ75" i="3"/>
  <c r="CQ72" i="3"/>
  <c r="CQ70" i="3"/>
  <c r="CW78" i="2"/>
  <c r="CW77" i="2"/>
  <c r="CW76" i="2"/>
  <c r="CW75" i="2"/>
  <c r="CW74" i="2"/>
  <c r="CW73" i="2"/>
  <c r="CW72" i="2"/>
  <c r="CW71" i="2"/>
  <c r="CW70" i="2"/>
  <c r="CW69" i="2"/>
  <c r="CW68" i="2"/>
  <c r="CW67" i="2"/>
  <c r="CW66" i="2"/>
  <c r="CW65" i="2"/>
  <c r="CW64" i="2"/>
  <c r="CW62" i="2"/>
  <c r="CW59" i="2"/>
  <c r="CQ73" i="3"/>
  <c r="CQ55" i="3"/>
  <c r="CQ68" i="3"/>
  <c r="CQ67" i="3"/>
  <c r="CQ65" i="3"/>
  <c r="CQ64" i="3"/>
  <c r="CQ60" i="3"/>
  <c r="CW55" i="2"/>
  <c r="CW54" i="2"/>
  <c r="CW53" i="2"/>
  <c r="CW52" i="2"/>
  <c r="CW51" i="2"/>
  <c r="CW50" i="2"/>
  <c r="CW49" i="2"/>
  <c r="CW48" i="2"/>
  <c r="CW47" i="2"/>
  <c r="CW46" i="2"/>
  <c r="CW45" i="2"/>
  <c r="CW44" i="2"/>
  <c r="CW43" i="2"/>
  <c r="CW42" i="2"/>
  <c r="CW41" i="2"/>
  <c r="CW40" i="2"/>
  <c r="CW39" i="2"/>
  <c r="CW38" i="2"/>
  <c r="CW37" i="2"/>
  <c r="CW36" i="2"/>
  <c r="CW35" i="2"/>
  <c r="CW34" i="2"/>
  <c r="CW33" i="2"/>
  <c r="CW32" i="2"/>
  <c r="CW31" i="2"/>
  <c r="CW30" i="2"/>
  <c r="CW29" i="2"/>
  <c r="CW28" i="2"/>
  <c r="CW27" i="2"/>
  <c r="CW26" i="2"/>
  <c r="CW25" i="2"/>
  <c r="CW24" i="2"/>
  <c r="CW23" i="2"/>
  <c r="CW22" i="2"/>
  <c r="CW21" i="2"/>
  <c r="CW20" i="2"/>
  <c r="CW19" i="2"/>
  <c r="CW18" i="2"/>
  <c r="CW17" i="2"/>
  <c r="CW16" i="2"/>
  <c r="CW15" i="2"/>
  <c r="CQ76" i="3"/>
  <c r="CQ58" i="3"/>
  <c r="CQ71" i="3"/>
  <c r="E24" i="1" l="1"/>
  <c r="F11" i="1"/>
  <c r="CQ14" i="3"/>
  <c r="CQ77" i="3" s="1"/>
  <c r="CP77" i="3"/>
  <c r="CL14" i="3"/>
  <c r="CL77" i="3" s="1"/>
  <c r="CJ77" i="3"/>
  <c r="I3" i="2"/>
  <c r="D3" i="3"/>
  <c r="E6" i="1"/>
  <c r="CH13" i="3"/>
  <c r="CW14" i="2"/>
  <c r="CW79" i="2" s="1"/>
  <c r="CV79" i="2"/>
  <c r="CR14" i="2"/>
  <c r="CR79" i="2" s="1"/>
  <c r="CP79" i="2"/>
  <c r="I3" i="3"/>
  <c r="B6" i="1"/>
  <c r="D3" i="2"/>
  <c r="CN13" i="2"/>
  <c r="H6" i="1" l="1"/>
  <c r="F24" i="1"/>
  <c r="G24" i="1" s="1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</calcChain>
</file>

<file path=xl/sharedStrings.xml><?xml version="1.0" encoding="utf-8"?>
<sst xmlns="http://schemas.openxmlformats.org/spreadsheetml/2006/main" count="589" uniqueCount="175">
  <si>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</si>
  <si>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</si>
  <si>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</si>
  <si>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</si>
  <si>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</si>
  <si>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</si>
  <si>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</si>
  <si>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</si>
  <si>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</si>
  <si>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</si>
  <si>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</si>
  <si>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</si>
  <si>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</si>
  <si>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</si>
  <si>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</si>
  <si>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</si>
  <si>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</si>
  <si>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</si>
  <si>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</si>
  <si>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</si>
  <si>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</si>
  <si>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</si>
  <si>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</si>
  <si>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</si>
  <si>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</si>
  <si>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</si>
  <si>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</si>
  <si>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</si>
  <si>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</si>
  <si>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</si>
  <si>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</si>
  <si>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</si>
  <si>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</si>
  <si>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</si>
  <si>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</si>
  <si>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</si>
  <si>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</si>
  <si>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</si>
  <si>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</si>
  <si>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</si>
  <si>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</si>
  <si>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</si>
  <si>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</si>
  <si>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</si>
  <si>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</si>
  <si>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</si>
  <si>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</si>
  <si>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</si>
  <si>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</si>
  <si>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</si>
  <si>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</si>
  <si>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</si>
  <si>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</si>
  <si>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</si>
  <si>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</si>
  <si>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</si>
  <si>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</si>
  <si>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</si>
  <si>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</si>
  <si>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</si>
  <si>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</si>
  <si>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</si>
  <si>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</si>
  <si>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</si>
  <si>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</si>
  <si>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</si>
  <si>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</si>
  <si>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</si>
  <si>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</si>
  <si>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</si>
  <si>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</si>
  <si>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</si>
  <si>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</si>
  <si>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</si>
  <si>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</si>
  <si>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</si>
  <si>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</si>
  <si>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</si>
  <si>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</si>
  <si>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</si>
  <si>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</si>
  <si>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</si>
  <si>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</si>
  <si>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</si>
  <si>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</si>
  <si>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</si>
  <si>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</si>
  <si>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</si>
  <si>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</si>
  <si>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</si>
  <si>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</si>
  <si>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</si>
  <si>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</si>
  <si>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</si>
  <si>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</si>
  <si>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</si>
  <si>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</si>
  <si>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</si>
  <si>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</si>
  <si>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</si>
  <si>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</si>
  <si>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</si>
  <si>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</si>
  <si>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</si>
  <si>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</si>
  <si>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</si>
  <si>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</si>
  <si>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</si>
  <si>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</si>
  <si>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</si>
  <si>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</si>
  <si>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</si>
  <si>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(29/10/2026, 16:21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</si>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</sst>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0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1.95" customHeight="1" x14ac:dyDescent="0.3">
      <c r="B6" s="88">
        <f>'Programa CASETAS REPORTE DIARIO'!CN79</f>
        <v>865</v>
      </c>
      <c r="C6" s="89"/>
      <c r="E6" s="88">
        <f>'Programa CAJAS REPORTE DIARIO'!CH77</f>
        <v>2232</v>
      </c>
      <c r="F6" s="89"/>
      <c r="H6" s="101">
        <f>B6+E6</f>
        <v>3097</v>
      </c>
      <c r="I6" s="97"/>
      <c r="J6" s="97"/>
    </row>
    <row r="7" spans="2:10" ht="16.05" customHeight="1" x14ac:dyDescent="0.3">
      <c r="B7" s="94" t="s">
        <v>116</v>
      </c>
      <c r="C7" s="89"/>
      <c r="E7" s="94" t="s">
        <v>117</v>
      </c>
      <c r="F7" s="89"/>
      <c r="H7" s="99" t="s">
        <v>118</v>
      </c>
      <c r="I7" s="97"/>
      <c r="J7" s="97"/>
    </row>
    <row r="9" spans="2:10" ht="15.6" x14ac:dyDescent="0.3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3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3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19.95" customHeight="1" x14ac:dyDescent="0.3">
      <c r="B23" s="69" t="s">
        <v>148</v>
      </c>
      <c r="C23" s="69" t="s">
        <v>139</v>
      </c>
      <c r="D23" s="70">
        <f>'Programa CASETAS REPORTE DIARIO'!AN79</f>
        <v>206</v>
      </c>
      <c r="E23" s="70">
        <f>'Programa CAJAS REPORTE DIARIO'!AT77</f>
        <v>503</v>
      </c>
      <c r="F23" s="70">
        <f t="shared" si="0"/>
        <v>709</v>
      </c>
      <c r="G23" s="70">
        <f t="shared" si="1"/>
        <v>3097</v>
      </c>
      <c r="H23" s="69" t="s">
        <v>149</v>
      </c>
    </row>
    <row r="24" spans="2:8" ht="24" customHeight="1" x14ac:dyDescent="0.3">
      <c r="B24" s="73" t="s">
        <v>150</v>
      </c>
      <c r="C24" s="74"/>
      <c r="D24" s="75">
        <f>SUM(D11:D23)</f>
        <v>865</v>
      </c>
      <c r="E24" s="75">
        <f>SUM(E11:E23)</f>
        <v>2232</v>
      </c>
      <c r="F24" s="75">
        <f>SUM(F11:F23)</f>
        <v>3097</v>
      </c>
      <c r="G24" s="75">
        <f>F24</f>
        <v>3097</v>
      </c>
      <c r="H24" s="76" t="s">
        <v>151</v>
      </c>
    </row>
    <row r="26" spans="2:8" x14ac:dyDescent="0.3">
      <c r="B26" s="93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">
      <c r="B30" s="90" t="s">
        <v>156</v>
      </c>
      <c r="C30" s="91"/>
      <c r="D30" s="91"/>
      <c r="E30" s="91"/>
      <c r="F30" s="91"/>
      <c r="G30" s="91"/>
      <c r="H30" s="91"/>
    </row>
  </sheetData>
  <mergeCells count="17">
    <mergeCell ref="B30:H30"/>
    <mergeCell ref="B29:H29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865</v>
      </c>
      <c r="F3" s="79" t="s">
        <v>1</v>
      </c>
      <c r="I3" s="80">
        <f>'Programa CAJAS REPORTE DIARIO'!CH77+CN79</f>
        <v>3097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206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865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8</v>
      </c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191</v>
      </c>
      <c r="CP27" s="27">
        <f t="shared" si="4"/>
        <v>191</v>
      </c>
      <c r="CQ27" s="22">
        <v>0</v>
      </c>
      <c r="CR27" s="22">
        <f t="shared" si="5"/>
        <v>191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179.5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29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174</v>
      </c>
      <c r="CP28" s="27">
        <f t="shared" si="4"/>
        <v>174</v>
      </c>
      <c r="CQ28" s="22">
        <v>0</v>
      </c>
      <c r="CR28" s="22">
        <f t="shared" si="5"/>
        <v>174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1203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27</v>
      </c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113</v>
      </c>
      <c r="CP29" s="27">
        <f t="shared" si="4"/>
        <v>113</v>
      </c>
      <c r="CQ29" s="22">
        <v>0</v>
      </c>
      <c r="CR29" s="22">
        <f t="shared" si="5"/>
        <v>113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293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372</v>
      </c>
      <c r="CV30" s="14">
        <f t="shared" si="7"/>
        <v>186</v>
      </c>
      <c r="CW30" s="14">
        <f t="shared" si="8"/>
        <v>149</v>
      </c>
      <c r="CX30" s="43"/>
      <c r="CY30" s="17">
        <v>368</v>
      </c>
      <c r="CZ30">
        <v>4</v>
      </c>
      <c r="DD30" s="14">
        <f t="shared" si="9"/>
        <v>372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>
        <v>3</v>
      </c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24</v>
      </c>
      <c r="CP36" s="27">
        <f t="shared" si="4"/>
        <v>24</v>
      </c>
      <c r="CQ36" s="22">
        <v>0</v>
      </c>
      <c r="CR36" s="22">
        <f t="shared" si="5"/>
        <v>24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-24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22</v>
      </c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22</v>
      </c>
      <c r="CP37" s="27">
        <f t="shared" si="4"/>
        <v>22</v>
      </c>
      <c r="CQ37" s="22">
        <v>0</v>
      </c>
      <c r="CR37" s="22">
        <f t="shared" si="5"/>
        <v>22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-22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>
        <v>45</v>
      </c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115</v>
      </c>
      <c r="CP42" s="27">
        <f t="shared" si="4"/>
        <v>115</v>
      </c>
      <c r="CQ42" s="22">
        <v>0</v>
      </c>
      <c r="CR42" s="22">
        <f t="shared" si="5"/>
        <v>115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-115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62</v>
      </c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62</v>
      </c>
      <c r="CP56" s="27">
        <f t="shared" si="11"/>
        <v>62</v>
      </c>
      <c r="CQ56" s="22">
        <v>0</v>
      </c>
      <c r="CR56" s="22">
        <f t="shared" si="12"/>
        <v>62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-62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54</v>
      </c>
      <c r="CP58" s="27">
        <f t="shared" si="11"/>
        <v>54</v>
      </c>
      <c r="CQ58" s="22">
        <v>0</v>
      </c>
      <c r="CR58" s="22">
        <f t="shared" si="12"/>
        <v>54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1625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>
        <v>8</v>
      </c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8</v>
      </c>
      <c r="CP76" s="27">
        <f t="shared" si="11"/>
        <v>8</v>
      </c>
      <c r="CQ76" s="22">
        <v>0</v>
      </c>
      <c r="CR76" s="22">
        <f t="shared" si="12"/>
        <v>8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-8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206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865</v>
      </c>
      <c r="CP79" s="25">
        <f>+SUM(CP14:CP78)</f>
        <v>865</v>
      </c>
      <c r="CQ79" s="25">
        <f>+SUM(CQ14:CQ78)</f>
        <v>0</v>
      </c>
      <c r="CR79" s="25">
        <f>+SUM(CR14:CR78)</f>
        <v>865</v>
      </c>
      <c r="CS79" s="25"/>
      <c r="CT79" s="25"/>
      <c r="CU79" s="25">
        <f>+SUM(CU14:CU78)</f>
        <v>14533</v>
      </c>
      <c r="CV79" s="25">
        <f>+SUM(CV14:CV78)</f>
        <v>7266.5</v>
      </c>
      <c r="CW79" s="25">
        <f>+SUM(CW14:CW78)</f>
        <v>6401.5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157</v>
      </c>
      <c r="D3" s="78">
        <f>+CH77</f>
        <v>2232</v>
      </c>
      <c r="F3" s="79" t="s">
        <v>1</v>
      </c>
      <c r="I3" s="80">
        <f>'Programa CASETAS REPORTE DIARIO'!CN79+CH77</f>
        <v>3097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158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159</v>
      </c>
      <c r="CQ12" s="29" t="s">
        <v>21</v>
      </c>
      <c r="CS12" s="29" t="s">
        <v>160</v>
      </c>
      <c r="CT12" s="29" t="s">
        <v>160</v>
      </c>
      <c r="CU12" s="29" t="s">
        <v>160</v>
      </c>
      <c r="CV12" s="29" t="s">
        <v>160</v>
      </c>
      <c r="CW12" s="29" t="s">
        <v>160</v>
      </c>
      <c r="CX12" s="29" t="s">
        <v>161</v>
      </c>
      <c r="CY12" s="29" t="s">
        <v>161</v>
      </c>
      <c r="CZ12" s="29" t="s">
        <v>161</v>
      </c>
      <c r="DA12" s="29" t="s">
        <v>161</v>
      </c>
      <c r="DB12" s="29" t="s">
        <v>161</v>
      </c>
    </row>
    <row r="13" spans="1:107" s="12" customFormat="1" ht="51.75" customHeight="1" x14ac:dyDescent="0.25">
      <c r="A13" s="10" t="s">
        <v>22</v>
      </c>
      <c r="B13" s="10" t="s">
        <v>162</v>
      </c>
      <c r="C13" s="10" t="s">
        <v>24</v>
      </c>
      <c r="D13" s="57" t="s">
        <v>25</v>
      </c>
      <c r="E13" s="57" t="s">
        <v>163</v>
      </c>
      <c r="F13" s="57" t="s">
        <v>164</v>
      </c>
      <c r="G13" s="57" t="s">
        <v>165</v>
      </c>
      <c r="H13" s="57" t="s">
        <v>166</v>
      </c>
      <c r="I13" s="57" t="s">
        <v>167</v>
      </c>
      <c r="J13" s="57" t="s">
        <v>168</v>
      </c>
      <c r="K13" s="57" t="s">
        <v>169</v>
      </c>
      <c r="L13" s="57" t="s">
        <v>170</v>
      </c>
      <c r="M13" s="57" t="s">
        <v>171</v>
      </c>
      <c r="N13" s="57" t="s">
        <v>172</v>
      </c>
      <c r="O13" s="57" t="s">
        <v>173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503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2232</v>
      </c>
      <c r="CJ13" s="39"/>
      <c r="CK13" s="40"/>
      <c r="CL13" s="40"/>
      <c r="CM13" s="41"/>
      <c r="CN13" s="29"/>
      <c r="CO13" s="29"/>
      <c r="CP13" s="29"/>
      <c r="CQ13" s="29"/>
      <c r="CS13" s="67" t="s">
        <v>163</v>
      </c>
      <c r="CT13" s="67" t="s">
        <v>164</v>
      </c>
      <c r="CU13" s="67" t="s">
        <v>165</v>
      </c>
      <c r="CV13" s="67" t="s">
        <v>166</v>
      </c>
      <c r="CW13" s="67" t="s">
        <v>167</v>
      </c>
      <c r="CX13" s="67" t="s">
        <v>168</v>
      </c>
      <c r="CY13" s="67" t="s">
        <v>169</v>
      </c>
      <c r="CZ13" s="67" t="s">
        <v>170</v>
      </c>
      <c r="DA13" s="67" t="s">
        <v>171</v>
      </c>
      <c r="DB13" s="67" t="s">
        <v>172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42</v>
      </c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407</v>
      </c>
      <c r="CJ27" s="27">
        <f t="shared" si="3"/>
        <v>407</v>
      </c>
      <c r="CK27" s="22">
        <v>0</v>
      </c>
      <c r="CL27" s="22">
        <f t="shared" si="4"/>
        <v>407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379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34</v>
      </c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314</v>
      </c>
      <c r="CJ28" s="27">
        <f t="shared" si="3"/>
        <v>314</v>
      </c>
      <c r="CK28" s="22">
        <v>0</v>
      </c>
      <c r="CL28" s="22">
        <f t="shared" si="4"/>
        <v>314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-136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>
        <v>60</v>
      </c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97</v>
      </c>
      <c r="CJ29" s="27">
        <f t="shared" si="3"/>
        <v>97</v>
      </c>
      <c r="CK29" s="22">
        <v>0</v>
      </c>
      <c r="CL29" s="22">
        <f t="shared" si="4"/>
        <v>97</v>
      </c>
      <c r="CM29" s="42"/>
      <c r="CN29" s="44"/>
      <c r="CO29" s="14">
        <f t="shared" si="5"/>
        <v>1336</v>
      </c>
      <c r="CP29" s="14">
        <f t="shared" si="6"/>
        <v>1336</v>
      </c>
      <c r="CQ29" s="14">
        <f t="shared" si="7"/>
        <v>1239</v>
      </c>
      <c r="CR29" s="43"/>
      <c r="CS29" s="17"/>
      <c r="CT29">
        <v>80</v>
      </c>
      <c r="CY29">
        <v>700</v>
      </c>
      <c r="CZ29">
        <v>550</v>
      </c>
      <c r="DB29">
        <v>6</v>
      </c>
      <c r="DC29" s="14">
        <f t="shared" si="8"/>
        <v>1336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343</v>
      </c>
      <c r="CP30" s="14">
        <f t="shared" si="6"/>
        <v>343</v>
      </c>
      <c r="CQ30" s="14">
        <f t="shared" si="7"/>
        <v>343</v>
      </c>
      <c r="CR30" s="43"/>
      <c r="CS30" s="17"/>
      <c r="CU30">
        <v>3</v>
      </c>
      <c r="CY30">
        <v>300</v>
      </c>
      <c r="DB30">
        <v>40</v>
      </c>
      <c r="DC30" s="14">
        <f t="shared" si="8"/>
        <v>343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62</v>
      </c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155</v>
      </c>
      <c r="CJ35" s="27">
        <f t="shared" si="3"/>
        <v>155</v>
      </c>
      <c r="CK35" s="22">
        <v>0</v>
      </c>
      <c r="CL35" s="22">
        <f t="shared" si="4"/>
        <v>155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-56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>
        <v>4</v>
      </c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50</v>
      </c>
      <c r="CJ36" s="27">
        <f t="shared" si="3"/>
        <v>50</v>
      </c>
      <c r="CK36" s="22">
        <v>0</v>
      </c>
      <c r="CL36" s="22">
        <f t="shared" si="4"/>
        <v>50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-50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43</v>
      </c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86</v>
      </c>
      <c r="CJ37" s="27">
        <f t="shared" si="3"/>
        <v>86</v>
      </c>
      <c r="CK37" s="22">
        <v>0</v>
      </c>
      <c r="CL37" s="22">
        <f t="shared" si="4"/>
        <v>86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489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3</v>
      </c>
      <c r="CP38" s="14">
        <f t="shared" si="6"/>
        <v>3</v>
      </c>
      <c r="CQ38" s="14">
        <f t="shared" si="7"/>
        <v>3</v>
      </c>
      <c r="CR38" s="43"/>
      <c r="CS38" s="17"/>
      <c r="CX38">
        <v>3</v>
      </c>
      <c r="DC38" s="14">
        <f t="shared" si="8"/>
        <v>3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100</v>
      </c>
      <c r="CP39" s="14">
        <f t="shared" si="6"/>
        <v>100</v>
      </c>
      <c r="CQ39" s="14">
        <f t="shared" si="7"/>
        <v>100</v>
      </c>
      <c r="CR39" s="43"/>
      <c r="CS39" s="17"/>
      <c r="CY39">
        <v>100</v>
      </c>
      <c r="DC39" s="14">
        <f t="shared" si="8"/>
        <v>100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4</v>
      </c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48</v>
      </c>
      <c r="CJ41" s="27">
        <f t="shared" si="3"/>
        <v>48</v>
      </c>
      <c r="CK41" s="22">
        <v>0</v>
      </c>
      <c r="CL41" s="22">
        <f t="shared" si="4"/>
        <v>48</v>
      </c>
      <c r="CM41" s="42"/>
      <c r="CN41" s="44"/>
      <c r="CO41" s="14">
        <f t="shared" si="5"/>
        <v>480</v>
      </c>
      <c r="CP41" s="14">
        <f t="shared" si="6"/>
        <v>480</v>
      </c>
      <c r="CQ41" s="14">
        <f t="shared" si="7"/>
        <v>432</v>
      </c>
      <c r="CR41" s="43"/>
      <c r="CS41" s="17">
        <v>46</v>
      </c>
      <c r="CV41">
        <v>9</v>
      </c>
      <c r="CW41">
        <v>2</v>
      </c>
      <c r="CY41">
        <v>357</v>
      </c>
      <c r="DB41">
        <v>66</v>
      </c>
      <c r="DC41" s="14">
        <f t="shared" si="8"/>
        <v>480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34</v>
      </c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141</v>
      </c>
      <c r="CJ43" s="27">
        <f t="shared" si="3"/>
        <v>141</v>
      </c>
      <c r="CK43" s="22">
        <v>0</v>
      </c>
      <c r="CL43" s="22">
        <f t="shared" si="4"/>
        <v>141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-121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76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174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49</v>
      </c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275</v>
      </c>
      <c r="CJ46" s="27">
        <f t="shared" ref="CJ46:CJ76" si="11">CH46</f>
        <v>275</v>
      </c>
      <c r="CK46" s="22">
        <v>0</v>
      </c>
      <c r="CL46" s="22">
        <f t="shared" ref="CL46:CL77" si="12">CJ46+CK46</f>
        <v>275</v>
      </c>
      <c r="CM46" s="42"/>
      <c r="CN46" s="44"/>
      <c r="CO46" s="14">
        <f t="shared" si="9"/>
        <v>1528</v>
      </c>
      <c r="CP46" s="14">
        <f t="shared" ref="CP46:CP77" si="13">CO46</f>
        <v>1528</v>
      </c>
      <c r="CQ46" s="14">
        <f t="shared" ref="CQ46:CQ77" si="14">CP46-CJ46</f>
        <v>1253</v>
      </c>
      <c r="CR46" s="43"/>
      <c r="CS46" s="17"/>
      <c r="CT46">
        <v>289</v>
      </c>
      <c r="CV46">
        <v>42</v>
      </c>
      <c r="CY46">
        <v>564</v>
      </c>
      <c r="CZ46">
        <v>633</v>
      </c>
      <c r="DC46" s="14">
        <f t="shared" ref="DC46:DC77" si="15">SUM(CS46:DB46)</f>
        <v>1528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231</v>
      </c>
      <c r="CP48" s="14">
        <f t="shared" si="13"/>
        <v>231</v>
      </c>
      <c r="CQ48" s="14">
        <f t="shared" si="14"/>
        <v>231</v>
      </c>
      <c r="CR48" s="43"/>
      <c r="CS48" s="17"/>
      <c r="CT48">
        <v>206</v>
      </c>
      <c r="DA48">
        <v>25</v>
      </c>
      <c r="DC48" s="14">
        <f t="shared" si="15"/>
        <v>231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6</v>
      </c>
      <c r="CJ51" s="27">
        <f t="shared" si="11"/>
        <v>6</v>
      </c>
      <c r="CK51" s="22">
        <v>0</v>
      </c>
      <c r="CL51" s="22">
        <f t="shared" si="12"/>
        <v>6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-6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>
        <v>127</v>
      </c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132</v>
      </c>
      <c r="CJ53" s="27">
        <f t="shared" si="11"/>
        <v>132</v>
      </c>
      <c r="CK53" s="22">
        <v>0</v>
      </c>
      <c r="CL53" s="22">
        <f t="shared" si="12"/>
        <v>132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-64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>
        <v>2</v>
      </c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82</v>
      </c>
      <c r="CJ55" s="27">
        <f t="shared" si="11"/>
        <v>82</v>
      </c>
      <c r="CK55" s="22">
        <v>0</v>
      </c>
      <c r="CL55" s="22">
        <f t="shared" si="12"/>
        <v>82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-52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69</v>
      </c>
      <c r="CJ57" s="27">
        <f t="shared" si="11"/>
        <v>69</v>
      </c>
      <c r="CK57" s="22">
        <v>0</v>
      </c>
      <c r="CL57" s="22">
        <f t="shared" si="12"/>
        <v>69</v>
      </c>
      <c r="CM57" s="42"/>
      <c r="CN57" s="44"/>
      <c r="CO57" s="14">
        <f t="shared" si="9"/>
        <v>353</v>
      </c>
      <c r="CP57" s="14">
        <f t="shared" si="13"/>
        <v>353</v>
      </c>
      <c r="CQ57" s="14">
        <f t="shared" si="14"/>
        <v>284</v>
      </c>
      <c r="CR57" s="43"/>
      <c r="CS57" s="17">
        <v>46</v>
      </c>
      <c r="CT57">
        <v>141</v>
      </c>
      <c r="CV57">
        <v>45</v>
      </c>
      <c r="CW57">
        <v>1</v>
      </c>
      <c r="CZ57">
        <v>100</v>
      </c>
      <c r="DB57">
        <v>20</v>
      </c>
      <c r="DC57" s="14">
        <f t="shared" si="15"/>
        <v>353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>
        <v>1</v>
      </c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1</v>
      </c>
      <c r="CJ60" s="27">
        <f t="shared" si="11"/>
        <v>1</v>
      </c>
      <c r="CK60" s="22">
        <v>0</v>
      </c>
      <c r="CL60" s="22">
        <f t="shared" si="12"/>
        <v>1</v>
      </c>
      <c r="CM60" s="42"/>
      <c r="CN60" s="44"/>
      <c r="CO60" s="14">
        <f t="shared" si="9"/>
        <v>200</v>
      </c>
      <c r="CP60" s="14">
        <f t="shared" si="13"/>
        <v>200</v>
      </c>
      <c r="CQ60" s="14">
        <f t="shared" si="14"/>
        <v>199</v>
      </c>
      <c r="CR60" s="43"/>
      <c r="CS60" s="17"/>
      <c r="CY60">
        <v>200</v>
      </c>
      <c r="DC60" s="14">
        <f t="shared" si="15"/>
        <v>200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19</v>
      </c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66</v>
      </c>
      <c r="CJ61" s="27">
        <f t="shared" si="11"/>
        <v>66</v>
      </c>
      <c r="CK61" s="22">
        <v>0</v>
      </c>
      <c r="CL61" s="22">
        <f t="shared" si="12"/>
        <v>66</v>
      </c>
      <c r="CM61" s="42"/>
      <c r="CN61" s="44"/>
      <c r="CO61" s="14">
        <f t="shared" si="9"/>
        <v>32</v>
      </c>
      <c r="CP61" s="14">
        <f t="shared" si="13"/>
        <v>32</v>
      </c>
      <c r="CQ61" s="14">
        <f t="shared" si="14"/>
        <v>-34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9"/>
        <v>4</v>
      </c>
      <c r="CP62" s="14">
        <f t="shared" si="13"/>
        <v>4</v>
      </c>
      <c r="CQ62" s="14">
        <f t="shared" si="14"/>
        <v>4</v>
      </c>
      <c r="CR62" s="43"/>
      <c r="CS62" s="17">
        <v>4</v>
      </c>
      <c r="DC62" s="14">
        <f t="shared" si="15"/>
        <v>4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9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5</v>
      </c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52</v>
      </c>
      <c r="CJ64" s="27">
        <f t="shared" si="11"/>
        <v>52</v>
      </c>
      <c r="CK64" s="22">
        <v>0</v>
      </c>
      <c r="CL64" s="22">
        <f t="shared" si="12"/>
        <v>52</v>
      </c>
      <c r="CM64" s="42"/>
      <c r="CN64" s="44"/>
      <c r="CO64" s="14">
        <f t="shared" si="9"/>
        <v>149</v>
      </c>
      <c r="CP64" s="14">
        <f t="shared" si="13"/>
        <v>149</v>
      </c>
      <c r="CQ64" s="14">
        <f t="shared" si="14"/>
        <v>97</v>
      </c>
      <c r="CR64" s="43"/>
      <c r="CS64" s="17"/>
      <c r="CV64">
        <v>3</v>
      </c>
      <c r="CZ64">
        <v>129</v>
      </c>
      <c r="DB64">
        <v>17</v>
      </c>
      <c r="DC64" s="14">
        <f t="shared" si="15"/>
        <v>149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9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9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9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9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9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>
        <v>16</v>
      </c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90</v>
      </c>
      <c r="CJ70" s="27">
        <f t="shared" si="11"/>
        <v>90</v>
      </c>
      <c r="CK70" s="22">
        <v>0</v>
      </c>
      <c r="CL70" s="22">
        <f t="shared" si="12"/>
        <v>90</v>
      </c>
      <c r="CM70" s="42"/>
      <c r="CN70" s="44"/>
      <c r="CO70" s="14">
        <f t="shared" si="9"/>
        <v>14</v>
      </c>
      <c r="CP70" s="14">
        <f t="shared" si="13"/>
        <v>14</v>
      </c>
      <c r="CQ70" s="14">
        <f t="shared" si="14"/>
        <v>-76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9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9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9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9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>
        <v>1</v>
      </c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8</v>
      </c>
      <c r="CJ75" s="27">
        <f t="shared" si="11"/>
        <v>8</v>
      </c>
      <c r="CK75" s="22">
        <v>0</v>
      </c>
      <c r="CL75" s="22">
        <f t="shared" si="12"/>
        <v>8</v>
      </c>
      <c r="CM75" s="42"/>
      <c r="CN75" s="44"/>
      <c r="CO75" s="14">
        <f t="shared" si="9"/>
        <v>60</v>
      </c>
      <c r="CP75" s="14">
        <f t="shared" si="13"/>
        <v>60</v>
      </c>
      <c r="CQ75" s="14">
        <f t="shared" si="14"/>
        <v>52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9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6">+SUM(AC14:AC76)</f>
        <v>0</v>
      </c>
      <c r="AD77" s="25">
        <f t="shared" si="16"/>
        <v>0</v>
      </c>
      <c r="AE77" s="25">
        <f t="shared" si="16"/>
        <v>0</v>
      </c>
      <c r="AF77" s="25">
        <f t="shared" si="16"/>
        <v>0</v>
      </c>
      <c r="AG77" s="25">
        <f t="shared" si="16"/>
        <v>0</v>
      </c>
      <c r="AH77" s="25">
        <f t="shared" si="16"/>
        <v>52</v>
      </c>
      <c r="AI77" s="25">
        <f t="shared" si="16"/>
        <v>0</v>
      </c>
      <c r="AJ77" s="25">
        <f t="shared" si="16"/>
        <v>24</v>
      </c>
      <c r="AK77" s="25">
        <f t="shared" si="16"/>
        <v>54</v>
      </c>
      <c r="AL77" s="25">
        <f t="shared" si="16"/>
        <v>66</v>
      </c>
      <c r="AM77" s="25">
        <f t="shared" si="16"/>
        <v>103</v>
      </c>
      <c r="AN77" s="25">
        <f t="shared" si="16"/>
        <v>187</v>
      </c>
      <c r="AO77" s="25">
        <f t="shared" si="16"/>
        <v>122</v>
      </c>
      <c r="AP77" s="25">
        <f t="shared" si="16"/>
        <v>76</v>
      </c>
      <c r="AQ77" s="25">
        <f t="shared" si="16"/>
        <v>175</v>
      </c>
      <c r="AR77" s="25">
        <f t="shared" si="16"/>
        <v>466</v>
      </c>
      <c r="AS77" s="25">
        <f t="shared" si="16"/>
        <v>404</v>
      </c>
      <c r="AT77" s="25">
        <f t="shared" si="16"/>
        <v>503</v>
      </c>
      <c r="AU77" s="25">
        <f t="shared" si="16"/>
        <v>0</v>
      </c>
      <c r="AV77" s="25">
        <f t="shared" si="16"/>
        <v>0</v>
      </c>
      <c r="AW77" s="25">
        <f t="shared" si="16"/>
        <v>0</v>
      </c>
      <c r="AX77" s="25">
        <f t="shared" si="16"/>
        <v>0</v>
      </c>
      <c r="AY77" s="25">
        <f t="shared" si="16"/>
        <v>0</v>
      </c>
      <c r="AZ77" s="25">
        <f t="shared" si="16"/>
        <v>0</v>
      </c>
      <c r="BA77" s="25">
        <f t="shared" si="16"/>
        <v>0</v>
      </c>
      <c r="BB77" s="25">
        <f t="shared" si="16"/>
        <v>0</v>
      </c>
      <c r="BC77" s="25">
        <f t="shared" si="16"/>
        <v>0</v>
      </c>
      <c r="BD77" s="25">
        <f t="shared" si="16"/>
        <v>0</v>
      </c>
      <c r="BE77" s="25">
        <f t="shared" si="16"/>
        <v>0</v>
      </c>
      <c r="BF77" s="25">
        <f t="shared" si="16"/>
        <v>0</v>
      </c>
      <c r="BG77" s="25">
        <f t="shared" si="16"/>
        <v>0</v>
      </c>
      <c r="BH77" s="25">
        <f t="shared" si="16"/>
        <v>0</v>
      </c>
      <c r="BI77" s="25">
        <f t="shared" ref="BI77:CN77" si="17">+SUM(BI14:BI76)</f>
        <v>0</v>
      </c>
      <c r="BJ77" s="25">
        <f t="shared" si="17"/>
        <v>0</v>
      </c>
      <c r="BK77" s="25">
        <f t="shared" si="17"/>
        <v>0</v>
      </c>
      <c r="BL77" s="25">
        <f t="shared" si="17"/>
        <v>0</v>
      </c>
      <c r="BM77" s="25">
        <f t="shared" si="17"/>
        <v>0</v>
      </c>
      <c r="BN77" s="25">
        <f t="shared" si="17"/>
        <v>0</v>
      </c>
      <c r="BO77" s="25">
        <f t="shared" si="17"/>
        <v>0</v>
      </c>
      <c r="BP77" s="25">
        <f t="shared" si="17"/>
        <v>0</v>
      </c>
      <c r="BQ77" s="25">
        <f t="shared" si="17"/>
        <v>0</v>
      </c>
      <c r="BR77" s="25">
        <f t="shared" si="17"/>
        <v>0</v>
      </c>
      <c r="BS77" s="25">
        <f t="shared" si="17"/>
        <v>0</v>
      </c>
      <c r="BT77" s="25">
        <f t="shared" si="17"/>
        <v>0</v>
      </c>
      <c r="BU77" s="25">
        <f t="shared" si="17"/>
        <v>0</v>
      </c>
      <c r="BV77" s="25">
        <f t="shared" si="17"/>
        <v>0</v>
      </c>
      <c r="BW77" s="25">
        <f t="shared" si="17"/>
        <v>0</v>
      </c>
      <c r="BX77" s="25">
        <f t="shared" si="17"/>
        <v>0</v>
      </c>
      <c r="BY77" s="25">
        <f t="shared" si="17"/>
        <v>0</v>
      </c>
      <c r="BZ77" s="25">
        <f t="shared" si="17"/>
        <v>0</v>
      </c>
      <c r="CA77" s="25">
        <f t="shared" si="17"/>
        <v>0</v>
      </c>
      <c r="CB77" s="25">
        <f t="shared" si="17"/>
        <v>0</v>
      </c>
      <c r="CC77" s="25">
        <f t="shared" si="17"/>
        <v>0</v>
      </c>
      <c r="CD77" s="25">
        <f t="shared" si="17"/>
        <v>0</v>
      </c>
      <c r="CE77" s="25">
        <f t="shared" si="17"/>
        <v>0</v>
      </c>
      <c r="CF77" s="25">
        <f t="shared" si="17"/>
        <v>0</v>
      </c>
      <c r="CG77" s="25">
        <f t="shared" si="17"/>
        <v>0</v>
      </c>
      <c r="CH77" s="25">
        <f t="shared" si="17"/>
        <v>2232</v>
      </c>
      <c r="CJ77" s="25">
        <f>+SUM(CJ14:CJ76)</f>
        <v>2232</v>
      </c>
      <c r="CK77" s="25">
        <f>+SUM(CK14:CK76)</f>
        <v>0</v>
      </c>
      <c r="CL77" s="25">
        <f>+SUM(CL14:CL76)</f>
        <v>2232</v>
      </c>
      <c r="CM77" s="25"/>
      <c r="CN77" s="25"/>
      <c r="CO77" s="25">
        <f>+SUM(CO14:CO76)</f>
        <v>11232</v>
      </c>
      <c r="CP77" s="25">
        <f>+SUM(CP14:CP76)</f>
        <v>11232</v>
      </c>
      <c r="CQ77" s="25">
        <f>+SUM(CQ14:CQ76)</f>
        <v>9000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2026-10-29T22:21:20Z</dcterms:modified>
</cp:coreProperties>
</file>