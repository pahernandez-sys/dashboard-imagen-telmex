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1334F94-E61D-478C-A91E-884EAAAC42D1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C13" i="3" s="1"/>
  <c r="BB77" i="3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B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19" i="3" l="1"/>
  <c r="CQ48" i="3"/>
  <c r="CQ53" i="3"/>
  <c r="CQ51" i="3"/>
  <c r="CQ43" i="3"/>
  <c r="CQ40" i="3"/>
  <c r="CQ39" i="3"/>
  <c r="CQ34" i="3"/>
  <c r="CQ33" i="3"/>
  <c r="CW17" i="2"/>
  <c r="AS13" i="3"/>
  <c r="E22" i="1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AH13" i="3"/>
  <c r="E11" i="1"/>
  <c r="CO77" i="3"/>
  <c r="CP14" i="3"/>
  <c r="CH77" i="3"/>
  <c r="CJ14" i="3"/>
  <c r="D22" i="1"/>
  <c r="F22" i="1" s="1"/>
  <c r="AM13" i="2"/>
  <c r="D21" i="1"/>
  <c r="F21" i="1" s="1"/>
  <c r="AL13" i="2"/>
  <c r="D20" i="1"/>
  <c r="AK13" i="2"/>
  <c r="D19" i="1"/>
  <c r="AJ13" i="2"/>
  <c r="D18" i="1"/>
  <c r="AI13" i="2"/>
  <c r="D17" i="1"/>
  <c r="AH13" i="2"/>
  <c r="D16" i="1"/>
  <c r="AG13" i="2"/>
  <c r="AF13" i="2"/>
  <c r="D15" i="1"/>
  <c r="D14" i="1"/>
  <c r="AE13" i="2"/>
  <c r="D13" i="1"/>
  <c r="AD13" i="2"/>
  <c r="D12" i="1"/>
  <c r="AC13" i="2"/>
  <c r="D11" i="1"/>
  <c r="AB13" i="2"/>
  <c r="CP71" i="2"/>
  <c r="CN79" i="2"/>
  <c r="CV30" i="2"/>
  <c r="CW30" i="2" s="1"/>
  <c r="CU79" i="2"/>
  <c r="CW14" i="2"/>
  <c r="CV79" i="2"/>
  <c r="CR14" i="2"/>
  <c r="CP79" i="2"/>
  <c r="CQ46" i="3"/>
  <c r="CQ41" i="3"/>
  <c r="CQ36" i="3"/>
  <c r="CQ35" i="3"/>
  <c r="CQ29" i="3"/>
  <c r="CQ27" i="3"/>
  <c r="CQ26" i="3"/>
  <c r="CQ18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Q28" i="3"/>
  <c r="CQ25" i="3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2" i="3"/>
  <c r="CQ50" i="3"/>
  <c r="CQ49" i="3"/>
  <c r="CQ47" i="3"/>
  <c r="CQ45" i="3"/>
  <c r="CQ44" i="3"/>
  <c r="CQ42" i="3"/>
  <c r="CQ38" i="3"/>
  <c r="CQ37" i="3"/>
  <c r="CQ32" i="3"/>
  <c r="CQ31" i="3"/>
  <c r="CQ30" i="3"/>
  <c r="CQ24" i="3"/>
  <c r="CQ23" i="3"/>
  <c r="CQ22" i="3"/>
  <c r="CQ21" i="3"/>
  <c r="CQ20" i="3"/>
  <c r="CQ17" i="3"/>
  <c r="CQ16" i="3"/>
  <c r="CQ15" i="3"/>
  <c r="E23" i="1" l="1"/>
  <c r="F20" i="1"/>
  <c r="F19" i="1"/>
  <c r="F18" i="1"/>
  <c r="F17" i="1"/>
  <c r="F16" i="1"/>
  <c r="F15" i="1"/>
  <c r="F14" i="1"/>
  <c r="F13" i="1"/>
  <c r="F12" i="1"/>
  <c r="CQ14" i="3"/>
  <c r="CQ77" i="3" s="1"/>
  <c r="CP77" i="3"/>
  <c r="D3" i="3"/>
  <c r="CH13" i="3"/>
  <c r="E6" i="1"/>
  <c r="I3" i="2"/>
  <c r="CL14" i="3"/>
  <c r="CL77" i="3" s="1"/>
  <c r="CJ77" i="3"/>
  <c r="D23" i="1"/>
  <c r="F11" i="1"/>
  <c r="CW71" i="2"/>
  <c r="CR71" i="2"/>
  <c r="CR79" i="2" s="1"/>
  <c r="I3" i="3"/>
  <c r="B6" i="1"/>
  <c r="D3" i="2"/>
  <c r="CN13" i="2"/>
  <c r="CW79" i="2"/>
  <c r="F23" i="1" l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<sst xmlns="http://schemas.openxmlformats.org/spreadsheetml/2006/main" count="586" uniqueCount="174">
  <si>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</si>
  <si>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</si>
  <si>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</si>
  <si>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</si>
  <si>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</si>
  <si>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</si>
  <si>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</si>
  <si>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</si>
  <si>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</si>
  <si>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</si>
  <si>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</si>
  <si>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</si>
  <si>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</si>
  <si>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</si>
  <si>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</si>
  <si>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</si>
  <si>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</si>
  <si>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</si>
  <si>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</si>
  <si>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</si>
  <si>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</si>
  <si>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</si>
  <si>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</si>
  <si>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</si>
  <si>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</si>
  <si>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</si>
  <si>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</si>
  <si>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</si>
  <si>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</si>
  <si>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</si>
  <si>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</si>
  <si>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</si>
  <si>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</si>
  <si>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</si>
  <si>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</si>
  <si>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</si>
  <si>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</si>
  <si>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</si>
  <si>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</si>
  <si>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</si>
  <si>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</si>
  <si>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</si>
  <si>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</si>
  <si>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</si>
  <si>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</si>
  <si>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</si>
  <si>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</si>
  <si>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</si>
  <si>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</si>
  <si>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</si>
  <si>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</si>
  <si>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</si>
  <si>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</si>
  <si>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</si>
  <si>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</si>
  <si>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</si>
  <si>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</si>
  <si>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</si>
  <si>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</si>
  <si>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</si>
  <si>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</si>
  <si>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</si>
  <si>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</si>
  <si>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</si>
  <si>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</si>
  <si>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</si>
  <si>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</si>
  <si>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</si>
  <si>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</si>
  <si>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</si>
  <si>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</si>
  <si>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</si>
  <si>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</si>
  <si>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</si>
  <si>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</si>
  <si>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</si>
  <si>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</si>
  <si>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</si>
  <si>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</si>
  <si>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</si>
  <si>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</si>
  <si>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</si>
  <si>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</si>
  <si>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</si>
  <si>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</si>
  <si>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</si>
  <si>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</si>
  <si>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</si>
  <si>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</si>
  <si>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</si>
  <si>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</si>
  <si>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</si>
  <si>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</si>
  <si>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</si>
  <si>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</si>
  <si>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</si>
  <si>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</si>
  <si>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</si>
  <si>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</si>
  <si>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</si>
  <si>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</si>
  <si>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</si>
  <si>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</si>
  <si>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</si>
  <si>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</si>
  <si>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</si>
  <si>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</si>
  <si>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</si>
  <si>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</si>
  <si>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</si>
  <si>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</si>
  <si>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</si>
  <si>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16:57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</si>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</sst>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629</v>
      </c>
      <c r="C6" s="89"/>
      <c r="E6" s="88">
        <f>'Programa CAJAS REPORTE DIARIO'!CH77</f>
        <v>1642</v>
      </c>
      <c r="F6" s="89"/>
      <c r="H6" s="101">
        <f>B6+E6</f>
        <v>2271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147</v>
      </c>
      <c r="E22" s="72">
        <f>'Programa CAJAS REPORTE DIARIO'!AS77</f>
        <v>317</v>
      </c>
      <c r="F22" s="72">
        <f t="shared" si="0"/>
        <v>464</v>
      </c>
      <c r="G22" s="72">
        <f t="shared" si="1"/>
        <v>2271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629</v>
      </c>
      <c r="E23" s="75">
        <f>SUM(E11:E22)</f>
        <v>1642</v>
      </c>
      <c r="F23" s="75">
        <f>SUM(F11:F22)</f>
        <v>2271</v>
      </c>
      <c r="G23" s="75">
        <f>F23</f>
        <v>2271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629</v>
      </c>
      <c r="F3" s="79" t="s">
        <v>1</v>
      </c>
      <c r="I3" s="80">
        <f>'Programa CAJAS REPORTE DIARIO'!CH77+CN79</f>
        <v>2271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147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629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22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65</v>
      </c>
      <c r="CP42" s="27">
        <f t="shared" si="4"/>
        <v>65</v>
      </c>
      <c r="CQ42" s="22">
        <v>0</v>
      </c>
      <c r="CR42" s="22">
        <f t="shared" si="5"/>
        <v>65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147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629</v>
      </c>
      <c r="CP79" s="25">
        <f>+SUM(CP14:CP78)</f>
        <v>629</v>
      </c>
      <c r="CQ79" s="25">
        <f>+SUM(CQ14:CQ78)</f>
        <v>0</v>
      </c>
      <c r="CR79" s="25">
        <f>+SUM(CR14:CR78)</f>
        <v>629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1642</v>
      </c>
      <c r="F3" s="79" t="s">
        <v>1</v>
      </c>
      <c r="I3" s="80">
        <f>'Programa CASETAS REPORTE DIARIO'!CN79+CH77</f>
        <v>2271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317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1642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364</v>
      </c>
      <c r="CJ27" s="27">
        <f t="shared" si="3"/>
        <v>364</v>
      </c>
      <c r="CK27" s="22">
        <v>0</v>
      </c>
      <c r="CL27" s="22">
        <f t="shared" si="4"/>
        <v>364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262</v>
      </c>
      <c r="CJ28" s="27">
        <f t="shared" si="3"/>
        <v>262</v>
      </c>
      <c r="CK28" s="22">
        <v>0</v>
      </c>
      <c r="CL28" s="22">
        <f t="shared" si="4"/>
        <v>262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15</v>
      </c>
      <c r="CJ41" s="27">
        <f t="shared" si="3"/>
        <v>15</v>
      </c>
      <c r="CK41" s="22">
        <v>0</v>
      </c>
      <c r="CL41" s="22">
        <f t="shared" si="4"/>
        <v>15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46</v>
      </c>
      <c r="CJ61" s="27">
        <f t="shared" si="11"/>
        <v>46</v>
      </c>
      <c r="CK61" s="22">
        <v>0</v>
      </c>
      <c r="CL61" s="22">
        <f t="shared" si="12"/>
        <v>46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317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1642</v>
      </c>
      <c r="CJ77" s="25">
        <f>+SUM(CJ14:CJ76)</f>
        <v>1642</v>
      </c>
      <c r="CK77" s="25">
        <f>+SUM(CK14:CK76)</f>
        <v>0</v>
      </c>
      <c r="CL77" s="25">
        <f>+SUM(CL14:CL76)</f>
        <v>1642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6865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2026-10-28T22:57:08Z</dcterms:modified>
</cp:coreProperties>
</file>