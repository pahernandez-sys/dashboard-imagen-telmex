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F93682CC-9138-4A4A-A089-02A235361652}" xr6:coauthVersionLast="47" xr6:coauthVersionMax="47" xr10:uidLastSave="{00000000-0000-0000-0000-000000000000}"/>
  <bookViews>
    <workbookView xWindow="760" yWindow="0" windowWidth="5400" windowHeight="40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Q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DC19" i="3"/>
  <c r="CO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DD17" i="2"/>
  <c r="CU17" i="2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CQ69" i="3" l="1"/>
  <c r="CQ67" i="3"/>
  <c r="CW37" i="2"/>
  <c r="CW35" i="2"/>
  <c r="CW33" i="2"/>
  <c r="CW29" i="2"/>
  <c r="CW27" i="2"/>
  <c r="CW25" i="2"/>
  <c r="CW21" i="2"/>
  <c r="CQ38" i="3"/>
  <c r="CL38" i="3"/>
  <c r="E23" i="1"/>
  <c r="AT13" i="3"/>
  <c r="AS13" i="3"/>
  <c r="E22" i="1"/>
  <c r="AR13" i="3"/>
  <c r="E21" i="1"/>
  <c r="AQ13" i="3"/>
  <c r="E20" i="1"/>
  <c r="AP13" i="3"/>
  <c r="E19" i="1"/>
  <c r="AO13" i="3"/>
  <c r="E18" i="1"/>
  <c r="AN13" i="3"/>
  <c r="E17" i="1"/>
  <c r="AM13" i="3"/>
  <c r="E16" i="1"/>
  <c r="AL13" i="3"/>
  <c r="E15" i="1"/>
  <c r="E14" i="1"/>
  <c r="AK13" i="3"/>
  <c r="E13" i="1"/>
  <c r="AJ13" i="3"/>
  <c r="E12" i="1"/>
  <c r="AI13" i="3"/>
  <c r="E11" i="1"/>
  <c r="AH13" i="3"/>
  <c r="CH77" i="3"/>
  <c r="CJ20" i="3"/>
  <c r="CJ77" i="3" s="1"/>
  <c r="CO77" i="3"/>
  <c r="CP19" i="3"/>
  <c r="CQ14" i="3"/>
  <c r="CL14" i="3"/>
  <c r="AN13" i="2"/>
  <c r="D23" i="1"/>
  <c r="D22" i="1"/>
  <c r="F22" i="1" s="1"/>
  <c r="AM13" i="2"/>
  <c r="AL13" i="2"/>
  <c r="D21" i="1"/>
  <c r="F21" i="1" s="1"/>
  <c r="AK13" i="2"/>
  <c r="D20" i="1"/>
  <c r="F20" i="1" s="1"/>
  <c r="AJ13" i="2"/>
  <c r="D19" i="1"/>
  <c r="F19" i="1" s="1"/>
  <c r="AI13" i="2"/>
  <c r="D18" i="1"/>
  <c r="F18" i="1" s="1"/>
  <c r="AH13" i="2"/>
  <c r="D17" i="1"/>
  <c r="AG13" i="2"/>
  <c r="D16" i="1"/>
  <c r="D15" i="1"/>
  <c r="AF13" i="2"/>
  <c r="AE13" i="2"/>
  <c r="D14" i="1"/>
  <c r="AD13" i="2"/>
  <c r="D13" i="1"/>
  <c r="AC13" i="2"/>
  <c r="D12" i="1"/>
  <c r="AB13" i="2"/>
  <c r="D11" i="1"/>
  <c r="CN79" i="2"/>
  <c r="CP18" i="2"/>
  <c r="CV17" i="2"/>
  <c r="CW17" i="2" s="1"/>
  <c r="CU79" i="2"/>
  <c r="CW14" i="2"/>
  <c r="CV79" i="2"/>
  <c r="CR14" i="2"/>
  <c r="CP79" i="2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7" i="3"/>
  <c r="CQ36" i="3"/>
  <c r="CQ35" i="3"/>
  <c r="CQ34" i="3"/>
  <c r="CQ33" i="3"/>
  <c r="CQ32" i="3"/>
  <c r="CQ31" i="3"/>
  <c r="CQ75" i="3"/>
  <c r="CQ29" i="3"/>
  <c r="CQ28" i="3"/>
  <c r="CQ27" i="3"/>
  <c r="CQ26" i="3"/>
  <c r="CQ25" i="3"/>
  <c r="CQ24" i="3"/>
  <c r="CQ23" i="3"/>
  <c r="CQ22" i="3"/>
  <c r="CQ21" i="3"/>
  <c r="CQ18" i="3"/>
  <c r="CQ17" i="3"/>
  <c r="CQ16" i="3"/>
  <c r="CQ15" i="3"/>
  <c r="CW19" i="2"/>
  <c r="CW16" i="2"/>
  <c r="CQ73" i="3"/>
  <c r="CQ70" i="3"/>
  <c r="CQ68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36" i="2"/>
  <c r="CW32" i="2"/>
  <c r="CW31" i="2"/>
  <c r="CW28" i="2"/>
  <c r="CW24" i="2"/>
  <c r="CW23" i="2"/>
  <c r="CQ76" i="3"/>
  <c r="CQ74" i="3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4" i="2"/>
  <c r="CW30" i="2"/>
  <c r="CW26" i="2"/>
  <c r="CW22" i="2"/>
  <c r="CW20" i="2"/>
  <c r="CW15" i="2"/>
  <c r="CQ72" i="3"/>
  <c r="CQ71" i="3"/>
  <c r="F23" i="1" l="1"/>
  <c r="CQ19" i="3"/>
  <c r="CP77" i="3"/>
  <c r="E24" i="1"/>
  <c r="I3" i="2"/>
  <c r="D3" i="3"/>
  <c r="E6" i="1"/>
  <c r="CH13" i="3"/>
  <c r="CQ20" i="3"/>
  <c r="CQ77" i="3" s="1"/>
  <c r="CL20" i="3"/>
  <c r="CL77" i="3" s="1"/>
  <c r="F11" i="1"/>
  <c r="D24" i="1"/>
  <c r="B6" i="1"/>
  <c r="D3" i="2"/>
  <c r="CN13" i="2"/>
  <c r="I3" i="3"/>
  <c r="CW18" i="2"/>
  <c r="CW79" i="2" s="1"/>
  <c r="CR18" i="2"/>
  <c r="CR79" i="2" s="1"/>
  <c r="F17" i="1"/>
  <c r="F16" i="1"/>
  <c r="F15" i="1"/>
  <c r="F14" i="1"/>
  <c r="F13" i="1"/>
  <c r="F12" i="1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H6" i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<sst xmlns="http://schemas.openxmlformats.org/spreadsheetml/2006/main" count="589" uniqueCount="175">
  <si>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</si>
  <si>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</si>
  <si>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</si>
  <si>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</si>
  <si>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</si>
  <si>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</si>
  <si>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</si>
  <si>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</si>
  <si>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</si>
  <si>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</si>
  <si>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</si>
  <si>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</si>
  <si>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</si>
  <si>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</si>
  <si>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</si>
  <si>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</si>
  <si>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</si>
  <si>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</si>
  <si>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</si>
  <si>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</si>
  <si>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</si>
  <si>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</si>
  <si>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</si>
  <si>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</si>
  <si>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</si>
  <si>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</si>
  <si>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</si>
  <si>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</si>
  <si>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</si>
  <si>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</si>
  <si>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</si>
  <si>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</si>
  <si>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</si>
  <si>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</si>
  <si>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</si>
  <si>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</si>
  <si>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</si>
  <si>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</si>
  <si>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</si>
  <si>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</si>
  <si>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</si>
  <si>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</si>
  <si>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</si>
  <si>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</si>
  <si>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</si>
  <si>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</si>
  <si>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</si>
  <si>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</si>
  <si>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</si>
  <si>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</si>
  <si>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</si>
  <si>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</si>
  <si>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</si>
  <si>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</si>
  <si>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</si>
  <si>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</si>
  <si>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</si>
  <si>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</si>
  <si>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</si>
  <si>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</si>
  <si>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</si>
  <si>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</si>
  <si>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</si>
  <si>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</si>
  <si>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</si>
  <si>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</si>
  <si>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</si>
  <si>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</si>
  <si>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</si>
  <si>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</si>
  <si>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</si>
  <si>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</si>
  <si>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</si>
  <si>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</si>
  <si>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</si>
  <si>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</si>
  <si>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</si>
  <si>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</si>
  <si>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</si>
  <si>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</si>
  <si>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</si>
  <si>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</si>
  <si>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</si>
  <si>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</si>
  <si>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</si>
  <si>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</si>
  <si>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</si>
  <si>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</si>
  <si>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</si>
  <si>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</si>
  <si>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</si>
  <si>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</si>
  <si>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</si>
  <si>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</si>
  <si>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</si>
  <si>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</si>
  <si>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</si>
  <si>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</si>
  <si>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</si>
  <si>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</si>
  <si>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</si>
  <si>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</si>
  <si>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</si>
  <si>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</si>
  <si>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</si>
  <si>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</si>
  <si>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</si>
  <si>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</si>
  <si>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</si>
  <si>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</si>
  <si>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</si>
  <si>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</si>
  <si>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18:09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</si>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</sst>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883</v>
      </c>
      <c r="C6" s="89"/>
      <c r="E6" s="88">
        <f>'Programa CAJAS REPORTE DIARIO'!CH77</f>
        <v>2366</v>
      </c>
      <c r="F6" s="89"/>
      <c r="H6" s="101">
        <f>B6+E6</f>
        <v>3249</v>
      </c>
      <c r="I6" s="97"/>
      <c r="J6" s="97"/>
    </row>
    <row r="7" spans="2:10" ht="16" customHeight="1" x14ac:dyDescent="0.35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0" customHeight="1" x14ac:dyDescent="0.35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20" customHeight="1" x14ac:dyDescent="0.35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20" customHeight="1" x14ac:dyDescent="0.35">
      <c r="B23" s="69" t="s">
        <v>148</v>
      </c>
      <c r="C23" s="69" t="s">
        <v>139</v>
      </c>
      <c r="D23" s="70">
        <f>'Programa CASETAS REPORTE DIARIO'!AN79</f>
        <v>224</v>
      </c>
      <c r="E23" s="70">
        <f>'Programa CAJAS REPORTE DIARIO'!AT77</f>
        <v>637</v>
      </c>
      <c r="F23" s="70">
        <f t="shared" si="0"/>
        <v>861</v>
      </c>
      <c r="G23" s="70">
        <f t="shared" si="1"/>
        <v>3249</v>
      </c>
      <c r="H23" s="69" t="s">
        <v>149</v>
      </c>
    </row>
    <row r="24" spans="2:8" ht="24" customHeight="1" x14ac:dyDescent="0.35">
      <c r="B24" s="73" t="s">
        <v>150</v>
      </c>
      <c r="C24" s="74"/>
      <c r="D24" s="75">
        <f>SUM(D11:D23)</f>
        <v>883</v>
      </c>
      <c r="E24" s="75">
        <f>SUM(E11:E23)</f>
        <v>2366</v>
      </c>
      <c r="F24" s="75">
        <f>SUM(F11:F23)</f>
        <v>3249</v>
      </c>
      <c r="G24" s="75">
        <f>F24</f>
        <v>3249</v>
      </c>
      <c r="H24" s="76" t="s">
        <v>151</v>
      </c>
    </row>
    <row r="26" spans="2:8" x14ac:dyDescent="0.35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5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5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5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883</v>
      </c>
      <c r="F3" s="79" t="s">
        <v>1</v>
      </c>
      <c r="I3" s="80">
        <f>'Programa CAJAS REPORTE DIARIO'!CH77+CN79</f>
        <v>3249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224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883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8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191</v>
      </c>
      <c r="CP27" s="27">
        <f t="shared" si="4"/>
        <v>191</v>
      </c>
      <c r="CQ27" s="22">
        <v>0</v>
      </c>
      <c r="CR27" s="22">
        <f t="shared" si="5"/>
        <v>191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32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177</v>
      </c>
      <c r="CP28" s="27">
        <f t="shared" si="4"/>
        <v>177</v>
      </c>
      <c r="CQ28" s="22">
        <v>0</v>
      </c>
      <c r="CR28" s="22">
        <f t="shared" si="5"/>
        <v>177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1200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58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128</v>
      </c>
      <c r="CP42" s="27">
        <f t="shared" si="4"/>
        <v>128</v>
      </c>
      <c r="CQ42" s="22">
        <v>0</v>
      </c>
      <c r="CR42" s="22">
        <f t="shared" si="5"/>
        <v>128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-128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224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883</v>
      </c>
      <c r="CP79" s="25">
        <f>+SUM(CP14:CP78)</f>
        <v>883</v>
      </c>
      <c r="CQ79" s="25">
        <f>+SUM(CQ14:CQ78)</f>
        <v>0</v>
      </c>
      <c r="CR79" s="25">
        <f>+SUM(CR14:CR78)</f>
        <v>883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6383.5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157</v>
      </c>
      <c r="D3" s="78">
        <f>+CH77</f>
        <v>2366</v>
      </c>
      <c r="F3" s="79" t="s">
        <v>1</v>
      </c>
      <c r="I3" s="80">
        <f>'Programa CASETAS REPORTE DIARIO'!CN79+CH77</f>
        <v>3249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3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637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2366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52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417</v>
      </c>
      <c r="CJ27" s="27">
        <f t="shared" si="3"/>
        <v>417</v>
      </c>
      <c r="CK27" s="22">
        <v>0</v>
      </c>
      <c r="CL27" s="22">
        <f t="shared" si="4"/>
        <v>417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369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45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325</v>
      </c>
      <c r="CJ28" s="27">
        <f t="shared" si="3"/>
        <v>325</v>
      </c>
      <c r="CK28" s="22">
        <v>0</v>
      </c>
      <c r="CL28" s="22">
        <f t="shared" si="4"/>
        <v>325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-147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105</v>
      </c>
      <c r="CJ29" s="27">
        <f t="shared" si="3"/>
        <v>105</v>
      </c>
      <c r="CK29" s="22">
        <v>0</v>
      </c>
      <c r="CL29" s="22">
        <f t="shared" si="4"/>
        <v>105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1231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163</v>
      </c>
      <c r="CJ35" s="27">
        <f t="shared" si="3"/>
        <v>163</v>
      </c>
      <c r="CK35" s="22">
        <v>0</v>
      </c>
      <c r="CL35" s="22">
        <f t="shared" si="4"/>
        <v>163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8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52</v>
      </c>
      <c r="CJ41" s="27">
        <f t="shared" si="3"/>
        <v>52</v>
      </c>
      <c r="CK41" s="22">
        <v>0</v>
      </c>
      <c r="CL41" s="22">
        <f t="shared" si="4"/>
        <v>52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428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176</v>
      </c>
      <c r="CJ43" s="27">
        <f t="shared" si="3"/>
        <v>176</v>
      </c>
      <c r="CK43" s="22">
        <v>0</v>
      </c>
      <c r="CL43" s="22">
        <f t="shared" si="4"/>
        <v>176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-156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67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293</v>
      </c>
      <c r="CJ46" s="27">
        <f t="shared" ref="CJ46:CJ76" si="11">CH46</f>
        <v>293</v>
      </c>
      <c r="CK46" s="22">
        <v>0</v>
      </c>
      <c r="CL46" s="22">
        <f t="shared" ref="CL46:CL77" si="12">CJ46+CK46</f>
        <v>293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1235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150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155</v>
      </c>
      <c r="CJ53" s="27">
        <f t="shared" si="11"/>
        <v>155</v>
      </c>
      <c r="CK53" s="22">
        <v>0</v>
      </c>
      <c r="CL53" s="22">
        <f t="shared" si="12"/>
        <v>155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-87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83</v>
      </c>
      <c r="CJ55" s="27">
        <f t="shared" si="11"/>
        <v>83</v>
      </c>
      <c r="CK55" s="22">
        <v>0</v>
      </c>
      <c r="CL55" s="22">
        <f t="shared" si="12"/>
        <v>83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637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2366</v>
      </c>
      <c r="CJ77" s="25">
        <f>+SUM(CJ14:CJ76)</f>
        <v>2366</v>
      </c>
      <c r="CK77" s="25">
        <f>+SUM(CK14:CK76)</f>
        <v>0</v>
      </c>
      <c r="CL77" s="25">
        <f>+SUM(CL14:CL76)</f>
        <v>2366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8866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2026-10-30T00:09:26Z</dcterms:modified>
</cp:coreProperties>
</file>