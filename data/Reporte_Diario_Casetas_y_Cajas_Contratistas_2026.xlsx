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4A4C572-8850-49DA-97D9-F07A6C4F31A1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D20" i="1" l="1"/>
  <c r="AK13" i="2"/>
  <c r="D19" i="1"/>
  <c r="AJ13" i="2"/>
  <c r="D18" i="1"/>
  <c r="AI13" i="2"/>
  <c r="D17" i="1"/>
  <c r="AH13" i="2"/>
  <c r="D16" i="1"/>
  <c r="AG13" i="2"/>
  <c r="CQ67" i="3"/>
  <c r="CQ33" i="3"/>
  <c r="D15" i="1"/>
  <c r="AF13" i="2"/>
  <c r="D14" i="1"/>
  <c r="AE13" i="2"/>
  <c r="D13" i="1"/>
  <c r="AD13" i="2"/>
  <c r="D12" i="1"/>
  <c r="AC13" i="2"/>
  <c r="D11" i="1"/>
  <c r="AB13" i="2"/>
  <c r="CW78" i="2"/>
  <c r="CR78" i="2"/>
  <c r="E20" i="1"/>
  <c r="F20" i="1" s="1"/>
  <c r="AQ13" i="3"/>
  <c r="AP13" i="3"/>
  <c r="E19" i="1"/>
  <c r="F19" i="1" s="1"/>
  <c r="AO13" i="3"/>
  <c r="E18" i="1"/>
  <c r="F18" i="1" s="1"/>
  <c r="E17" i="1"/>
  <c r="F17" i="1" s="1"/>
  <c r="AN13" i="3"/>
  <c r="E16" i="1"/>
  <c r="F16" i="1" s="1"/>
  <c r="AM13" i="3"/>
  <c r="AL13" i="3"/>
  <c r="E15" i="1"/>
  <c r="F15" i="1" s="1"/>
  <c r="E14" i="1"/>
  <c r="F14" i="1" s="1"/>
  <c r="AK13" i="3"/>
  <c r="E13" i="1"/>
  <c r="F13" i="1" s="1"/>
  <c r="AJ13" i="3"/>
  <c r="AI13" i="3"/>
  <c r="E12" i="1"/>
  <c r="F12" i="1" s="1"/>
  <c r="E11" i="1"/>
  <c r="AH13" i="3"/>
  <c r="CJ46" i="3"/>
  <c r="CH77" i="3"/>
  <c r="CP19" i="3"/>
  <c r="CQ19" i="3" s="1"/>
  <c r="CO77" i="3"/>
  <c r="CQ14" i="3"/>
  <c r="CP77" i="3"/>
  <c r="CL14" i="3"/>
  <c r="CJ77" i="3"/>
  <c r="D21" i="1"/>
  <c r="CU79" i="2"/>
  <c r="CV14" i="2"/>
  <c r="CN79" i="2"/>
  <c r="CP14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E21" i="1" l="1"/>
  <c r="F11" i="1"/>
  <c r="F21" i="1" s="1"/>
  <c r="G21" i="1" s="1"/>
  <c r="CQ46" i="3"/>
  <c r="CQ77" i="3" s="1"/>
  <c r="CL46" i="3"/>
  <c r="CL77" i="3" s="1"/>
  <c r="E6" i="1"/>
  <c r="D3" i="3"/>
  <c r="I3" i="2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CW14" i="2"/>
  <c r="CW79" i="2" s="1"/>
  <c r="CV79" i="2"/>
  <c r="B6" i="1"/>
  <c r="I3" i="3"/>
  <c r="CN13" i="2"/>
  <c r="D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<sst xmlns="http://schemas.openxmlformats.org/spreadsheetml/2006/main" count="580" uniqueCount="171">
  <si>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</si>
  <si>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</si>
  <si>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</si>
  <si>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</si>
  <si>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</si>
  <si>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</si>
  <si>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</si>
  <si>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</si>
  <si>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</si>
  <si>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</si>
  <si>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</si>
  <si>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</si>
  <si>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</si>
  <si>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</si>
  <si>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</si>
  <si>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</si>
  <si>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</si>
  <si>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</si>
  <si>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</si>
  <si>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</si>
  <si>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</si>
  <si>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</si>
  <si>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</si>
  <si>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</si>
  <si>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</si>
  <si>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</si>
  <si>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</si>
  <si>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</si>
  <si>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</si>
  <si>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</si>
  <si>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</si>
  <si>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</si>
  <si>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</si>
  <si>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</si>
  <si>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</si>
  <si>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</si>
  <si>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</si>
  <si>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</si>
  <si>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</si>
  <si>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</si>
  <si>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</si>
  <si>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</si>
  <si>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</si>
  <si>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</si>
  <si>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</si>
  <si>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</si>
  <si>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</si>
  <si>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</si>
  <si>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</si>
  <si>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</si>
  <si>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</si>
  <si>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</si>
  <si>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</si>
  <si>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</si>
  <si>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</si>
  <si>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</si>
  <si>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</si>
  <si>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</si>
  <si>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</si>
  <si>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</si>
  <si>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</si>
  <si>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</si>
  <si>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</si>
  <si>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</si>
  <si>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</si>
  <si>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</si>
  <si>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</si>
  <si>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</si>
  <si>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</si>
  <si>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</si>
  <si>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</si>
  <si>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</si>
  <si>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</si>
  <si>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</si>
  <si>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</si>
  <si>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</si>
  <si>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</si>
  <si>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</si>
  <si>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</si>
  <si>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</si>
  <si>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</si>
  <si>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</si>
  <si>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</si>
  <si>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</si>
  <si>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</si>
  <si>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</si>
  <si>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</si>
  <si>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</si>
  <si>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</si>
  <si>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</si>
  <si>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</si>
  <si>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</si>
  <si>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</si>
  <si>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</si>
  <si>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</si>
  <si>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</si>
  <si>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</si>
  <si>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</si>
  <si>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</si>
  <si>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</si>
  <si>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</si>
  <si>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</si>
  <si>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</si>
  <si>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</si>
  <si>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</si>
  <si>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</si>
  <si>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</si>
  <si>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</si>
  <si>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</si>
  <si>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</si>
  <si>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</si>
  <si>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</si>
  <si>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19:26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</si>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</sst>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466</v>
      </c>
      <c r="C6" s="89"/>
      <c r="E6" s="88">
        <f>'Programa CAJAS REPORTE DIARIO'!CH77</f>
        <v>1305</v>
      </c>
      <c r="F6" s="89"/>
      <c r="H6" s="101">
        <f>B6+E6</f>
        <v>1771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466</v>
      </c>
      <c r="F3" s="79" t="s">
        <v>1</v>
      </c>
      <c r="I3" s="80">
        <f>'Programa CAJAS REPORTE DIARIO'!CH77+CN79</f>
        <v>1771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122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62</v>
      </c>
      <c r="CP29" s="27">
        <f t="shared" si="4"/>
        <v>62</v>
      </c>
      <c r="CQ29" s="22">
        <v>0</v>
      </c>
      <c r="CR29" s="22">
        <f t="shared" si="5"/>
        <v>62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122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466</v>
      </c>
      <c r="CP79" s="25">
        <f>+SUM(CP14:CP78)</f>
        <v>466</v>
      </c>
      <c r="CQ79" s="25">
        <f>+SUM(CQ14:CQ78)</f>
        <v>0</v>
      </c>
      <c r="CR79" s="25">
        <f>+SUM(CR14:CR78)</f>
        <v>466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2666.5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1771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2026-10-28T01:26:17Z</dcterms:modified>
</cp:coreProperties>
</file>