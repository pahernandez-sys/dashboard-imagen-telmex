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86D159CF-5F17-4273-8ACB-63B5849B3FB3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E23" i="1" s="1"/>
  <c r="AS77" i="3"/>
  <c r="AR77" i="3"/>
  <c r="AQ77" i="3"/>
  <c r="AP77" i="3"/>
  <c r="AO77" i="3"/>
  <c r="AN77" i="3"/>
  <c r="AN13" i="3" s="1"/>
  <c r="AM77" i="3"/>
  <c r="AM13" i="3" s="1"/>
  <c r="AL77" i="3"/>
  <c r="AL13" i="3" s="1"/>
  <c r="AK77" i="3"/>
  <c r="AK13" i="3" s="1"/>
  <c r="AJ77" i="3"/>
  <c r="AJ13" i="3" s="1"/>
  <c r="AI77" i="3"/>
  <c r="AI13" i="3" s="1"/>
  <c r="AH77" i="3"/>
  <c r="AH13" i="3" s="1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E22" i="1"/>
  <c r="E21" i="1"/>
  <c r="E20" i="1"/>
  <c r="E19" i="1"/>
  <c r="E18" i="1"/>
  <c r="E17" i="1"/>
  <c r="E16" i="1"/>
  <c r="E15" i="1"/>
  <c r="E14" i="1"/>
  <c r="E13" i="1"/>
  <c r="E12" i="1"/>
  <c r="E11" i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N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W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W31" i="2" s="1"/>
  <c r="CN31" i="2"/>
  <c r="CP31" i="2" s="1"/>
  <c r="CR31" i="2" s="1"/>
  <c r="DD30" i="2"/>
  <c r="CU30" i="2" s="1"/>
  <c r="CV30" i="2" s="1"/>
  <c r="CW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W27" i="2" s="1"/>
  <c r="CN27" i="2"/>
  <c r="CP27" i="2" s="1"/>
  <c r="CR27" i="2" s="1"/>
  <c r="DD26" i="2"/>
  <c r="CU26" i="2" s="1"/>
  <c r="CV26" i="2" s="1"/>
  <c r="CW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W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W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DD17" i="2"/>
  <c r="CU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CW28" i="2" l="1"/>
  <c r="CW21" i="2"/>
  <c r="CQ75" i="3"/>
  <c r="CQ73" i="3"/>
  <c r="CW24" i="2"/>
  <c r="CW19" i="2"/>
  <c r="CW32" i="2"/>
  <c r="AN13" i="2"/>
  <c r="D23" i="1"/>
  <c r="AM13" i="2"/>
  <c r="D22" i="1"/>
  <c r="F22" i="1" s="1"/>
  <c r="AL13" i="2"/>
  <c r="D21" i="1"/>
  <c r="F21" i="1" s="1"/>
  <c r="AK13" i="2"/>
  <c r="D20" i="1"/>
  <c r="F20" i="1" s="1"/>
  <c r="AJ13" i="2"/>
  <c r="D19" i="1"/>
  <c r="F19" i="1" s="1"/>
  <c r="AI13" i="2"/>
  <c r="D18" i="1"/>
  <c r="F18" i="1" s="1"/>
  <c r="AH13" i="2"/>
  <c r="D17" i="1"/>
  <c r="F17" i="1" s="1"/>
  <c r="AG13" i="2"/>
  <c r="D16" i="1"/>
  <c r="F16" i="1" s="1"/>
  <c r="AF13" i="2"/>
  <c r="D15" i="1"/>
  <c r="F15" i="1" s="1"/>
  <c r="AE13" i="2"/>
  <c r="D14" i="1"/>
  <c r="F14" i="1" s="1"/>
  <c r="AD13" i="2"/>
  <c r="D13" i="1"/>
  <c r="F13" i="1" s="1"/>
  <c r="AC13" i="2"/>
  <c r="D12" i="1"/>
  <c r="F12" i="1" s="1"/>
  <c r="AB13" i="2"/>
  <c r="D11" i="1"/>
  <c r="CP14" i="3"/>
  <c r="CO77" i="3"/>
  <c r="CJ14" i="3"/>
  <c r="CH77" i="3"/>
  <c r="F11" i="1"/>
  <c r="D24" i="1"/>
  <c r="CN79" i="2"/>
  <c r="CP18" i="2"/>
  <c r="CV17" i="2"/>
  <c r="CW17" i="2" s="1"/>
  <c r="CU79" i="2"/>
  <c r="CW14" i="2"/>
  <c r="CV79" i="2"/>
  <c r="CR14" i="2"/>
  <c r="CP79" i="2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76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W25" i="2"/>
  <c r="CQ7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F23" i="1"/>
  <c r="E24" i="1"/>
  <c r="CW78" i="2"/>
  <c r="CW77" i="2"/>
  <c r="CW76" i="2"/>
  <c r="CW75" i="2"/>
  <c r="CW74" i="2"/>
  <c r="CW73" i="2"/>
  <c r="CW72" i="2"/>
  <c r="CW71" i="2"/>
  <c r="CW70" i="2"/>
  <c r="CW69" i="2"/>
  <c r="CW67" i="2"/>
  <c r="CW66" i="2"/>
  <c r="CW65" i="2"/>
  <c r="CW64" i="2"/>
  <c r="CW29" i="2"/>
  <c r="CW23" i="2"/>
  <c r="CW16" i="2"/>
  <c r="CW15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Q14" i="3" l="1"/>
  <c r="CQ77" i="3" s="1"/>
  <c r="CP77" i="3"/>
  <c r="CL14" i="3"/>
  <c r="CL77" i="3" s="1"/>
  <c r="CJ77" i="3"/>
  <c r="I3" i="2"/>
  <c r="E6" i="1"/>
  <c r="D3" i="3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B6" i="1"/>
  <c r="I3" i="3"/>
  <c r="D3" i="2"/>
  <c r="CN13" i="2"/>
  <c r="CW18" i="2"/>
  <c r="CW79" i="2" s="1"/>
  <c r="CR18" i="2"/>
  <c r="CR79" i="2" s="1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<sst xmlns="http://schemas.openxmlformats.org/spreadsheetml/2006/main" count="589" uniqueCount="175">
  <si>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</si>
  <si>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</si>
  <si>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</si>
  <si>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</si>
  <si>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</si>
  <si>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</si>
  <si>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</si>
  <si>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</si>
  <si>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</si>
  <si>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</si>
  <si>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</si>
  <si>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</si>
  <si>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</si>
  <si>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</si>
  <si>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</si>
  <si>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</si>
  <si>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</si>
  <si>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</si>
  <si>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</si>
  <si>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</si>
  <si>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</si>
  <si>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</si>
  <si>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</si>
  <si>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</si>
  <si>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</si>
  <si>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</si>
  <si>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</si>
  <si>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</si>
  <si>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</si>
  <si>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</si>
  <si>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</si>
  <si>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</si>
  <si>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</si>
  <si>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</si>
  <si>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</si>
  <si>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</si>
  <si>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</si>
  <si>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</si>
  <si>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</si>
  <si>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</si>
  <si>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</si>
  <si>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</si>
  <si>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</si>
  <si>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</si>
  <si>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</si>
  <si>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</si>
  <si>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</si>
  <si>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</si>
  <si>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</si>
  <si>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</si>
  <si>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</si>
  <si>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</si>
  <si>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</si>
  <si>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</si>
  <si>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</si>
  <si>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</si>
  <si>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</si>
  <si>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</si>
  <si>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</si>
  <si>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</si>
  <si>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</si>
  <si>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</si>
  <si>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</si>
  <si>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</si>
  <si>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</si>
  <si>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</si>
  <si>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</si>
  <si>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</si>
  <si>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</si>
  <si>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</si>
  <si>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</si>
  <si>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</si>
  <si>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</si>
  <si>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</si>
  <si>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</si>
  <si>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</si>
  <si>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</si>
  <si>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</si>
  <si>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</si>
  <si>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</si>
  <si>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</si>
  <si>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</si>
  <si>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</si>
  <si>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</si>
  <si>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</si>
  <si>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</si>
  <si>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</si>
  <si>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</si>
  <si>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</si>
  <si>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</si>
  <si>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</si>
  <si>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</si>
  <si>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</si>
  <si>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</si>
  <si>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</si>
  <si>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</si>
  <si>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</si>
  <si>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</si>
  <si>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</si>
  <si>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</si>
  <si>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</si>
  <si>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</si>
  <si>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</si>
  <si>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</si>
  <si>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</si>
  <si>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</si>
  <si>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</si>
  <si>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</si>
  <si>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</si>
  <si>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</si>
  <si>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</si>
  <si>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</si>
  <si>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17:50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</si>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</sst>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880</v>
      </c>
      <c r="C6" s="89"/>
      <c r="E6" s="88">
        <f>'Programa CAJAS REPORTE DIARIO'!CH77</f>
        <v>2364</v>
      </c>
      <c r="F6" s="89"/>
      <c r="H6" s="101">
        <f>B6+E6</f>
        <v>3244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221</v>
      </c>
      <c r="E23" s="70">
        <f>'Programa CAJAS REPORTE DIARIO'!AT77</f>
        <v>635</v>
      </c>
      <c r="F23" s="70">
        <f t="shared" si="0"/>
        <v>856</v>
      </c>
      <c r="G23" s="70">
        <f t="shared" si="1"/>
        <v>3244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880</v>
      </c>
      <c r="E24" s="75">
        <f>SUM(E11:E23)</f>
        <v>2364</v>
      </c>
      <c r="F24" s="75">
        <f>SUM(F11:F23)</f>
        <v>3244</v>
      </c>
      <c r="G24" s="75">
        <f>F24</f>
        <v>3244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880</v>
      </c>
      <c r="F3" s="79" t="s">
        <v>1</v>
      </c>
      <c r="I3" s="80">
        <f>'Programa CAJAS REPORTE DIARIO'!CH77+CN79</f>
        <v>3244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221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880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32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177</v>
      </c>
      <c r="CP28" s="27">
        <f t="shared" si="4"/>
        <v>177</v>
      </c>
      <c r="CQ28" s="22">
        <v>0</v>
      </c>
      <c r="CR28" s="22">
        <f t="shared" si="5"/>
        <v>177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1200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55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125</v>
      </c>
      <c r="CP42" s="27">
        <f t="shared" si="4"/>
        <v>125</v>
      </c>
      <c r="CQ42" s="22">
        <v>0</v>
      </c>
      <c r="CR42" s="22">
        <f t="shared" si="5"/>
        <v>125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-125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221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880</v>
      </c>
      <c r="CP79" s="25">
        <f>+SUM(CP14:CP78)</f>
        <v>880</v>
      </c>
      <c r="CQ79" s="25">
        <f>+SUM(CQ14:CQ78)</f>
        <v>0</v>
      </c>
      <c r="CR79" s="25">
        <f>+SUM(CR14:CR78)</f>
        <v>880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6386.5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2364</v>
      </c>
      <c r="F3" s="79" t="s">
        <v>1</v>
      </c>
      <c r="I3" s="80">
        <f>'Programa CASETAS REPORTE DIARIO'!CN79+CH77</f>
        <v>3244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635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2364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51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416</v>
      </c>
      <c r="CJ27" s="27">
        <f t="shared" si="3"/>
        <v>416</v>
      </c>
      <c r="CK27" s="22">
        <v>0</v>
      </c>
      <c r="CL27" s="22">
        <f t="shared" si="4"/>
        <v>416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370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45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325</v>
      </c>
      <c r="CJ28" s="27">
        <f t="shared" si="3"/>
        <v>325</v>
      </c>
      <c r="CK28" s="22">
        <v>0</v>
      </c>
      <c r="CL28" s="22">
        <f t="shared" si="4"/>
        <v>325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-147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8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52</v>
      </c>
      <c r="CJ41" s="27">
        <f t="shared" si="3"/>
        <v>52</v>
      </c>
      <c r="CK41" s="22">
        <v>0</v>
      </c>
      <c r="CL41" s="22">
        <f t="shared" si="4"/>
        <v>52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428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67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293</v>
      </c>
      <c r="CJ46" s="27">
        <f t="shared" ref="CJ46:CJ76" si="11">CH46</f>
        <v>293</v>
      </c>
      <c r="CK46" s="22">
        <v>0</v>
      </c>
      <c r="CL46" s="22">
        <f t="shared" ref="CL46:CL77" si="12">CJ46+CK46</f>
        <v>293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1235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150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155</v>
      </c>
      <c r="CJ53" s="27">
        <f t="shared" si="11"/>
        <v>155</v>
      </c>
      <c r="CK53" s="22">
        <v>0</v>
      </c>
      <c r="CL53" s="22">
        <f t="shared" si="12"/>
        <v>155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-87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635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2364</v>
      </c>
      <c r="CJ77" s="25">
        <f>+SUM(CJ14:CJ76)</f>
        <v>2364</v>
      </c>
      <c r="CK77" s="25">
        <f>+SUM(CK14:CK76)</f>
        <v>0</v>
      </c>
      <c r="CL77" s="25">
        <f>+SUM(CL14:CL76)</f>
        <v>2364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8868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2026-10-29T23:50:20Z</dcterms:modified>
</cp:coreProperties>
</file>