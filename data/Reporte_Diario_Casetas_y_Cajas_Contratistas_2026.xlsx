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1CC8F26-419A-487D-A1EB-85DEB5C9F450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F13" i="3" s="1"/>
  <c r="CE77" i="3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Q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E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N85" i="2" l="1"/>
  <c r="CW16" i="2"/>
  <c r="CQ66" i="3"/>
  <c r="CQ59" i="3"/>
  <c r="CQ53" i="3"/>
  <c r="CW21" i="2"/>
  <c r="CW18" i="2"/>
  <c r="CQ72" i="3"/>
  <c r="CW32" i="2"/>
  <c r="CW26" i="2"/>
  <c r="CW24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AN13" i="3"/>
  <c r="E17" i="1"/>
  <c r="F17" i="1" s="1"/>
  <c r="E16" i="1"/>
  <c r="F16" i="1" s="1"/>
  <c r="AM13" i="3"/>
  <c r="E15" i="1"/>
  <c r="F15" i="1" s="1"/>
  <c r="AL13" i="3"/>
  <c r="E14" i="1"/>
  <c r="F14" i="1" s="1"/>
  <c r="AK13" i="3"/>
  <c r="AJ13" i="3"/>
  <c r="E13" i="1"/>
  <c r="F13" i="1" s="1"/>
  <c r="E12" i="1"/>
  <c r="F12" i="1" s="1"/>
  <c r="AI13" i="3"/>
  <c r="E11" i="1"/>
  <c r="AH13" i="3"/>
  <c r="CO77" i="3"/>
  <c r="CP14" i="3"/>
  <c r="CJ14" i="3"/>
  <c r="CH77" i="3"/>
  <c r="D23" i="1"/>
  <c r="CV14" i="2"/>
  <c r="CU79" i="2"/>
  <c r="CN79" i="2"/>
  <c r="CP14" i="2"/>
  <c r="CQ65" i="3"/>
  <c r="CQ64" i="3"/>
  <c r="CQ63" i="3"/>
  <c r="CQ60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1" i="2"/>
  <c r="CW30" i="2"/>
  <c r="CW25" i="2"/>
  <c r="CW23" i="2"/>
  <c r="CW22" i="2"/>
  <c r="CW20" i="2"/>
  <c r="CW15" i="2"/>
  <c r="CQ73" i="3"/>
  <c r="CQ71" i="3"/>
  <c r="CQ69" i="3"/>
  <c r="CQ68" i="3"/>
  <c r="CQ67" i="3"/>
  <c r="CQ62" i="3"/>
  <c r="CQ58" i="3"/>
  <c r="CQ57" i="3"/>
  <c r="CQ56" i="3"/>
  <c r="CQ55" i="3"/>
  <c r="CQ54" i="3"/>
  <c r="CW19" i="2"/>
  <c r="CW17" i="2"/>
  <c r="CQ76" i="3"/>
  <c r="CQ75" i="3"/>
  <c r="CQ74" i="3"/>
  <c r="CQ61" i="3"/>
  <c r="CW29" i="2"/>
  <c r="CW28" i="2"/>
  <c r="CW27" i="2"/>
  <c r="CQ14" i="3" l="1"/>
  <c r="CQ77" i="3" s="1"/>
  <c r="CP77" i="3"/>
  <c r="CL14" i="3"/>
  <c r="CL77" i="3" s="1"/>
  <c r="CJ77" i="3"/>
  <c r="I3" i="2"/>
  <c r="D3" i="3"/>
  <c r="E6" i="1"/>
  <c r="CH13" i="3"/>
  <c r="CW14" i="2"/>
  <c r="CW79" i="2" s="1"/>
  <c r="CV79" i="2"/>
  <c r="CN13" i="2"/>
  <c r="I3" i="3"/>
  <c r="B6" i="1"/>
  <c r="D3" i="2"/>
  <c r="CR14" i="2"/>
  <c r="CR79" i="2" s="1"/>
  <c r="CP79" i="2"/>
  <c r="E23" i="1"/>
  <c r="F11" i="1"/>
  <c r="H6" i="1" l="1"/>
  <c r="F23" i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<sst xmlns="http://schemas.openxmlformats.org/spreadsheetml/2006/main" count="586" uniqueCount="174">
  <si>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</si>
  <si>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</si>
  <si>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</si>
  <si>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</si>
  <si>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</si>
  <si>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</si>
  <si>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</si>
  <si>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</si>
  <si>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</si>
  <si>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</si>
  <si>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</si>
  <si>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</si>
  <si>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</si>
  <si>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</si>
  <si>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</si>
  <si>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</si>
  <si>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</si>
  <si>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</si>
  <si>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</si>
  <si>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</si>
  <si>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</si>
  <si>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</si>
  <si>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</si>
  <si>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</si>
  <si>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</si>
  <si>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</si>
  <si>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</si>
  <si>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</si>
  <si>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</si>
  <si>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</si>
  <si>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</si>
  <si>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</si>
  <si>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</si>
  <si>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</si>
  <si>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</si>
  <si>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</si>
  <si>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</si>
  <si>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</si>
  <si>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</si>
  <si>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</si>
  <si>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</si>
  <si>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</si>
  <si>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</si>
  <si>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</si>
  <si>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</si>
  <si>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</si>
  <si>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</si>
  <si>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</si>
  <si>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</si>
  <si>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</si>
  <si>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</si>
  <si>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</si>
  <si>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</si>
  <si>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</si>
  <si>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</si>
  <si>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</si>
  <si>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</si>
  <si>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</si>
  <si>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</si>
  <si>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</si>
  <si>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</si>
  <si>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</si>
  <si>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</si>
  <si>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</si>
  <si>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</si>
  <si>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</si>
  <si>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</si>
  <si>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</si>
  <si>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</si>
  <si>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</si>
  <si>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</si>
  <si>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</si>
  <si>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</si>
  <si>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</si>
  <si>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</si>
  <si>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</si>
  <si>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</si>
  <si>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</si>
  <si>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</si>
  <si>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</si>
  <si>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</si>
  <si>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</si>
  <si>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</si>
  <si>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</si>
  <si>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</si>
  <si>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</si>
  <si>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</si>
  <si>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</si>
  <si>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</si>
  <si>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</si>
  <si>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</si>
  <si>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</si>
  <si>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</si>
  <si>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</si>
  <si>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</si>
  <si>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</si>
  <si>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</si>
  <si>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</si>
  <si>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</si>
  <si>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</si>
  <si>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</si>
  <si>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</si>
  <si>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</si>
  <si>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</si>
  <si>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</si>
  <si>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</si>
  <si>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</si>
  <si>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</si>
  <si>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</si>
  <si>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</si>
  <si>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</si>
  <si>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</si>
  <si>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19:13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</si>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</sst>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633</v>
      </c>
      <c r="C6" s="89"/>
      <c r="E6" s="88">
        <f>'Programa CAJAS REPORTE DIARIO'!CH77</f>
        <v>1678</v>
      </c>
      <c r="F6" s="89"/>
      <c r="H6" s="101">
        <f>B6+E6</f>
        <v>2311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151</v>
      </c>
      <c r="E22" s="72">
        <f>'Programa CAJAS REPORTE DIARIO'!AS77</f>
        <v>353</v>
      </c>
      <c r="F22" s="72">
        <f t="shared" si="0"/>
        <v>504</v>
      </c>
      <c r="G22" s="72">
        <f t="shared" si="1"/>
        <v>2311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633</v>
      </c>
      <c r="E23" s="75">
        <f>SUM(E11:E22)</f>
        <v>1678</v>
      </c>
      <c r="F23" s="75">
        <f>SUM(F11:F22)</f>
        <v>2311</v>
      </c>
      <c r="G23" s="75">
        <f>F23</f>
        <v>2311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633</v>
      </c>
      <c r="F3" s="79" t="s">
        <v>1</v>
      </c>
      <c r="I3" s="80">
        <f>'Programa CAJAS REPORTE DIARIO'!CH77+CN79</f>
        <v>2311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633</v>
      </c>
      <c r="CP79" s="25">
        <f>+SUM(CP14:CP78)</f>
        <v>633</v>
      </c>
      <c r="CQ79" s="25">
        <f>+SUM(CQ14:CQ78)</f>
        <v>0</v>
      </c>
      <c r="CR79" s="25">
        <f>+SUM(CR14:CR78)</f>
        <v>633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6449.5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1678</v>
      </c>
      <c r="F3" s="79" t="s">
        <v>1</v>
      </c>
      <c r="I3" s="80">
        <f>'Programa CASETAS REPORTE DIARIO'!CN79+CH77</f>
        <v>2311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353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1678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9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22</v>
      </c>
      <c r="CJ41" s="27">
        <f t="shared" si="3"/>
        <v>22</v>
      </c>
      <c r="CK41" s="22">
        <v>0</v>
      </c>
      <c r="CL41" s="22">
        <f t="shared" si="4"/>
        <v>22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353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1678</v>
      </c>
      <c r="CJ77" s="25">
        <f>+SUM(CJ14:CJ76)</f>
        <v>1678</v>
      </c>
      <c r="CK77" s="25">
        <f>+SUM(CK14:CK76)</f>
        <v>0</v>
      </c>
      <c r="CL77" s="25">
        <f>+SUM(CL14:CL76)</f>
        <v>1678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6829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2026-10-29T01:13:09Z</dcterms:modified>
</cp:coreProperties>
</file>