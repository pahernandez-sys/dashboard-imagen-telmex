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59FD9B8-F75A-4561-BAA7-1598A8F57AF1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E24" i="1" s="1"/>
  <c r="AT77" i="3"/>
  <c r="E23" i="1" s="1"/>
  <c r="AS77" i="3"/>
  <c r="E22" i="1" s="1"/>
  <c r="AR77" i="3"/>
  <c r="E21" i="1" s="1"/>
  <c r="AQ77" i="3"/>
  <c r="E20" i="1" s="1"/>
  <c r="AP77" i="3"/>
  <c r="E19" i="1" s="1"/>
  <c r="AO77" i="3"/>
  <c r="E18" i="1" s="1"/>
  <c r="AN77" i="3"/>
  <c r="E17" i="1" s="1"/>
  <c r="AM77" i="3"/>
  <c r="E16" i="1" s="1"/>
  <c r="AL77" i="3"/>
  <c r="E15" i="1" s="1"/>
  <c r="AK77" i="3"/>
  <c r="E14" i="1" s="1"/>
  <c r="AJ77" i="3"/>
  <c r="E13" i="1" s="1"/>
  <c r="AI77" i="3"/>
  <c r="E12" i="1" s="1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Q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Q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AG13" i="2" l="1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Q69" i="3"/>
  <c r="CQ54" i="3"/>
  <c r="CQ53" i="3"/>
  <c r="CQ52" i="3"/>
  <c r="CQ50" i="3"/>
  <c r="CQ49" i="3"/>
  <c r="CQ48" i="3"/>
  <c r="CQ47" i="3"/>
  <c r="CQ45" i="3"/>
  <c r="CQ44" i="3"/>
  <c r="CQ42" i="3"/>
  <c r="CQ40" i="3"/>
  <c r="CQ38" i="3"/>
  <c r="CQ34" i="3"/>
  <c r="CQ32" i="3"/>
  <c r="CQ31" i="3"/>
  <c r="CQ28" i="3"/>
  <c r="CQ27" i="3"/>
  <c r="CQ18" i="3"/>
  <c r="CQ16" i="3"/>
  <c r="CW27" i="2"/>
  <c r="CW78" i="2"/>
  <c r="CW77" i="2"/>
  <c r="CW76" i="2"/>
  <c r="CW73" i="2"/>
  <c r="CW72" i="2"/>
  <c r="CW68" i="2"/>
  <c r="CW66" i="2"/>
  <c r="CW64" i="2"/>
  <c r="CW61" i="2"/>
  <c r="CW60" i="2"/>
  <c r="CW58" i="2"/>
  <c r="CW57" i="2"/>
  <c r="CW56" i="2"/>
  <c r="CW54" i="2"/>
  <c r="AH13" i="3"/>
  <c r="E11" i="1"/>
  <c r="E25" i="1" s="1"/>
  <c r="AO13" i="2"/>
  <c r="D24" i="1"/>
  <c r="F24" i="1" s="1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CP14" i="3"/>
  <c r="CO77" i="3"/>
  <c r="CJ14" i="3"/>
  <c r="CH77" i="3"/>
  <c r="F11" i="1"/>
  <c r="D25" i="1"/>
  <c r="CP44" i="2"/>
  <c r="CN79" i="2"/>
  <c r="CV30" i="2"/>
  <c r="CW30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41" i="3"/>
  <c r="CQ37" i="3"/>
  <c r="CQ36" i="3"/>
  <c r="CQ35" i="3"/>
  <c r="CQ30" i="3"/>
  <c r="CQ29" i="3"/>
  <c r="CQ26" i="3"/>
  <c r="CQ25" i="3"/>
  <c r="CQ24" i="3"/>
  <c r="CQ23" i="3"/>
  <c r="CQ22" i="3"/>
  <c r="CQ21" i="3"/>
  <c r="CQ20" i="3"/>
  <c r="CQ17" i="3"/>
  <c r="CW70" i="2"/>
  <c r="CW67" i="2"/>
  <c r="CW65" i="2"/>
  <c r="CW55" i="2"/>
  <c r="CW59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74" i="2"/>
  <c r="CW63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51" i="3"/>
  <c r="CQ43" i="3"/>
  <c r="CQ39" i="3"/>
  <c r="CQ33" i="3"/>
  <c r="CQ15" i="3"/>
  <c r="CW75" i="2"/>
  <c r="CW71" i="2"/>
  <c r="CW62" i="2"/>
  <c r="CQ14" i="3" l="1"/>
  <c r="CQ77" i="3" s="1"/>
  <c r="CP77" i="3"/>
  <c r="CL14" i="3"/>
  <c r="CL77" i="3" s="1"/>
  <c r="CJ77" i="3"/>
  <c r="I3" i="2"/>
  <c r="CH13" i="3"/>
  <c r="E6" i="1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44" i="2"/>
  <c r="CW79" i="2" s="1"/>
  <c r="CR44" i="2"/>
  <c r="CR79" i="2" s="1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<sst xmlns="http://schemas.openxmlformats.org/spreadsheetml/2006/main" count="592" uniqueCount="176">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</sst>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912</v>
      </c>
      <c r="C6" s="89"/>
      <c r="E6" s="88">
        <f>'Programa CAJAS REPORTE DIARIO'!CH77</f>
        <v>2493</v>
      </c>
      <c r="F6" s="89"/>
      <c r="H6" s="101">
        <f>B6+E6</f>
        <v>3405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4</v>
      </c>
      <c r="E24" s="72">
        <f>'Programa CAJAS REPORTE DIARIO'!AU77</f>
        <v>18</v>
      </c>
      <c r="F24" s="72">
        <f t="shared" si="0"/>
        <v>22</v>
      </c>
      <c r="G24" s="72">
        <f t="shared" si="1"/>
        <v>3405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912</v>
      </c>
      <c r="E25" s="75">
        <f>SUM(E11:E24)</f>
        <v>2493</v>
      </c>
      <c r="F25" s="75">
        <f>SUM(F11:F24)</f>
        <v>3405</v>
      </c>
      <c r="G25" s="75">
        <f>F25</f>
        <v>3405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912</v>
      </c>
      <c r="F3" s="79" t="s">
        <v>1</v>
      </c>
      <c r="I3" s="80">
        <f>'Programa CAJAS REPORTE DIARIO'!CH77+CN79</f>
        <v>3405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912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114</v>
      </c>
      <c r="CP29" s="27">
        <f t="shared" si="4"/>
        <v>114</v>
      </c>
      <c r="CQ29" s="22">
        <v>0</v>
      </c>
      <c r="CR29" s="22">
        <f t="shared" si="5"/>
        <v>114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65</v>
      </c>
      <c r="CP56" s="27">
        <f t="shared" si="11"/>
        <v>65</v>
      </c>
      <c r="CQ56" s="22">
        <v>0</v>
      </c>
      <c r="CR56" s="22">
        <f t="shared" si="12"/>
        <v>65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912</v>
      </c>
      <c r="CP79" s="25">
        <f>+SUM(CP14:CP78)</f>
        <v>912</v>
      </c>
      <c r="CQ79" s="25">
        <f>+SUM(CQ14:CQ78)</f>
        <v>0</v>
      </c>
      <c r="CR79" s="25">
        <f>+SUM(CR14:CR78)</f>
        <v>912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2493</v>
      </c>
      <c r="F3" s="79" t="s">
        <v>1</v>
      </c>
      <c r="I3" s="80">
        <f>'Programa CASETAS REPORTE DIARIO'!CN79+CH77</f>
        <v>3405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18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2493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438</v>
      </c>
      <c r="CJ27" s="27">
        <f t="shared" si="3"/>
        <v>438</v>
      </c>
      <c r="CK27" s="22">
        <v>0</v>
      </c>
      <c r="CL27" s="22">
        <f t="shared" si="4"/>
        <v>438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329</v>
      </c>
      <c r="CJ28" s="27">
        <f t="shared" si="3"/>
        <v>329</v>
      </c>
      <c r="CK28" s="22">
        <v>0</v>
      </c>
      <c r="CL28" s="22">
        <f t="shared" si="4"/>
        <v>329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106</v>
      </c>
      <c r="CJ29" s="27">
        <f t="shared" si="3"/>
        <v>106</v>
      </c>
      <c r="CK29" s="22">
        <v>0</v>
      </c>
      <c r="CL29" s="22">
        <f t="shared" si="4"/>
        <v>106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1230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93</v>
      </c>
      <c r="CJ37" s="27">
        <f t="shared" si="3"/>
        <v>93</v>
      </c>
      <c r="CK37" s="22">
        <v>0</v>
      </c>
      <c r="CL37" s="22">
        <f t="shared" si="4"/>
        <v>93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18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2493</v>
      </c>
      <c r="CJ77" s="25">
        <f>+SUM(CJ14:CJ76)</f>
        <v>2493</v>
      </c>
      <c r="CK77" s="25">
        <f>+SUM(CK14:CK76)</f>
        <v>0</v>
      </c>
      <c r="CL77" s="25">
        <f>+SUM(CL14:CL76)</f>
        <v>2493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8901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2026-10-30T16:01:44Z</dcterms:modified>
</cp:coreProperties>
</file>