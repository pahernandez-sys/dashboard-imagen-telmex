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8C26763-A6D5-40DF-917E-ACB509BD22A7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Q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Q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D24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W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43" i="2" l="1"/>
  <c r="CQ35" i="3"/>
  <c r="CQ31" i="3"/>
  <c r="CQ26" i="3"/>
  <c r="CW45" i="2"/>
  <c r="CN85" i="2"/>
  <c r="CQ41" i="3"/>
  <c r="CQ17" i="3"/>
  <c r="CW54" i="2"/>
  <c r="CW17" i="2"/>
  <c r="AT13" i="3"/>
  <c r="E23" i="1"/>
  <c r="F23" i="1" s="1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AM13" i="3"/>
  <c r="E16" i="1"/>
  <c r="F16" i="1" s="1"/>
  <c r="E15" i="1"/>
  <c r="F15" i="1" s="1"/>
  <c r="AL13" i="3"/>
  <c r="AK13" i="3"/>
  <c r="E14" i="1"/>
  <c r="F14" i="1" s="1"/>
  <c r="E13" i="1"/>
  <c r="F13" i="1" s="1"/>
  <c r="AJ13" i="3"/>
  <c r="E12" i="1"/>
  <c r="F12" i="1" s="1"/>
  <c r="AI13" i="3"/>
  <c r="E11" i="1"/>
  <c r="AH13" i="3"/>
  <c r="CH77" i="3"/>
  <c r="CJ32" i="3"/>
  <c r="CP14" i="3"/>
  <c r="CO77" i="3"/>
  <c r="CJ77" i="3"/>
  <c r="CL14" i="3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36" i="3"/>
  <c r="CQ34" i="3"/>
  <c r="CQ30" i="3"/>
  <c r="CQ28" i="3"/>
  <c r="CQ27" i="3"/>
  <c r="CQ25" i="3"/>
  <c r="CQ24" i="3"/>
  <c r="CQ22" i="3"/>
  <c r="CQ20" i="3"/>
  <c r="CQ16" i="3"/>
  <c r="CQ15" i="3"/>
  <c r="CW44" i="2"/>
  <c r="CQ40" i="3"/>
  <c r="CQ39" i="3"/>
  <c r="CQ38" i="3"/>
  <c r="CQ37" i="3"/>
  <c r="CQ29" i="3"/>
  <c r="CQ23" i="3"/>
  <c r="CQ18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47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53" i="2"/>
  <c r="CW50" i="2"/>
  <c r="CW16" i="2"/>
  <c r="CW15" i="2"/>
  <c r="CQ43" i="3"/>
  <c r="CQ42" i="3"/>
  <c r="CQ33" i="3"/>
  <c r="CW51" i="2"/>
  <c r="CW48" i="2"/>
  <c r="F11" i="1" l="1"/>
  <c r="E24" i="1"/>
  <c r="CH13" i="3"/>
  <c r="I3" i="2"/>
  <c r="E6" i="1"/>
  <c r="D3" i="3"/>
  <c r="CQ32" i="3"/>
  <c r="CL32" i="3"/>
  <c r="CL77" i="3" s="1"/>
  <c r="CP77" i="3"/>
  <c r="CQ14" i="3"/>
  <c r="CQ77" i="3" s="1"/>
  <c r="CW14" i="2"/>
  <c r="CW79" i="2" s="1"/>
  <c r="CV79" i="2"/>
  <c r="D3" i="2"/>
  <c r="CN13" i="2"/>
  <c r="B6" i="1"/>
  <c r="I3" i="3"/>
  <c r="CP79" i="2"/>
  <c r="CR14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<sst xmlns="http://schemas.openxmlformats.org/spreadsheetml/2006/main" count="589" uniqueCount="175">
  <si>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</si>
  <si>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</si>
  <si>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</si>
  <si>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</si>
  <si>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</si>
  <si>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</si>
  <si>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</si>
  <si>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</si>
  <si>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</si>
  <si>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</si>
  <si>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</si>
  <si>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</si>
  <si>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</si>
  <si>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</si>
  <si>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</si>
  <si>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</si>
  <si>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</si>
  <si>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</si>
  <si>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</si>
  <si>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</si>
  <si>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</si>
  <si>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</si>
  <si>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</si>
  <si>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</si>
  <si>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</si>
  <si>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</si>
  <si>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</si>
  <si>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</si>
  <si>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</si>
  <si>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</si>
  <si>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</si>
  <si>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</si>
  <si>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</si>
  <si>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</si>
  <si>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</si>
  <si>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</si>
  <si>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</si>
  <si>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</si>
  <si>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</si>
  <si>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</si>
  <si>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</si>
  <si>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</si>
  <si>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</si>
  <si>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</si>
  <si>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</si>
  <si>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</si>
  <si>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</si>
  <si>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</si>
  <si>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</si>
  <si>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</si>
  <si>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</si>
  <si>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</si>
  <si>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</si>
  <si>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</si>
  <si>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</si>
  <si>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</si>
  <si>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</si>
  <si>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</si>
  <si>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</si>
  <si>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</si>
  <si>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</si>
  <si>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</si>
  <si>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</si>
  <si>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</si>
  <si>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</si>
  <si>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</si>
  <si>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</si>
  <si>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</si>
  <si>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</si>
  <si>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</si>
  <si>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</si>
  <si>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</si>
  <si>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</si>
  <si>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</si>
  <si>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</si>
  <si>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</si>
  <si>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</si>
  <si>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</si>
  <si>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</si>
  <si>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</si>
  <si>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</si>
  <si>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</si>
  <si>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</si>
  <si>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</si>
  <si>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</si>
  <si>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</si>
  <si>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</si>
  <si>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</si>
  <si>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</si>
  <si>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</si>
  <si>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</si>
  <si>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</si>
  <si>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</si>
  <si>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</si>
  <si>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</si>
  <si>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</si>
  <si>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</si>
  <si>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</si>
  <si>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</si>
  <si>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</si>
  <si>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</si>
  <si>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</si>
  <si>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</si>
  <si>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</si>
  <si>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</si>
  <si>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</si>
  <si>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</si>
  <si>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</si>
  <si>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</si>
  <si>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</si>
  <si>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</si>
  <si>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</si>
  <si>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19:12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</si>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</sst>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2394</v>
      </c>
      <c r="F6" s="89"/>
      <c r="H6" s="101">
        <f>B6+E6</f>
        <v>3293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665</v>
      </c>
      <c r="F23" s="70">
        <f t="shared" si="0"/>
        <v>905</v>
      </c>
      <c r="G23" s="70">
        <f t="shared" si="1"/>
        <v>3293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2394</v>
      </c>
      <c r="F24" s="75">
        <f>SUM(F11:F23)</f>
        <v>3293</v>
      </c>
      <c r="G24" s="75">
        <f>F24</f>
        <v>3293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3293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2394</v>
      </c>
      <c r="F3" s="79" t="s">
        <v>1</v>
      </c>
      <c r="I3" s="80">
        <f>'Programa CASETAS REPORTE DIARIO'!CN79+CH77</f>
        <v>3293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665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2394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421</v>
      </c>
      <c r="CJ27" s="27">
        <f t="shared" si="3"/>
        <v>421</v>
      </c>
      <c r="CK27" s="22">
        <v>0</v>
      </c>
      <c r="CL27" s="22">
        <f t="shared" si="4"/>
        <v>421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665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2394</v>
      </c>
      <c r="CJ77" s="25">
        <f>+SUM(CJ14:CJ76)</f>
        <v>2394</v>
      </c>
      <c r="CK77" s="25">
        <f>+SUM(CK14:CK76)</f>
        <v>0</v>
      </c>
      <c r="CL77" s="25">
        <f>+SUM(CL14:CL76)</f>
        <v>2394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8838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2026-10-30T01:12:58Z</dcterms:modified>
</cp:coreProperties>
</file>