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68817E1-F0AD-47FE-AB5B-93C8F4AE78C5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E20" i="1"/>
  <c r="E19" i="1"/>
  <c r="E18" i="1"/>
  <c r="E17" i="1"/>
  <c r="E16" i="1"/>
  <c r="E15" i="1"/>
  <c r="E14" i="1"/>
  <c r="E13" i="1"/>
  <c r="E12" i="1"/>
  <c r="E11" i="1"/>
  <c r="E21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57" i="2" l="1"/>
  <c r="CW45" i="2"/>
  <c r="CW40" i="2"/>
  <c r="CW39" i="2"/>
  <c r="CW77" i="2"/>
  <c r="CW61" i="2"/>
  <c r="CW37" i="2"/>
  <c r="CW36" i="2"/>
  <c r="CW35" i="2"/>
  <c r="CW33" i="2"/>
  <c r="CW30" i="2"/>
  <c r="CW28" i="2"/>
  <c r="CW25" i="2"/>
  <c r="CW21" i="2"/>
  <c r="CW19" i="2"/>
  <c r="CW78" i="2"/>
  <c r="CW44" i="2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W49" i="2"/>
  <c r="CR49" i="2"/>
  <c r="CO77" i="3"/>
  <c r="CP14" i="3"/>
  <c r="CJ14" i="3"/>
  <c r="CH77" i="3"/>
  <c r="F11" i="1"/>
  <c r="D21" i="1"/>
  <c r="CN79" i="2"/>
  <c r="CP18" i="2"/>
  <c r="CU79" i="2"/>
  <c r="CV17" i="2"/>
  <c r="CW17" i="2" s="1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W27" i="2"/>
  <c r="CW34" i="2"/>
  <c r="CQ21" i="3"/>
  <c r="CQ20" i="3"/>
  <c r="CQ19" i="3"/>
  <c r="CQ18" i="3"/>
  <c r="CQ17" i="3"/>
  <c r="CQ16" i="3"/>
  <c r="CQ15" i="3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0" i="2"/>
  <c r="CW56" i="2"/>
  <c r="CW55" i="2"/>
  <c r="CW54" i="2"/>
  <c r="CW53" i="2"/>
  <c r="CW52" i="2"/>
  <c r="CW51" i="2"/>
  <c r="CW48" i="2"/>
  <c r="CW46" i="2"/>
  <c r="CW43" i="2"/>
  <c r="CW41" i="2"/>
  <c r="CW38" i="2"/>
  <c r="CW32" i="2"/>
  <c r="CW31" i="2"/>
  <c r="CW29" i="2"/>
  <c r="CW26" i="2"/>
  <c r="CW23" i="2"/>
  <c r="CW16" i="2"/>
  <c r="CW50" i="2"/>
  <c r="CW24" i="2"/>
  <c r="CW22" i="2"/>
  <c r="CW20" i="2"/>
  <c r="CW15" i="2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I3" i="3"/>
  <c r="B6" i="1"/>
  <c r="H6" i="1" s="1"/>
  <c r="D3" i="2"/>
  <c r="CN13" i="2"/>
  <c r="CW18" i="2"/>
  <c r="CW79" i="2" s="1"/>
  <c r="CR18" i="2"/>
  <c r="CR79" i="2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<sst xmlns="http://schemas.openxmlformats.org/spreadsheetml/2006/main" count="580" uniqueCount="171">
  <si>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</si>
  <si>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</si>
  <si>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</si>
  <si>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</si>
  <si>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</si>
  <si>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</si>
  <si>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</si>
  <si>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</si>
  <si>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</si>
  <si>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</si>
  <si>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</si>
  <si>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</si>
  <si>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</si>
  <si>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</si>
  <si>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</si>
  <si>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</si>
  <si>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</si>
  <si>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</si>
  <si>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</si>
  <si>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</si>
  <si>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</si>
  <si>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</si>
  <si>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</si>
  <si>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</si>
  <si>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</si>
  <si>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</si>
  <si>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</si>
  <si>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</si>
  <si>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</si>
  <si>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</si>
  <si>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</si>
  <si>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</si>
  <si>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</si>
  <si>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</si>
  <si>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</si>
  <si>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</si>
  <si>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</si>
  <si>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</si>
  <si>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</si>
  <si>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</si>
  <si>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</si>
  <si>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</si>
  <si>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</si>
  <si>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</si>
  <si>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</si>
  <si>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</si>
  <si>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</si>
  <si>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</si>
  <si>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</si>
  <si>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</si>
  <si>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</si>
  <si>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</si>
  <si>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</si>
  <si>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</si>
  <si>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</si>
  <si>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</si>
  <si>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</si>
  <si>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</si>
  <si>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</si>
  <si>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</si>
  <si>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</si>
  <si>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</si>
  <si>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</si>
  <si>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</si>
  <si>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</si>
  <si>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</si>
  <si>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</si>
  <si>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</si>
  <si>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</si>
  <si>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</si>
  <si>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</si>
  <si>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</si>
  <si>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</si>
  <si>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</si>
  <si>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</si>
  <si>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</si>
  <si>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</si>
  <si>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</si>
  <si>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</si>
  <si>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</si>
  <si>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</si>
  <si>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</si>
  <si>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</si>
  <si>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</si>
  <si>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</si>
  <si>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</si>
  <si>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</si>
  <si>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</si>
  <si>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</si>
  <si>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</si>
  <si>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</si>
  <si>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</si>
  <si>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</si>
  <si>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</si>
  <si>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</si>
  <si>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</si>
  <si>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</si>
  <si>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</si>
  <si>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</si>
  <si>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</si>
  <si>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</si>
  <si>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</si>
  <si>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</si>
  <si>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</si>
  <si>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</si>
  <si>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</si>
  <si>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</si>
  <si>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</si>
  <si>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</si>
  <si>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</si>
  <si>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</si>
  <si>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</si>
  <si>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21:45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</si>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</sst>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478</v>
      </c>
      <c r="C6" s="89"/>
      <c r="E6" s="88">
        <f>'Programa CAJAS REPORTE DIARIO'!CH77</f>
        <v>1325</v>
      </c>
      <c r="F6" s="89"/>
      <c r="H6" s="101">
        <f>B6+E6</f>
        <v>1803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478</v>
      </c>
      <c r="F3" s="79" t="s">
        <v>1</v>
      </c>
      <c r="I3" s="80">
        <f>'Programa CAJAS REPORTE DIARIO'!CH77+CN79</f>
        <v>1803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134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9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70</v>
      </c>
      <c r="CP29" s="27">
        <f t="shared" si="4"/>
        <v>70</v>
      </c>
      <c r="CQ29" s="22">
        <v>0</v>
      </c>
      <c r="CR29" s="22">
        <f t="shared" si="5"/>
        <v>70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31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40</v>
      </c>
      <c r="CP42" s="27">
        <f t="shared" si="4"/>
        <v>40</v>
      </c>
      <c r="CQ42" s="22">
        <v>0</v>
      </c>
      <c r="CR42" s="22">
        <f t="shared" si="5"/>
        <v>40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-40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134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478</v>
      </c>
      <c r="CP79" s="25">
        <f>+SUM(CP14:CP78)</f>
        <v>478</v>
      </c>
      <c r="CQ79" s="25">
        <f>+SUM(CQ14:CQ78)</f>
        <v>0</v>
      </c>
      <c r="CR79" s="25">
        <f>+SUM(CR14:CR78)</f>
        <v>478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1803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2026-10-28T03:45:24Z</dcterms:modified>
</cp:coreProperties>
</file>