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036C3E62-D6E2-4A29-B608-11BE0D146A5F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F77" i="3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24" i="1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W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W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W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W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W59" i="2" s="1"/>
  <c r="CN59" i="2"/>
  <c r="CP59" i="2" s="1"/>
  <c r="CR59" i="2" s="1"/>
  <c r="DD58" i="2"/>
  <c r="CU58" i="2" s="1"/>
  <c r="CV58" i="2" s="1"/>
  <c r="CW58" i="2" s="1"/>
  <c r="CN58" i="2"/>
  <c r="CP58" i="2" s="1"/>
  <c r="CR58" i="2" s="1"/>
  <c r="DD57" i="2"/>
  <c r="CU57" i="2" s="1"/>
  <c r="CV57" i="2" s="1"/>
  <c r="CW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W69" i="2" l="1"/>
  <c r="CW62" i="2"/>
  <c r="CW54" i="2"/>
  <c r="CW32" i="2"/>
  <c r="CW56" i="2"/>
  <c r="D23" i="1"/>
  <c r="F23" i="1" s="1"/>
  <c r="AN13" i="2"/>
  <c r="D22" i="1"/>
  <c r="F22" i="1" s="1"/>
  <c r="AM13" i="2"/>
  <c r="D21" i="1"/>
  <c r="F21" i="1" s="1"/>
  <c r="AL13" i="2"/>
  <c r="D20" i="1"/>
  <c r="F20" i="1" s="1"/>
  <c r="AK13" i="2"/>
  <c r="D19" i="1"/>
  <c r="F19" i="1" s="1"/>
  <c r="AJ13" i="2"/>
  <c r="D18" i="1"/>
  <c r="F18" i="1" s="1"/>
  <c r="AI13" i="2"/>
  <c r="D17" i="1"/>
  <c r="F17" i="1" s="1"/>
  <c r="AH13" i="2"/>
  <c r="D16" i="1"/>
  <c r="F16" i="1" s="1"/>
  <c r="AG13" i="2"/>
  <c r="D15" i="1"/>
  <c r="F15" i="1" s="1"/>
  <c r="AF13" i="2"/>
  <c r="D14" i="1"/>
  <c r="F14" i="1" s="1"/>
  <c r="AE13" i="2"/>
  <c r="D13" i="1"/>
  <c r="F13" i="1" s="1"/>
  <c r="AD13" i="2"/>
  <c r="D12" i="1"/>
  <c r="F12" i="1" s="1"/>
  <c r="AC13" i="2"/>
  <c r="D11" i="1"/>
  <c r="AB13" i="2"/>
  <c r="CW53" i="2"/>
  <c r="CR53" i="2"/>
  <c r="CW46" i="2"/>
  <c r="CR46" i="2"/>
  <c r="CW44" i="2"/>
  <c r="CO77" i="3"/>
  <c r="CP14" i="3"/>
  <c r="CH77" i="3"/>
  <c r="CJ14" i="3"/>
  <c r="D24" i="1"/>
  <c r="F11" i="1"/>
  <c r="CU79" i="2"/>
  <c r="CV14" i="2"/>
  <c r="CP14" i="2"/>
  <c r="CN79" i="2"/>
  <c r="CW63" i="2"/>
  <c r="CW68" i="2"/>
  <c r="CW55" i="2"/>
  <c r="CW52" i="2"/>
  <c r="CW51" i="2"/>
  <c r="CW50" i="2"/>
  <c r="CW49" i="2"/>
  <c r="CW48" i="2"/>
  <c r="CW47" i="2"/>
  <c r="CW45" i="2"/>
  <c r="CW43" i="2"/>
  <c r="CW42" i="2"/>
  <c r="CW41" i="2"/>
  <c r="CW40" i="2"/>
  <c r="CW39" i="2"/>
  <c r="CW38" i="2"/>
  <c r="CW37" i="2"/>
  <c r="CW36" i="2"/>
  <c r="CW35" i="2"/>
  <c r="CW34" i="2"/>
  <c r="CW33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78" i="2"/>
  <c r="CW77" i="2"/>
  <c r="CW76" i="2"/>
  <c r="CW75" i="2"/>
  <c r="CW73" i="2"/>
  <c r="CW71" i="2"/>
  <c r="CW70" i="2"/>
  <c r="CW66" i="2"/>
  <c r="CW65" i="2"/>
  <c r="CW61" i="2"/>
  <c r="CW60" i="2"/>
  <c r="CQ14" i="3" l="1"/>
  <c r="CQ77" i="3" s="1"/>
  <c r="CP77" i="3"/>
  <c r="I3" i="2"/>
  <c r="E6" i="1"/>
  <c r="D3" i="3"/>
  <c r="CH13" i="3"/>
  <c r="CL14" i="3"/>
  <c r="CL77" i="3" s="1"/>
  <c r="CJ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CW14" i="2"/>
  <c r="CW79" i="2" s="1"/>
  <c r="CV79" i="2"/>
  <c r="CR14" i="2"/>
  <c r="CR79" i="2" s="1"/>
  <c r="CP79" i="2"/>
  <c r="B6" i="1"/>
  <c r="I3" i="3"/>
  <c r="D3" i="2"/>
  <c r="CN13" i="2"/>
  <c r="H6" i="1" l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<sst xmlns="http://schemas.openxmlformats.org/spreadsheetml/2006/main" count="589" uniqueCount="175">
  <si>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</si>
  <si>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</si>
  <si>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</si>
  <si>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</si>
  <si>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</si>
  <si>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</si>
  <si>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</si>
  <si>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</si>
  <si>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</si>
  <si>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</si>
  <si>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</si>
  <si>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</si>
  <si>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</si>
  <si>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</si>
  <si>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</si>
  <si>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</si>
  <si>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</si>
  <si>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</si>
  <si>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</si>
  <si>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</si>
  <si>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</si>
  <si>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</si>
  <si>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</si>
  <si>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</si>
  <si>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</si>
  <si>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</si>
  <si>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</si>
  <si>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</si>
  <si>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</si>
  <si>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</si>
  <si>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</si>
  <si>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</si>
  <si>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</si>
  <si>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</si>
  <si>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</si>
  <si>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</si>
  <si>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</si>
  <si>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</si>
  <si>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</si>
  <si>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</si>
  <si>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</si>
  <si>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</si>
  <si>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</si>
  <si>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</si>
  <si>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</si>
  <si>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</si>
  <si>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</si>
  <si>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</si>
  <si>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</si>
  <si>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</si>
  <si>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</si>
  <si>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</si>
  <si>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</si>
  <si>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</si>
  <si>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</si>
  <si>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</si>
  <si>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</si>
  <si>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</si>
  <si>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</si>
  <si>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</si>
  <si>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</si>
  <si>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</si>
  <si>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</si>
  <si>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</si>
  <si>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</si>
  <si>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</si>
  <si>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</si>
  <si>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</si>
  <si>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</si>
  <si>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</si>
  <si>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</si>
  <si>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</si>
  <si>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</si>
  <si>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</si>
  <si>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</si>
  <si>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</si>
  <si>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</si>
  <si>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</si>
  <si>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</si>
  <si>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</si>
  <si>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</si>
  <si>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</si>
  <si>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</si>
  <si>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</si>
  <si>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</si>
  <si>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</si>
  <si>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</si>
  <si>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</si>
  <si>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</si>
  <si>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</si>
  <si>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</si>
  <si>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</si>
  <si>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</si>
  <si>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</si>
  <si>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</si>
  <si>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</si>
  <si>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</si>
  <si>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</si>
  <si>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</si>
  <si>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</si>
  <si>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</si>
  <si>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</si>
  <si>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</si>
  <si>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</si>
  <si>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</si>
  <si>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</si>
  <si>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</si>
  <si>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</si>
  <si>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</si>
  <si>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</si>
  <si>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</si>
  <si>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</si>
  <si>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12:25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</si>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</sst>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727</v>
      </c>
      <c r="C6" s="89"/>
      <c r="E6" s="88">
        <f>'Programa CAJAS REPORTE DIARIO'!CH77</f>
        <v>1930</v>
      </c>
      <c r="F6" s="89"/>
      <c r="H6" s="101">
        <f>B6+E6</f>
        <v>2657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68</v>
      </c>
      <c r="E23" s="70">
        <f>'Programa CAJAS REPORTE DIARIO'!AT77</f>
        <v>201</v>
      </c>
      <c r="F23" s="70">
        <f t="shared" si="0"/>
        <v>269</v>
      </c>
      <c r="G23" s="70">
        <f t="shared" si="1"/>
        <v>2657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727</v>
      </c>
      <c r="E24" s="75">
        <f>SUM(E11:E23)</f>
        <v>1930</v>
      </c>
      <c r="F24" s="75">
        <f>SUM(F11:F23)</f>
        <v>2657</v>
      </c>
      <c r="G24" s="75">
        <f>F24</f>
        <v>2657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727</v>
      </c>
      <c r="F3" s="79" t="s">
        <v>1</v>
      </c>
      <c r="I3" s="80">
        <f>'Programa CAJAS REPORTE DIARIO'!CH77+CN79</f>
        <v>2657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68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727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5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188</v>
      </c>
      <c r="CP27" s="27">
        <f t="shared" si="4"/>
        <v>188</v>
      </c>
      <c r="CQ27" s="22">
        <v>0</v>
      </c>
      <c r="CR27" s="22">
        <f t="shared" si="5"/>
        <v>188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182.5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18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163</v>
      </c>
      <c r="CP28" s="27">
        <f t="shared" si="4"/>
        <v>163</v>
      </c>
      <c r="CQ28" s="22">
        <v>0</v>
      </c>
      <c r="CR28" s="22">
        <f t="shared" si="5"/>
        <v>163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1214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15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101</v>
      </c>
      <c r="CP29" s="27">
        <f t="shared" si="4"/>
        <v>101</v>
      </c>
      <c r="CQ29" s="22">
        <v>0</v>
      </c>
      <c r="CR29" s="22">
        <f t="shared" si="5"/>
        <v>101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305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2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23</v>
      </c>
      <c r="CP36" s="27">
        <f t="shared" si="4"/>
        <v>23</v>
      </c>
      <c r="CQ36" s="22">
        <v>0</v>
      </c>
      <c r="CR36" s="22">
        <f t="shared" si="5"/>
        <v>23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-23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1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1</v>
      </c>
      <c r="CP37" s="27">
        <f t="shared" si="4"/>
        <v>1</v>
      </c>
      <c r="CQ37" s="22">
        <v>0</v>
      </c>
      <c r="CR37" s="22">
        <f t="shared" si="5"/>
        <v>1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-1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1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71</v>
      </c>
      <c r="CP42" s="27">
        <f t="shared" si="4"/>
        <v>71</v>
      </c>
      <c r="CQ42" s="22">
        <v>0</v>
      </c>
      <c r="CR42" s="22">
        <f t="shared" si="5"/>
        <v>71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-71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24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24</v>
      </c>
      <c r="CP56" s="27">
        <f t="shared" si="11"/>
        <v>24</v>
      </c>
      <c r="CQ56" s="22">
        <v>0</v>
      </c>
      <c r="CR56" s="22">
        <f t="shared" si="12"/>
        <v>24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-24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68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727</v>
      </c>
      <c r="CP79" s="25">
        <f>+SUM(CP14:CP78)</f>
        <v>727</v>
      </c>
      <c r="CQ79" s="25">
        <f>+SUM(CQ14:CQ78)</f>
        <v>0</v>
      </c>
      <c r="CR79" s="25">
        <f>+SUM(CR14:CR78)</f>
        <v>727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6539.5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1930</v>
      </c>
      <c r="F3" s="79" t="s">
        <v>1</v>
      </c>
      <c r="I3" s="80">
        <f>'Programa CASETAS REPORTE DIARIO'!CN79+CH77</f>
        <v>2657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201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1930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24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389</v>
      </c>
      <c r="CJ27" s="27">
        <f t="shared" si="3"/>
        <v>389</v>
      </c>
      <c r="CK27" s="22">
        <v>0</v>
      </c>
      <c r="CL27" s="22">
        <f t="shared" si="4"/>
        <v>389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397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20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300</v>
      </c>
      <c r="CJ28" s="27">
        <f t="shared" si="3"/>
        <v>300</v>
      </c>
      <c r="CK28" s="22">
        <v>0</v>
      </c>
      <c r="CL28" s="22">
        <f t="shared" si="4"/>
        <v>300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-122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1299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47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140</v>
      </c>
      <c r="CJ35" s="27">
        <f t="shared" si="3"/>
        <v>140</v>
      </c>
      <c r="CK35" s="22">
        <v>0</v>
      </c>
      <c r="CL35" s="22">
        <f t="shared" si="4"/>
        <v>140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-41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2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48</v>
      </c>
      <c r="CJ36" s="27">
        <f t="shared" si="3"/>
        <v>48</v>
      </c>
      <c r="CK36" s="22">
        <v>0</v>
      </c>
      <c r="CL36" s="22">
        <f t="shared" si="4"/>
        <v>48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-48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7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50</v>
      </c>
      <c r="CJ37" s="27">
        <f t="shared" si="3"/>
        <v>50</v>
      </c>
      <c r="CK37" s="22">
        <v>0</v>
      </c>
      <c r="CL37" s="22">
        <f t="shared" si="4"/>
        <v>50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525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21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128</v>
      </c>
      <c r="CJ43" s="27">
        <f t="shared" si="3"/>
        <v>128</v>
      </c>
      <c r="CK43" s="22">
        <v>0</v>
      </c>
      <c r="CL43" s="22">
        <f t="shared" si="4"/>
        <v>128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-108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40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266</v>
      </c>
      <c r="CJ46" s="27">
        <f t="shared" ref="CJ46:CJ76" si="11">CH46</f>
        <v>266</v>
      </c>
      <c r="CK46" s="22">
        <v>0</v>
      </c>
      <c r="CL46" s="22">
        <f t="shared" ref="CL46:CL77" si="12">CJ46+CK46</f>
        <v>266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1262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18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23</v>
      </c>
      <c r="CJ53" s="27">
        <f t="shared" si="11"/>
        <v>23</v>
      </c>
      <c r="CK53" s="22">
        <v>0</v>
      </c>
      <c r="CL53" s="22">
        <f t="shared" si="12"/>
        <v>23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45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8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55</v>
      </c>
      <c r="CJ61" s="27">
        <f t="shared" si="11"/>
        <v>55</v>
      </c>
      <c r="CK61" s="22">
        <v>0</v>
      </c>
      <c r="CL61" s="22">
        <f t="shared" si="12"/>
        <v>55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-23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5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79</v>
      </c>
      <c r="CJ70" s="27">
        <f t="shared" si="11"/>
        <v>79</v>
      </c>
      <c r="CK70" s="22">
        <v>0</v>
      </c>
      <c r="CL70" s="22">
        <f t="shared" si="12"/>
        <v>79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-65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201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1930</v>
      </c>
      <c r="CJ77" s="25">
        <f>+SUM(CJ14:CJ76)</f>
        <v>1930</v>
      </c>
      <c r="CK77" s="25">
        <f>+SUM(CK14:CK76)</f>
        <v>0</v>
      </c>
      <c r="CL77" s="25">
        <f>+SUM(CL14:CL76)</f>
        <v>1930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9302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2026-10-29T18:25:24Z</dcterms:modified>
</cp:coreProperties>
</file>