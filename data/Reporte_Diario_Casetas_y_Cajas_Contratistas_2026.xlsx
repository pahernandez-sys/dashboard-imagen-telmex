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F60EB33-B3FC-40E5-B61D-B92106599624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DD30" i="2"/>
  <c r="CU30" i="2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69" i="2" l="1"/>
  <c r="CW65" i="2"/>
  <c r="CQ36" i="3"/>
  <c r="CQ43" i="3"/>
  <c r="CQ40" i="3"/>
  <c r="CQ37" i="3"/>
  <c r="CW57" i="2"/>
  <c r="CQ35" i="3"/>
  <c r="CQ34" i="3"/>
  <c r="CQ31" i="3"/>
  <c r="CQ30" i="3"/>
  <c r="CQ25" i="3"/>
  <c r="CQ24" i="3"/>
  <c r="CN85" i="2"/>
  <c r="CW77" i="2"/>
  <c r="CW74" i="2"/>
  <c r="CQ20" i="3"/>
  <c r="CQ19" i="3"/>
  <c r="CQ16" i="3"/>
  <c r="CW17" i="2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O77" i="3"/>
  <c r="CP14" i="3"/>
  <c r="CH77" i="3"/>
  <c r="CJ14" i="3"/>
  <c r="D20" i="1"/>
  <c r="F20" i="1" s="1"/>
  <c r="AK13" i="2"/>
  <c r="AJ13" i="2"/>
  <c r="D19" i="1"/>
  <c r="F19" i="1" s="1"/>
  <c r="AI13" i="2"/>
  <c r="D18" i="1"/>
  <c r="F18" i="1" s="1"/>
  <c r="D17" i="1"/>
  <c r="F17" i="1" s="1"/>
  <c r="AH13" i="2"/>
  <c r="D16" i="1"/>
  <c r="F16" i="1" s="1"/>
  <c r="AG13" i="2"/>
  <c r="D15" i="1"/>
  <c r="F15" i="1" s="1"/>
  <c r="AF13" i="2"/>
  <c r="AE13" i="2"/>
  <c r="D14" i="1"/>
  <c r="AD13" i="2"/>
  <c r="D13" i="1"/>
  <c r="D12" i="1"/>
  <c r="AC13" i="2"/>
  <c r="AB13" i="2"/>
  <c r="D11" i="1"/>
  <c r="CP31" i="2"/>
  <c r="CP79" i="2" s="1"/>
  <c r="CN79" i="2"/>
  <c r="CU79" i="2"/>
  <c r="CV30" i="2"/>
  <c r="CW14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2" i="3"/>
  <c r="CQ41" i="3"/>
  <c r="CQ39" i="3"/>
  <c r="CQ38" i="3"/>
  <c r="CQ28" i="3"/>
  <c r="CQ27" i="3"/>
  <c r="CQ29" i="3"/>
  <c r="CQ26" i="3"/>
  <c r="CQ21" i="3"/>
  <c r="CQ18" i="3"/>
  <c r="CQ17" i="3"/>
  <c r="CW75" i="2"/>
  <c r="CW66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33" i="3"/>
  <c r="CQ32" i="3"/>
  <c r="CQ23" i="3"/>
  <c r="CQ22" i="3"/>
  <c r="CQ15" i="3"/>
  <c r="CW68" i="2"/>
  <c r="CW67" i="2"/>
  <c r="E21" i="1" l="1"/>
  <c r="F14" i="1"/>
  <c r="F13" i="1"/>
  <c r="F12" i="1"/>
  <c r="CP77" i="3"/>
  <c r="CQ14" i="3"/>
  <c r="CQ77" i="3" s="1"/>
  <c r="E6" i="1"/>
  <c r="D3" i="3"/>
  <c r="CH13" i="3"/>
  <c r="I3" i="2"/>
  <c r="CJ77" i="3"/>
  <c r="CL14" i="3"/>
  <c r="CL77" i="3" s="1"/>
  <c r="F11" i="1"/>
  <c r="D21" i="1"/>
  <c r="CW31" i="2"/>
  <c r="CW79" i="2" s="1"/>
  <c r="CR31" i="2"/>
  <c r="CR79" i="2" s="1"/>
  <c r="B6" i="1"/>
  <c r="I3" i="3"/>
  <c r="D3" i="2"/>
  <c r="CN13" i="2"/>
  <c r="CW30" i="2"/>
  <c r="CV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<sst xmlns="http://schemas.openxmlformats.org/spreadsheetml/2006/main" count="580" uniqueCount="171">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</sst>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466</v>
      </c>
      <c r="C6" s="89"/>
      <c r="E6" s="88">
        <f>'Programa CAJAS REPORTE DIARIO'!CH77</f>
        <v>1305</v>
      </c>
      <c r="F6" s="89"/>
      <c r="H6" s="101">
        <f>B6+E6</f>
        <v>1771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466</v>
      </c>
      <c r="F3" s="79" t="s">
        <v>1</v>
      </c>
      <c r="I3" s="80">
        <f>'Programa CAJAS REPORTE DIARIO'!CH77+CN79</f>
        <v>1771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122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62</v>
      </c>
      <c r="CP29" s="27">
        <f t="shared" si="4"/>
        <v>62</v>
      </c>
      <c r="CQ29" s="22">
        <v>0</v>
      </c>
      <c r="CR29" s="22">
        <f t="shared" si="5"/>
        <v>62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122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466</v>
      </c>
      <c r="CP79" s="25">
        <f>+SUM(CP14:CP78)</f>
        <v>466</v>
      </c>
      <c r="CQ79" s="25">
        <f>+SUM(CQ14:CQ78)</f>
        <v>0</v>
      </c>
      <c r="CR79" s="25">
        <f>+SUM(CR14:CR78)</f>
        <v>466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2666.5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1771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2026-10-28T01:38:20Z</dcterms:modified>
</cp:coreProperties>
</file>