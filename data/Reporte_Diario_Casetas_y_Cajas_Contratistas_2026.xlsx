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CC1D0DBB-D885-4F96-A21F-E66FACA176AE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X13" i="3" s="1"/>
  <c r="BW77" i="3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J14" i="3" s="1"/>
  <c r="CG13" i="3"/>
  <c r="CF13" i="3"/>
  <c r="CE13" i="3"/>
  <c r="CD13" i="3"/>
  <c r="CC13" i="3"/>
  <c r="CB13" i="3"/>
  <c r="CA13" i="3"/>
  <c r="BZ13" i="3"/>
  <c r="BY13" i="3"/>
  <c r="BW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W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W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W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W41" i="2" l="1"/>
  <c r="CW35" i="2"/>
  <c r="CW31" i="2"/>
  <c r="E24" i="1"/>
  <c r="AU13" i="3"/>
  <c r="E23" i="1"/>
  <c r="AT13" i="3"/>
  <c r="CQ73" i="3"/>
  <c r="CQ59" i="3"/>
  <c r="CQ57" i="3"/>
  <c r="CQ54" i="3"/>
  <c r="CQ51" i="3"/>
  <c r="CQ50" i="3"/>
  <c r="CH77" i="3"/>
  <c r="CW33" i="2"/>
  <c r="CW28" i="2"/>
  <c r="CW27" i="2"/>
  <c r="CW26" i="2"/>
  <c r="CW25" i="2"/>
  <c r="CW23" i="2"/>
  <c r="CW22" i="2"/>
  <c r="CW21" i="2"/>
  <c r="CW19" i="2"/>
  <c r="CW18" i="2"/>
  <c r="CW36" i="2"/>
  <c r="CW29" i="2"/>
  <c r="CW15" i="2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5" i="1" s="1"/>
  <c r="AH13" i="3"/>
  <c r="D24" i="1"/>
  <c r="F24" i="1" s="1"/>
  <c r="AO13" i="2"/>
  <c r="D23" i="1"/>
  <c r="F23" i="1" s="1"/>
  <c r="AN13" i="2"/>
  <c r="D22" i="1"/>
  <c r="F22" i="1" s="1"/>
  <c r="AM13" i="2"/>
  <c r="D21" i="1"/>
  <c r="F21" i="1" s="1"/>
  <c r="AL13" i="2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D16" i="1"/>
  <c r="F16" i="1" s="1"/>
  <c r="AG13" i="2"/>
  <c r="D15" i="1"/>
  <c r="F15" i="1" s="1"/>
  <c r="AF13" i="2"/>
  <c r="D14" i="1"/>
  <c r="F14" i="1" s="1"/>
  <c r="AE13" i="2"/>
  <c r="D13" i="1"/>
  <c r="F13" i="1" s="1"/>
  <c r="AD13" i="2"/>
  <c r="D12" i="1"/>
  <c r="F12" i="1" s="1"/>
  <c r="AC13" i="2"/>
  <c r="D11" i="1"/>
  <c r="AB13" i="2"/>
  <c r="CP14" i="3"/>
  <c r="CO77" i="3"/>
  <c r="CL14" i="3"/>
  <c r="CL77" i="3" s="1"/>
  <c r="CJ77" i="3"/>
  <c r="CH13" i="3"/>
  <c r="E6" i="1"/>
  <c r="D3" i="3"/>
  <c r="F11" i="1"/>
  <c r="D25" i="1"/>
  <c r="CV14" i="2"/>
  <c r="CU79" i="2"/>
  <c r="CP14" i="2"/>
  <c r="CN79" i="2"/>
  <c r="I3" i="2" s="1"/>
  <c r="CQ74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8" i="2"/>
  <c r="CW46" i="2"/>
  <c r="CW44" i="2"/>
  <c r="CW43" i="2"/>
  <c r="CW42" i="2"/>
  <c r="CW40" i="2"/>
  <c r="CW39" i="2"/>
  <c r="CW38" i="2"/>
  <c r="CW34" i="2"/>
  <c r="CW32" i="2"/>
  <c r="CW24" i="2"/>
  <c r="CW17" i="2"/>
  <c r="CW16" i="2"/>
  <c r="CQ69" i="3"/>
  <c r="CQ65" i="3"/>
  <c r="CQ63" i="3"/>
  <c r="CQ61" i="3"/>
  <c r="CQ56" i="3"/>
  <c r="CQ55" i="3"/>
  <c r="CQ53" i="3"/>
  <c r="CQ49" i="3"/>
  <c r="CW20" i="2"/>
  <c r="CQ76" i="3"/>
  <c r="CQ75" i="3"/>
  <c r="CQ72" i="3"/>
  <c r="CQ71" i="3"/>
  <c r="CQ70" i="3"/>
  <c r="CQ68" i="3"/>
  <c r="CQ67" i="3"/>
  <c r="CQ66" i="3"/>
  <c r="CQ64" i="3"/>
  <c r="CQ62" i="3"/>
  <c r="CQ60" i="3"/>
  <c r="CQ52" i="3"/>
  <c r="CW45" i="2"/>
  <c r="CW37" i="2"/>
  <c r="CW30" i="2"/>
  <c r="CQ58" i="3"/>
  <c r="CQ14" i="3" l="1"/>
  <c r="CQ77" i="3" s="1"/>
  <c r="CP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CW14" i="2"/>
  <c r="CW79" i="2" s="1"/>
  <c r="CV79" i="2"/>
  <c r="CR14" i="2"/>
  <c r="CR79" i="2" s="1"/>
  <c r="CP79" i="2"/>
  <c r="B6" i="1"/>
  <c r="H6" i="1" s="1"/>
  <c r="CN13" i="2"/>
  <c r="I3" i="3"/>
  <c r="D3" i="2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<sst xmlns="http://schemas.openxmlformats.org/spreadsheetml/2006/main" count="592" uniqueCount="176">
  <si>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</si>
  <si>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</si>
  <si>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</si>
  <si>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</si>
  <si>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</si>
  <si>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</si>
  <si>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</si>
  <si>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</si>
  <si>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</si>
  <si>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</si>
  <si>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</si>
  <si>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</si>
  <si>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</si>
  <si>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</si>
  <si>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</si>
  <si>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</si>
  <si>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</si>
  <si>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</si>
  <si>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</si>
  <si>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</si>
  <si>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</si>
  <si>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</si>
  <si>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</si>
  <si>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</si>
  <si>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</si>
  <si>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</si>
  <si>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</si>
  <si>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</si>
  <si>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</si>
  <si>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</si>
  <si>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</si>
  <si>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</si>
  <si>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</si>
  <si>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</si>
  <si>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</si>
  <si>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</si>
  <si>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</si>
  <si>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</si>
  <si>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</si>
  <si>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</si>
  <si>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</si>
  <si>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</si>
  <si>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</si>
  <si>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</si>
  <si>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</si>
  <si>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</si>
  <si>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</si>
  <si>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</si>
  <si>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</si>
  <si>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</si>
  <si>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</si>
  <si>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</si>
  <si>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</si>
  <si>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</si>
  <si>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</si>
  <si>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</si>
  <si>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</si>
  <si>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</si>
  <si>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</si>
  <si>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</si>
  <si>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</si>
  <si>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</si>
  <si>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</si>
  <si>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</si>
  <si>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</si>
  <si>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</si>
  <si>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</si>
  <si>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</si>
  <si>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</si>
  <si>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</si>
  <si>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</si>
  <si>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</si>
  <si>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</si>
  <si>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</si>
  <si>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</si>
  <si>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</si>
  <si>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</si>
  <si>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</si>
  <si>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</si>
  <si>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</si>
  <si>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</si>
  <si>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</si>
  <si>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</si>
  <si>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</si>
  <si>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</si>
  <si>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</si>
  <si>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</si>
  <si>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</si>
  <si>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</si>
  <si>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</si>
  <si>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</si>
  <si>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</si>
  <si>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</si>
  <si>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</si>
  <si>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</si>
  <si>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</si>
  <si>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</si>
  <si>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</si>
  <si>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</si>
  <si>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</si>
  <si>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</si>
  <si>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</si>
  <si>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</si>
  <si>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</si>
  <si>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</si>
  <si>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</si>
  <si>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</si>
  <si>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</si>
  <si>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</si>
  <si>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</si>
  <si>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</si>
  <si>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</si>
  <si>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12:29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</si>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</sst>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978</v>
      </c>
      <c r="C6" s="89"/>
      <c r="E6" s="88">
        <f>'Programa CAJAS REPORTE DIARIO'!CH77</f>
        <v>2717</v>
      </c>
      <c r="F6" s="89"/>
      <c r="H6" s="101">
        <f>B6+E6</f>
        <v>3695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70</v>
      </c>
      <c r="E24" s="72">
        <f>'Programa CAJAS REPORTE DIARIO'!AU77</f>
        <v>242</v>
      </c>
      <c r="F24" s="72">
        <f t="shared" si="0"/>
        <v>312</v>
      </c>
      <c r="G24" s="72">
        <f t="shared" si="1"/>
        <v>3695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978</v>
      </c>
      <c r="E25" s="75">
        <f>SUM(E11:E24)</f>
        <v>2717</v>
      </c>
      <c r="F25" s="75">
        <f>SUM(F11:F24)</f>
        <v>3695</v>
      </c>
      <c r="G25" s="75">
        <f>F25</f>
        <v>3695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978</v>
      </c>
      <c r="F3" s="79" t="s">
        <v>1</v>
      </c>
      <c r="I3" s="80">
        <f>'Programa CAJAS REPORTE DIARIO'!CH77+CN79</f>
        <v>3695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70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978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8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208</v>
      </c>
      <c r="CP27" s="27">
        <f t="shared" si="4"/>
        <v>208</v>
      </c>
      <c r="CQ27" s="22">
        <v>0</v>
      </c>
      <c r="CR27" s="22">
        <f t="shared" si="5"/>
        <v>208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9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122</v>
      </c>
      <c r="CP29" s="27">
        <f t="shared" si="4"/>
        <v>122</v>
      </c>
      <c r="CQ29" s="22">
        <v>0</v>
      </c>
      <c r="CR29" s="22">
        <f t="shared" si="5"/>
        <v>122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18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151</v>
      </c>
      <c r="CP42" s="27">
        <f t="shared" si="4"/>
        <v>151</v>
      </c>
      <c r="CQ42" s="22">
        <v>0</v>
      </c>
      <c r="CR42" s="22">
        <f t="shared" si="5"/>
        <v>151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-151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30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92</v>
      </c>
      <c r="CP56" s="27">
        <f t="shared" si="11"/>
        <v>92</v>
      </c>
      <c r="CQ56" s="22">
        <v>0</v>
      </c>
      <c r="CR56" s="22">
        <f t="shared" si="12"/>
        <v>92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-92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70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978</v>
      </c>
      <c r="CP79" s="25">
        <f>+SUM(CP14:CP78)</f>
        <v>978</v>
      </c>
      <c r="CQ79" s="25">
        <f>+SUM(CQ14:CQ78)</f>
        <v>0</v>
      </c>
      <c r="CR79" s="25">
        <f>+SUM(CR14:CR78)</f>
        <v>978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6288.5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2717</v>
      </c>
      <c r="F3" s="79" t="s">
        <v>1</v>
      </c>
      <c r="I3" s="80">
        <f>'Programa CASETAS REPORTE DIARIO'!CN79+CH77</f>
        <v>3695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242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2717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21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458</v>
      </c>
      <c r="CJ27" s="27">
        <f t="shared" si="3"/>
        <v>458</v>
      </c>
      <c r="CK27" s="22">
        <v>0</v>
      </c>
      <c r="CL27" s="22">
        <f t="shared" si="4"/>
        <v>458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328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14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341</v>
      </c>
      <c r="CJ28" s="27">
        <f t="shared" si="3"/>
        <v>341</v>
      </c>
      <c r="CK28" s="22">
        <v>0</v>
      </c>
      <c r="CL28" s="22">
        <f t="shared" si="4"/>
        <v>341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-161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14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119</v>
      </c>
      <c r="CJ29" s="27">
        <f t="shared" si="3"/>
        <v>119</v>
      </c>
      <c r="CK29" s="22">
        <v>0</v>
      </c>
      <c r="CL29" s="22">
        <f t="shared" si="4"/>
        <v>119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1217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3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53</v>
      </c>
      <c r="CJ36" s="27">
        <f t="shared" si="3"/>
        <v>53</v>
      </c>
      <c r="CK36" s="22">
        <v>0</v>
      </c>
      <c r="CL36" s="22">
        <f t="shared" si="4"/>
        <v>53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-53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55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141</v>
      </c>
      <c r="CJ37" s="27">
        <f t="shared" si="3"/>
        <v>141</v>
      </c>
      <c r="CK37" s="22">
        <v>0</v>
      </c>
      <c r="CL37" s="22">
        <f t="shared" si="4"/>
        <v>141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434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7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66</v>
      </c>
      <c r="CJ41" s="27">
        <f t="shared" si="3"/>
        <v>66</v>
      </c>
      <c r="CK41" s="22">
        <v>0</v>
      </c>
      <c r="CL41" s="22">
        <f t="shared" si="4"/>
        <v>66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514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37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213</v>
      </c>
      <c r="CJ43" s="27">
        <f t="shared" si="3"/>
        <v>213</v>
      </c>
      <c r="CK43" s="22">
        <v>0</v>
      </c>
      <c r="CL43" s="22">
        <f t="shared" si="4"/>
        <v>213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-193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3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334</v>
      </c>
      <c r="CJ46" s="27">
        <f t="shared" ref="CJ46:CJ76" si="11">CH46</f>
        <v>334</v>
      </c>
      <c r="CK46" s="22">
        <v>0</v>
      </c>
      <c r="CL46" s="22">
        <f t="shared" ref="CL46:CL77" si="12">CJ46+CK46</f>
        <v>334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1194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63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236</v>
      </c>
      <c r="CJ53" s="27">
        <f t="shared" si="11"/>
        <v>236</v>
      </c>
      <c r="CK53" s="22">
        <v>0</v>
      </c>
      <c r="CL53" s="22">
        <f t="shared" si="12"/>
        <v>236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8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91</v>
      </c>
      <c r="CJ55" s="27">
        <f t="shared" si="11"/>
        <v>91</v>
      </c>
      <c r="CK55" s="22">
        <v>0</v>
      </c>
      <c r="CL55" s="22">
        <f t="shared" si="12"/>
        <v>91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-61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242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2717</v>
      </c>
      <c r="CJ77" s="25">
        <f>+SUM(CJ14:CJ76)</f>
        <v>2717</v>
      </c>
      <c r="CK77" s="25">
        <f>+SUM(CK14:CK76)</f>
        <v>0</v>
      </c>
      <c r="CL77" s="25">
        <f>+SUM(CL14:CL76)</f>
        <v>2717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8677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2026-10-30T18:29:59Z</dcterms:modified>
</cp:coreProperties>
</file>