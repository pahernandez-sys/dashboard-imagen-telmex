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DBC5BF7-62D8-4C50-9CC2-667C161DC758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Q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W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W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W61" i="2" l="1"/>
  <c r="CW60" i="2"/>
  <c r="CW57" i="2"/>
  <c r="CQ64" i="3"/>
  <c r="CQ59" i="3"/>
  <c r="CQ57" i="3"/>
  <c r="CQ55" i="3"/>
  <c r="CQ54" i="3"/>
  <c r="CQ50" i="3"/>
  <c r="CQ17" i="3"/>
  <c r="CQ27" i="3"/>
  <c r="CQ21" i="3"/>
  <c r="CQ19" i="3"/>
  <c r="CQ23" i="3"/>
  <c r="CW59" i="2"/>
  <c r="CW44" i="2"/>
  <c r="CW24" i="2"/>
  <c r="CW21" i="2"/>
  <c r="CW19" i="2"/>
  <c r="E23" i="1"/>
  <c r="AT13" i="3"/>
  <c r="E22" i="1"/>
  <c r="AS13" i="3"/>
  <c r="E21" i="1"/>
  <c r="AR13" i="3"/>
  <c r="E20" i="1"/>
  <c r="F20" i="1" s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P14" i="3"/>
  <c r="CO77" i="3"/>
  <c r="CJ14" i="3"/>
  <c r="CH77" i="3"/>
  <c r="F11" i="1"/>
  <c r="D24" i="1"/>
  <c r="CU79" i="2"/>
  <c r="CV14" i="2"/>
  <c r="CP14" i="2"/>
  <c r="CN79" i="2"/>
  <c r="CQ61" i="3"/>
  <c r="CQ60" i="3"/>
  <c r="CQ2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53" i="3"/>
  <c r="CQ25" i="3"/>
  <c r="CQ24" i="3"/>
  <c r="CW64" i="2"/>
  <c r="CW58" i="2"/>
  <c r="CW23" i="2"/>
  <c r="CW22" i="2"/>
  <c r="CQ66" i="3"/>
  <c r="CQ56" i="3"/>
  <c r="CQ49" i="3"/>
  <c r="CQ26" i="3"/>
  <c r="CQ22" i="3"/>
  <c r="CQ18" i="3"/>
  <c r="CQ16" i="3"/>
  <c r="F17" i="1"/>
  <c r="F16" i="1"/>
  <c r="F15" i="1"/>
  <c r="F14" i="1"/>
  <c r="F13" i="1"/>
  <c r="F12" i="1"/>
  <c r="CW78" i="2"/>
  <c r="CW77" i="2"/>
  <c r="CW76" i="2"/>
  <c r="CW75" i="2"/>
  <c r="CW74" i="2"/>
  <c r="CW73" i="2"/>
  <c r="CW72" i="2"/>
  <c r="CW71" i="2"/>
  <c r="CW70" i="2"/>
  <c r="CW69" i="2"/>
  <c r="CW68" i="2"/>
  <c r="CW66" i="2"/>
  <c r="CW63" i="2"/>
  <c r="CW62" i="2"/>
  <c r="CQ15" i="3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0" i="2"/>
  <c r="CQ58" i="3"/>
  <c r="CQ52" i="3"/>
  <c r="CQ51" i="3"/>
  <c r="CQ20" i="3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5" i="3"/>
  <c r="CQ63" i="3"/>
  <c r="CQ28" i="3"/>
  <c r="E24" i="1" l="1"/>
  <c r="F23" i="1"/>
  <c r="F22" i="1"/>
  <c r="F21" i="1"/>
  <c r="F19" i="1"/>
  <c r="F18" i="1"/>
  <c r="F24" i="1" s="1"/>
  <c r="G24" i="1" s="1"/>
  <c r="CQ14" i="3"/>
  <c r="CQ77" i="3" s="1"/>
  <c r="CP77" i="3"/>
  <c r="CL14" i="3"/>
  <c r="CL77" i="3" s="1"/>
  <c r="CJ77" i="3"/>
  <c r="E6" i="1"/>
  <c r="D3" i="3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CW14" i="2"/>
  <c r="CW79" i="2" s="1"/>
  <c r="CV79" i="2"/>
  <c r="CR14" i="2"/>
  <c r="CR79" i="2" s="1"/>
  <c r="CP79" i="2"/>
  <c r="B6" i="1"/>
  <c r="I3" i="3"/>
  <c r="CN13" i="2"/>
  <c r="D3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<sst xmlns="http://schemas.openxmlformats.org/spreadsheetml/2006/main" count="589" uniqueCount="175">
  <si>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</si>
  <si>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</si>
  <si>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</si>
  <si>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</si>
  <si>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</si>
  <si>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</si>
  <si>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</si>
  <si>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</si>
  <si>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</si>
  <si>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</si>
  <si>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</si>
  <si>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</si>
  <si>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</si>
  <si>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</si>
  <si>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</si>
  <si>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</si>
  <si>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</si>
  <si>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</si>
  <si>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</si>
  <si>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</si>
  <si>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</si>
  <si>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</si>
  <si>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</si>
  <si>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</si>
  <si>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</si>
  <si>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</si>
  <si>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</si>
  <si>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</si>
  <si>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</si>
  <si>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</si>
  <si>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</si>
  <si>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</si>
  <si>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</si>
  <si>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</si>
  <si>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</si>
  <si>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</si>
  <si>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</si>
  <si>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</si>
  <si>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</si>
  <si>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</si>
  <si>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</si>
  <si>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</si>
  <si>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</si>
  <si>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</si>
  <si>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</si>
  <si>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</si>
  <si>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</si>
  <si>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</si>
  <si>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</si>
  <si>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</si>
  <si>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</si>
  <si>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</si>
  <si>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</si>
  <si>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</si>
  <si>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</si>
  <si>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</si>
  <si>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</si>
  <si>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</si>
  <si>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</si>
  <si>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</si>
  <si>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</si>
  <si>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</si>
  <si>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</si>
  <si>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</si>
  <si>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</si>
  <si>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</si>
  <si>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</si>
  <si>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</si>
  <si>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</si>
  <si>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</si>
  <si>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</si>
  <si>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</si>
  <si>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</si>
  <si>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</si>
  <si>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</si>
  <si>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</si>
  <si>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</si>
  <si>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</si>
  <si>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</si>
  <si>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</si>
  <si>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</si>
  <si>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</si>
  <si>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</si>
  <si>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</si>
  <si>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</si>
  <si>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</si>
  <si>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</si>
  <si>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</si>
  <si>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</si>
  <si>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</si>
  <si>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</si>
  <si>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</si>
  <si>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</si>
  <si>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</si>
  <si>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</si>
  <si>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</si>
  <si>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</si>
  <si>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</si>
  <si>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</si>
  <si>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</si>
  <si>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</si>
  <si>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</si>
  <si>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</si>
  <si>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</si>
  <si>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</si>
  <si>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</si>
  <si>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</si>
  <si>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</si>
  <si>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</si>
  <si>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</si>
  <si>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</si>
  <si>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</si>
  <si>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18:53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</si>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</sst>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898</v>
      </c>
      <c r="C6" s="89"/>
      <c r="E6" s="88">
        <f>'Programa CAJAS REPORTE DIARIO'!CH77</f>
        <v>2393</v>
      </c>
      <c r="F6" s="89"/>
      <c r="H6" s="101">
        <f>B6+E6</f>
        <v>3291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239</v>
      </c>
      <c r="E23" s="70">
        <f>'Programa CAJAS REPORTE DIARIO'!AT77</f>
        <v>664</v>
      </c>
      <c r="F23" s="70">
        <f t="shared" si="0"/>
        <v>903</v>
      </c>
      <c r="G23" s="70">
        <f t="shared" si="1"/>
        <v>3291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898</v>
      </c>
      <c r="E24" s="75">
        <f>SUM(E11:E23)</f>
        <v>2393</v>
      </c>
      <c r="F24" s="75">
        <f>SUM(F11:F23)</f>
        <v>3291</v>
      </c>
      <c r="G24" s="75">
        <f>F24</f>
        <v>3291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898</v>
      </c>
      <c r="F3" s="79" t="s">
        <v>1</v>
      </c>
      <c r="I3" s="80">
        <f>'Programa CAJAS REPORTE DIARIO'!CH77+CN79</f>
        <v>3291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239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132</v>
      </c>
      <c r="CP42" s="27">
        <f t="shared" si="4"/>
        <v>132</v>
      </c>
      <c r="CQ42" s="22">
        <v>0</v>
      </c>
      <c r="CR42" s="22">
        <f t="shared" si="5"/>
        <v>132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-132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239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898</v>
      </c>
      <c r="CP79" s="25">
        <f>+SUM(CP14:CP78)</f>
        <v>898</v>
      </c>
      <c r="CQ79" s="25">
        <f>+SUM(CQ14:CQ78)</f>
        <v>0</v>
      </c>
      <c r="CR79" s="25">
        <f>+SUM(CR14:CR78)</f>
        <v>898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2393</v>
      </c>
      <c r="F3" s="79" t="s">
        <v>1</v>
      </c>
      <c r="I3" s="80">
        <f>'Programa CASETAS REPORTE DIARIO'!CN79+CH77</f>
        <v>3291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664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2393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55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420</v>
      </c>
      <c r="CJ27" s="27">
        <f t="shared" si="3"/>
        <v>420</v>
      </c>
      <c r="CK27" s="22">
        <v>0</v>
      </c>
      <c r="CL27" s="22">
        <f t="shared" si="4"/>
        <v>420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664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2393</v>
      </c>
      <c r="CJ77" s="25">
        <f>+SUM(CJ14:CJ76)</f>
        <v>2393</v>
      </c>
      <c r="CK77" s="25">
        <f>+SUM(CK14:CK76)</f>
        <v>0</v>
      </c>
      <c r="CL77" s="25">
        <f>+SUM(CL14:CL76)</f>
        <v>2393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8839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2026-10-30T00:53:52Z</dcterms:modified>
</cp:coreProperties>
</file>