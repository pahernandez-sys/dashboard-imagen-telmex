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EDB03A1-DEAB-4A88-988A-3EB6261231C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D16" i="1" s="1"/>
  <c r="AF79" i="2"/>
  <c r="D15" i="1" s="1"/>
  <c r="AE79" i="2"/>
  <c r="D14" i="1" s="1"/>
  <c r="AD79" i="2"/>
  <c r="D13" i="1" s="1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AG13" i="2"/>
  <c r="AF13" i="2"/>
  <c r="AE13" i="2"/>
  <c r="AD13" i="2"/>
  <c r="CW45" i="2" l="1"/>
  <c r="CW42" i="2"/>
  <c r="D12" i="1"/>
  <c r="AC13" i="2"/>
  <c r="D11" i="1"/>
  <c r="AB13" i="2"/>
  <c r="CQ72" i="3"/>
  <c r="CQ70" i="3"/>
  <c r="CQ67" i="3"/>
  <c r="CQ63" i="3"/>
  <c r="CQ62" i="3"/>
  <c r="CW43" i="2"/>
  <c r="CQ57" i="3"/>
  <c r="CQ52" i="3"/>
  <c r="CQ47" i="3"/>
  <c r="CW78" i="2"/>
  <c r="CW76" i="2"/>
  <c r="CW75" i="2"/>
  <c r="CW74" i="2"/>
  <c r="CW71" i="2"/>
  <c r="CW66" i="2"/>
  <c r="CW65" i="2"/>
  <c r="CW64" i="2"/>
  <c r="CW63" i="2"/>
  <c r="CW62" i="2"/>
  <c r="CW61" i="2"/>
  <c r="CW59" i="2"/>
  <c r="CW58" i="2"/>
  <c r="CW57" i="2"/>
  <c r="CW56" i="2"/>
  <c r="CW53" i="2"/>
  <c r="CW52" i="2"/>
  <c r="CW49" i="2"/>
  <c r="CW40" i="2"/>
  <c r="AS13" i="3"/>
  <c r="E22" i="1"/>
  <c r="AR13" i="3"/>
  <c r="E21" i="1"/>
  <c r="E20" i="1"/>
  <c r="AQ13" i="3"/>
  <c r="AP13" i="3"/>
  <c r="E19" i="1"/>
  <c r="E18" i="1"/>
  <c r="AO13" i="3"/>
  <c r="E17" i="1"/>
  <c r="AN13" i="3"/>
  <c r="AM13" i="3"/>
  <c r="E16" i="1"/>
  <c r="F16" i="1" s="1"/>
  <c r="E15" i="1"/>
  <c r="F15" i="1" s="1"/>
  <c r="AL13" i="3"/>
  <c r="AK13" i="3"/>
  <c r="E14" i="1"/>
  <c r="F14" i="1" s="1"/>
  <c r="E13" i="1"/>
  <c r="F13" i="1" s="1"/>
  <c r="AJ13" i="3"/>
  <c r="E12" i="1"/>
  <c r="F12" i="1" s="1"/>
  <c r="AI13" i="3"/>
  <c r="AH13" i="3"/>
  <c r="E11" i="1"/>
  <c r="E23" i="1" s="1"/>
  <c r="CQ15" i="3"/>
  <c r="CL15" i="3"/>
  <c r="D22" i="1"/>
  <c r="AM13" i="2"/>
  <c r="D21" i="1"/>
  <c r="AL13" i="2"/>
  <c r="D20" i="1"/>
  <c r="AK13" i="2"/>
  <c r="D19" i="1"/>
  <c r="AJ13" i="2"/>
  <c r="D18" i="1"/>
  <c r="AI13" i="2"/>
  <c r="D17" i="1"/>
  <c r="AH13" i="2"/>
  <c r="CP14" i="3"/>
  <c r="CO77" i="3"/>
  <c r="CJ14" i="3"/>
  <c r="CH77" i="3"/>
  <c r="F11" i="1"/>
  <c r="D23" i="1"/>
  <c r="CU79" i="2"/>
  <c r="CV14" i="2"/>
  <c r="CP14" i="2"/>
  <c r="CN79" i="2"/>
  <c r="CQ60" i="3"/>
  <c r="CQ54" i="3"/>
  <c r="CQ53" i="3"/>
  <c r="CQ49" i="3"/>
  <c r="CQ48" i="3"/>
  <c r="CW54" i="2"/>
  <c r="CW36" i="2"/>
  <c r="CW34" i="2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W73" i="2"/>
  <c r="CW70" i="2"/>
  <c r="CW69" i="2"/>
  <c r="CW67" i="2"/>
  <c r="CW55" i="2"/>
  <c r="CW39" i="2"/>
  <c r="CW38" i="2"/>
  <c r="CW37" i="2"/>
  <c r="CW33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1" i="3"/>
  <c r="CQ69" i="3"/>
  <c r="CQ68" i="3"/>
  <c r="CQ66" i="3"/>
  <c r="CQ65" i="3"/>
  <c r="CQ64" i="3"/>
  <c r="CQ61" i="3"/>
  <c r="CQ59" i="3"/>
  <c r="CQ58" i="3"/>
  <c r="CQ56" i="3"/>
  <c r="CQ55" i="3"/>
  <c r="CQ51" i="3"/>
  <c r="CQ50" i="3"/>
  <c r="CW77" i="2"/>
  <c r="CW72" i="2"/>
  <c r="CW68" i="2"/>
  <c r="CW60" i="2"/>
  <c r="CW51" i="2"/>
  <c r="CW44" i="2"/>
  <c r="CW41" i="2"/>
  <c r="CW35" i="2"/>
  <c r="CW32" i="2"/>
  <c r="CW31" i="2"/>
  <c r="F22" i="1" l="1"/>
  <c r="F21" i="1"/>
  <c r="F23" i="1" s="1"/>
  <c r="G23" i="1" s="1"/>
  <c r="F20" i="1"/>
  <c r="F19" i="1"/>
  <c r="F18" i="1"/>
  <c r="F17" i="1"/>
  <c r="CQ14" i="3"/>
  <c r="CQ77" i="3" s="1"/>
  <c r="CP77" i="3"/>
  <c r="CL14" i="3"/>
  <c r="CL77" i="3" s="1"/>
  <c r="CJ77" i="3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CW14" i="2"/>
  <c r="CW79" i="2" s="1"/>
  <c r="CV79" i="2"/>
  <c r="CR14" i="2"/>
  <c r="CR79" i="2" s="1"/>
  <c r="CP79" i="2"/>
  <c r="D3" i="2"/>
  <c r="B6" i="1"/>
  <c r="H6" i="1" s="1"/>
  <c r="I3" i="3"/>
  <c r="CN13" i="2"/>
  <c r="G21" i="1" l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<sst xmlns="http://schemas.openxmlformats.org/spreadsheetml/2006/main" count="586" uniqueCount="174">
  <si>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</si>
  <si>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</si>
  <si>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</si>
  <si>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</si>
  <si>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</si>
  <si>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</si>
  <si>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</si>
  <si>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</si>
  <si>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</si>
  <si>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</si>
  <si>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</si>
  <si>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</si>
  <si>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</si>
  <si>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</si>
  <si>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</si>
  <si>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</si>
  <si>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</si>
  <si>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</si>
  <si>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</si>
  <si>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</si>
  <si>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</si>
  <si>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</si>
  <si>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</si>
  <si>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</si>
  <si>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</si>
  <si>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</si>
  <si>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</si>
  <si>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</si>
  <si>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</si>
  <si>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</si>
  <si>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</si>
  <si>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</si>
  <si>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</si>
  <si>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</si>
  <si>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</si>
  <si>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</si>
  <si>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</si>
  <si>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</si>
  <si>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</si>
  <si>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</si>
  <si>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</si>
  <si>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</si>
  <si>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</si>
  <si>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</si>
  <si>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</si>
  <si>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</si>
  <si>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</si>
  <si>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</si>
  <si>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</si>
  <si>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</si>
  <si>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</si>
  <si>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</si>
  <si>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</si>
  <si>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</si>
  <si>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</si>
  <si>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</si>
  <si>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</si>
  <si>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</si>
  <si>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</si>
  <si>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</si>
  <si>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</si>
  <si>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</si>
  <si>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</si>
  <si>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</si>
  <si>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</si>
  <si>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</si>
  <si>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</si>
  <si>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</si>
  <si>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</si>
  <si>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</si>
  <si>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</si>
  <si>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</si>
  <si>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</si>
  <si>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</si>
  <si>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</si>
  <si>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</si>
  <si>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</si>
  <si>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</si>
  <si>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</si>
  <si>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</si>
  <si>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</si>
  <si>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</si>
  <si>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</si>
  <si>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</si>
  <si>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</si>
  <si>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</si>
  <si>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</si>
  <si>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</si>
  <si>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</si>
  <si>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</si>
  <si>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</si>
  <si>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</si>
  <si>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</si>
  <si>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</si>
  <si>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</si>
  <si>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</si>
  <si>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</si>
  <si>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</si>
  <si>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</si>
  <si>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</si>
  <si>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</si>
  <si>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</si>
  <si>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</si>
  <si>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</si>
  <si>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</si>
  <si>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</si>
  <si>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</si>
  <si>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</si>
  <si>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</si>
  <si>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</si>
  <si>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</si>
  <si>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</si>
  <si>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13:18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</si>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</sst>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575</v>
      </c>
      <c r="C6" s="89"/>
      <c r="E6" s="88">
        <f>'Programa CAJAS REPORTE DIARIO'!CH77</f>
        <v>1454</v>
      </c>
      <c r="F6" s="89"/>
      <c r="H6" s="101">
        <f>B6+E6</f>
        <v>2029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93</v>
      </c>
      <c r="E22" s="72">
        <f>'Programa CAJAS REPORTE DIARIO'!AS77</f>
        <v>129</v>
      </c>
      <c r="F22" s="72">
        <f t="shared" si="0"/>
        <v>222</v>
      </c>
      <c r="G22" s="72">
        <f t="shared" si="1"/>
        <v>2029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575</v>
      </c>
      <c r="E23" s="75">
        <f>SUM(E11:E22)</f>
        <v>1454</v>
      </c>
      <c r="F23" s="75">
        <f>SUM(F11:F22)</f>
        <v>2029</v>
      </c>
      <c r="G23" s="75">
        <f>F23</f>
        <v>2029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575</v>
      </c>
      <c r="F3" s="79" t="s">
        <v>1</v>
      </c>
      <c r="I3" s="80">
        <f>'Programa CAJAS REPORTE DIARIO'!CH77+CN79</f>
        <v>2029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93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168</v>
      </c>
      <c r="CP27" s="27">
        <f t="shared" si="4"/>
        <v>168</v>
      </c>
      <c r="CQ27" s="22">
        <v>0</v>
      </c>
      <c r="CR27" s="22">
        <f t="shared" si="5"/>
        <v>168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93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575</v>
      </c>
      <c r="CP79" s="25">
        <f>+SUM(CP14:CP78)</f>
        <v>575</v>
      </c>
      <c r="CQ79" s="25">
        <f>+SUM(CQ14:CQ78)</f>
        <v>0</v>
      </c>
      <c r="CR79" s="25">
        <f>+SUM(CR14:CR78)</f>
        <v>575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4809.5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1454</v>
      </c>
      <c r="F3" s="79" t="s">
        <v>1</v>
      </c>
      <c r="I3" s="80">
        <f>'Programa CASETAS REPORTE DIARIO'!CN79+CH77</f>
        <v>2029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129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1454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19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351</v>
      </c>
      <c r="CJ27" s="27">
        <f t="shared" si="3"/>
        <v>351</v>
      </c>
      <c r="CK27" s="22">
        <v>0</v>
      </c>
      <c r="CL27" s="22">
        <f t="shared" si="4"/>
        <v>351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23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235</v>
      </c>
      <c r="CJ28" s="27">
        <f t="shared" si="3"/>
        <v>235</v>
      </c>
      <c r="CK28" s="22">
        <v>0</v>
      </c>
      <c r="CL28" s="22">
        <f t="shared" si="4"/>
        <v>235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-57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7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37</v>
      </c>
      <c r="CJ36" s="27">
        <f t="shared" si="3"/>
        <v>37</v>
      </c>
      <c r="CK36" s="22">
        <v>0</v>
      </c>
      <c r="CL36" s="22">
        <f t="shared" si="4"/>
        <v>37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10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70</v>
      </c>
      <c r="CJ43" s="27">
        <f t="shared" si="3"/>
        <v>70</v>
      </c>
      <c r="CK43" s="22">
        <v>0</v>
      </c>
      <c r="CL43" s="22">
        <f t="shared" si="4"/>
        <v>70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22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65</v>
      </c>
      <c r="CJ55" s="27">
        <f t="shared" si="11"/>
        <v>65</v>
      </c>
      <c r="CK55" s="22">
        <v>0</v>
      </c>
      <c r="CL55" s="22">
        <f t="shared" si="12"/>
        <v>65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-35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7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38</v>
      </c>
      <c r="CJ61" s="27">
        <f t="shared" si="11"/>
        <v>38</v>
      </c>
      <c r="CK61" s="22">
        <v>0</v>
      </c>
      <c r="CL61" s="22">
        <f t="shared" si="12"/>
        <v>38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129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1454</v>
      </c>
      <c r="CJ77" s="25">
        <f>+SUM(CJ14:CJ76)</f>
        <v>1454</v>
      </c>
      <c r="CK77" s="25">
        <f>+SUM(CK14:CK76)</f>
        <v>0</v>
      </c>
      <c r="CL77" s="25">
        <f>+SUM(CL14:CL76)</f>
        <v>1454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6714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2026-10-28T19:18:12Z</dcterms:modified>
</cp:coreProperties>
</file>