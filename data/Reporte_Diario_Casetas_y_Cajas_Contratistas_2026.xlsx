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3ACBB9F-C79F-47C0-913E-AC993AF2FFF3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CW51" i="2" l="1"/>
  <c r="CW38" i="2"/>
  <c r="CW55" i="2"/>
  <c r="CQ76" i="3"/>
  <c r="CW74" i="2"/>
  <c r="CQ24" i="3"/>
  <c r="CQ20" i="3"/>
  <c r="CQ17" i="3"/>
  <c r="CW58" i="2"/>
  <c r="CW54" i="2"/>
  <c r="E24" i="1"/>
  <c r="F24" i="1" s="1"/>
  <c r="AU13" i="3"/>
  <c r="E23" i="1"/>
  <c r="F23" i="1" s="1"/>
  <c r="AT13" i="3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AK13" i="3"/>
  <c r="E14" i="1"/>
  <c r="F14" i="1" s="1"/>
  <c r="AJ13" i="3"/>
  <c r="E13" i="1"/>
  <c r="F13" i="1" s="1"/>
  <c r="AI13" i="3"/>
  <c r="E12" i="1"/>
  <c r="E11" i="1"/>
  <c r="AH13" i="3"/>
  <c r="AC13" i="2"/>
  <c r="D12" i="1"/>
  <c r="F12" i="1" s="1"/>
  <c r="AB13" i="2"/>
  <c r="D11" i="1"/>
  <c r="CP14" i="2"/>
  <c r="CN79" i="2"/>
  <c r="CO77" i="3"/>
  <c r="CP14" i="3"/>
  <c r="CH77" i="3"/>
  <c r="CJ14" i="3"/>
  <c r="F11" i="1"/>
  <c r="D25" i="1"/>
  <c r="CN13" i="2"/>
  <c r="B6" i="1"/>
  <c r="CV30" i="2"/>
  <c r="CW30" i="2" s="1"/>
  <c r="CU79" i="2"/>
  <c r="CW14" i="2"/>
  <c r="CV79" i="2"/>
  <c r="CR14" i="2"/>
  <c r="CR79" i="2" s="1"/>
  <c r="CP79" i="2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3" i="3"/>
  <c r="CQ22" i="3"/>
  <c r="CQ21" i="3"/>
  <c r="CQ19" i="3"/>
  <c r="CQ18" i="3"/>
  <c r="CQ16" i="3"/>
  <c r="CQ15" i="3"/>
  <c r="CW76" i="2"/>
  <c r="CW75" i="2"/>
  <c r="CW73" i="2"/>
  <c r="CW72" i="2"/>
  <c r="CW71" i="2"/>
  <c r="CW70" i="2"/>
  <c r="CW68" i="2"/>
  <c r="CW67" i="2"/>
  <c r="CW66" i="2"/>
  <c r="CW64" i="2"/>
  <c r="CW63" i="2"/>
  <c r="CW61" i="2"/>
  <c r="CW59" i="2"/>
  <c r="CW57" i="2"/>
  <c r="CW53" i="2"/>
  <c r="CW52" i="2"/>
  <c r="CW50" i="2"/>
  <c r="CW49" i="2"/>
  <c r="CW48" i="2"/>
  <c r="CW46" i="2"/>
  <c r="CW44" i="2"/>
  <c r="CW43" i="2"/>
  <c r="CW41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W56" i="2"/>
  <c r="CW40" i="2"/>
  <c r="E25" i="1" l="1"/>
  <c r="CW79" i="2"/>
  <c r="D3" i="2"/>
  <c r="I3" i="3"/>
  <c r="CP77" i="3"/>
  <c r="CQ14" i="3"/>
  <c r="CQ77" i="3" s="1"/>
  <c r="E6" i="1"/>
  <c r="H6" i="1" s="1"/>
  <c r="I3" i="2"/>
  <c r="D3" i="3"/>
  <c r="CH1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<sst xmlns="http://schemas.openxmlformats.org/spreadsheetml/2006/main" count="592" uniqueCount="176">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</sst>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961</v>
      </c>
      <c r="C6" s="89"/>
      <c r="E6" s="88">
        <f>'Programa CAJAS REPORTE DIARIO'!CH77</f>
        <v>2677</v>
      </c>
      <c r="F6" s="89"/>
      <c r="H6" s="101">
        <f>B6+E6</f>
        <v>3638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53</v>
      </c>
      <c r="E24" s="72">
        <f>'Programa CAJAS REPORTE DIARIO'!AU77</f>
        <v>202</v>
      </c>
      <c r="F24" s="72">
        <f t="shared" si="0"/>
        <v>255</v>
      </c>
      <c r="G24" s="72">
        <f t="shared" si="1"/>
        <v>3638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961</v>
      </c>
      <c r="E25" s="75">
        <f>SUM(E11:E24)</f>
        <v>2677</v>
      </c>
      <c r="F25" s="75">
        <f>SUM(F11:F24)</f>
        <v>3638</v>
      </c>
      <c r="G25" s="75">
        <f>F25</f>
        <v>3638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961</v>
      </c>
      <c r="F3" s="79" t="s">
        <v>1</v>
      </c>
      <c r="I3" s="80">
        <f>'Programa CAJAS REPORTE DIARIO'!CH77+CN79</f>
        <v>3638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53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961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7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207</v>
      </c>
      <c r="CP27" s="27">
        <f t="shared" si="4"/>
        <v>207</v>
      </c>
      <c r="CQ27" s="22">
        <v>0</v>
      </c>
      <c r="CR27" s="22">
        <f t="shared" si="5"/>
        <v>207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7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140</v>
      </c>
      <c r="CP42" s="27">
        <f t="shared" si="4"/>
        <v>140</v>
      </c>
      <c r="CQ42" s="22">
        <v>0</v>
      </c>
      <c r="CR42" s="22">
        <f t="shared" si="5"/>
        <v>140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-140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87</v>
      </c>
      <c r="CP56" s="27">
        <f t="shared" si="11"/>
        <v>87</v>
      </c>
      <c r="CQ56" s="22">
        <v>0</v>
      </c>
      <c r="CR56" s="22">
        <f t="shared" si="12"/>
        <v>87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53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961</v>
      </c>
      <c r="CP79" s="25">
        <f>+SUM(CP14:CP78)</f>
        <v>961</v>
      </c>
      <c r="CQ79" s="25">
        <f>+SUM(CQ14:CQ78)</f>
        <v>0</v>
      </c>
      <c r="CR79" s="25">
        <f>+SUM(CR14:CR78)</f>
        <v>961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6305.5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2677</v>
      </c>
      <c r="F3" s="79" t="s">
        <v>1</v>
      </c>
      <c r="I3" s="80">
        <f>'Programa CASETAS REPORTE DIARIO'!CN79+CH77</f>
        <v>3638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202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2677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455</v>
      </c>
      <c r="CJ27" s="27">
        <f t="shared" si="3"/>
        <v>455</v>
      </c>
      <c r="CK27" s="22">
        <v>0</v>
      </c>
      <c r="CL27" s="22">
        <f t="shared" si="4"/>
        <v>455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331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10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337</v>
      </c>
      <c r="CJ28" s="27">
        <f t="shared" si="3"/>
        <v>337</v>
      </c>
      <c r="CK28" s="22">
        <v>0</v>
      </c>
      <c r="CL28" s="22">
        <f t="shared" si="4"/>
        <v>337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-157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11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116</v>
      </c>
      <c r="CJ29" s="27">
        <f t="shared" si="3"/>
        <v>116</v>
      </c>
      <c r="CK29" s="22">
        <v>0</v>
      </c>
      <c r="CL29" s="22">
        <f t="shared" si="4"/>
        <v>116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2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52</v>
      </c>
      <c r="CJ36" s="27">
        <f t="shared" si="3"/>
        <v>52</v>
      </c>
      <c r="CK36" s="22">
        <v>0</v>
      </c>
      <c r="CL36" s="22">
        <f t="shared" si="4"/>
        <v>52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52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138</v>
      </c>
      <c r="CJ37" s="27">
        <f t="shared" si="3"/>
        <v>138</v>
      </c>
      <c r="CK37" s="22">
        <v>0</v>
      </c>
      <c r="CL37" s="22">
        <f t="shared" si="4"/>
        <v>138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29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205</v>
      </c>
      <c r="CJ43" s="27">
        <f t="shared" si="3"/>
        <v>205</v>
      </c>
      <c r="CK43" s="22">
        <v>0</v>
      </c>
      <c r="CL43" s="22">
        <f t="shared" si="4"/>
        <v>205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332</v>
      </c>
      <c r="CJ46" s="27">
        <f t="shared" ref="CJ46:CJ76" si="11">CH46</f>
        <v>332</v>
      </c>
      <c r="CK46" s="22">
        <v>0</v>
      </c>
      <c r="CL46" s="22">
        <f t="shared" ref="CL46:CL77" si="12">CJ46+CK46</f>
        <v>332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50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223</v>
      </c>
      <c r="CJ53" s="27">
        <f t="shared" si="11"/>
        <v>223</v>
      </c>
      <c r="CK53" s="22">
        <v>0</v>
      </c>
      <c r="CL53" s="22">
        <f t="shared" si="12"/>
        <v>223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-155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88</v>
      </c>
      <c r="CJ55" s="27">
        <f t="shared" si="11"/>
        <v>88</v>
      </c>
      <c r="CK55" s="22">
        <v>0</v>
      </c>
      <c r="CL55" s="22">
        <f t="shared" si="12"/>
        <v>88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202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2677</v>
      </c>
      <c r="CJ77" s="25">
        <f>+SUM(CJ14:CJ76)</f>
        <v>2677</v>
      </c>
      <c r="CK77" s="25">
        <f>+SUM(CK14:CK76)</f>
        <v>0</v>
      </c>
      <c r="CL77" s="25">
        <f>+SUM(CL14:CL76)</f>
        <v>2677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8717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2026-10-30T18:01:44Z</dcterms:modified>
</cp:coreProperties>
</file>