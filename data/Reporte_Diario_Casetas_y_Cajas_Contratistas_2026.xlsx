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3A530FD-F96D-416D-BBE2-0E092FDFBC3F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DC59" i="3"/>
  <c r="CO59" i="3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3" i="2" l="1"/>
  <c r="CW49" i="2"/>
  <c r="CW21" i="2"/>
  <c r="CQ28" i="3"/>
  <c r="CW16" i="2"/>
  <c r="CW18" i="2"/>
  <c r="CW57" i="2"/>
  <c r="CW32" i="2"/>
  <c r="CQ61" i="3"/>
  <c r="CW71" i="2"/>
  <c r="CW26" i="2"/>
  <c r="CW17" i="2"/>
  <c r="CQ76" i="3"/>
  <c r="CQ72" i="3"/>
  <c r="CQ70" i="3"/>
  <c r="CQ66" i="3"/>
  <c r="CQ65" i="3"/>
  <c r="CQ64" i="3"/>
  <c r="CQ56" i="3"/>
  <c r="CQ55" i="3"/>
  <c r="CW33" i="2"/>
  <c r="CQ33" i="3"/>
  <c r="CW68" i="2"/>
  <c r="CW23" i="2"/>
  <c r="CW40" i="2"/>
  <c r="CW37" i="2"/>
  <c r="CW36" i="2"/>
  <c r="CW34" i="2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E12" i="1"/>
  <c r="F12" i="1" s="1"/>
  <c r="AI13" i="3"/>
  <c r="E11" i="1"/>
  <c r="AH13" i="3"/>
  <c r="CJ60" i="3"/>
  <c r="CH77" i="3"/>
  <c r="CP19" i="3"/>
  <c r="CQ19" i="3" s="1"/>
  <c r="CO77" i="3"/>
  <c r="CQ14" i="3"/>
  <c r="CP77" i="3"/>
  <c r="CL14" i="3"/>
  <c r="CJ77" i="3"/>
  <c r="F11" i="1"/>
  <c r="D21" i="1"/>
  <c r="CV14" i="2"/>
  <c r="CU79" i="2"/>
  <c r="CN79" i="2"/>
  <c r="CP14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W70" i="2"/>
  <c r="CW67" i="2"/>
  <c r="CW66" i="2"/>
  <c r="CW64" i="2"/>
  <c r="CW52" i="2"/>
  <c r="CW46" i="2"/>
  <c r="CW44" i="2"/>
  <c r="CW41" i="2"/>
  <c r="CW28" i="2"/>
  <c r="CW24" i="2"/>
  <c r="CQ75" i="3"/>
  <c r="CQ67" i="3"/>
  <c r="CQ58" i="3"/>
  <c r="CQ54" i="3"/>
  <c r="CQ73" i="3"/>
  <c r="CQ69" i="3"/>
  <c r="CQ57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4" i="2"/>
  <c r="CW73" i="2"/>
  <c r="CW72" i="2"/>
  <c r="CW62" i="2"/>
  <c r="CW61" i="2"/>
  <c r="CW58" i="2"/>
  <c r="CW56" i="2"/>
  <c r="CW55" i="2"/>
  <c r="CW54" i="2"/>
  <c r="CW51" i="2"/>
  <c r="CW50" i="2"/>
  <c r="CW48" i="2"/>
  <c r="CW47" i="2"/>
  <c r="CW42" i="2"/>
  <c r="CW39" i="2"/>
  <c r="CW38" i="2"/>
  <c r="CW35" i="2"/>
  <c r="CW31" i="2"/>
  <c r="CW29" i="2"/>
  <c r="CW27" i="2"/>
  <c r="CW25" i="2"/>
  <c r="CW22" i="2"/>
  <c r="CW20" i="2"/>
  <c r="CW19" i="2"/>
  <c r="CW15" i="2"/>
  <c r="CQ74" i="3"/>
  <c r="CQ71" i="3"/>
  <c r="CQ68" i="3"/>
  <c r="CQ63" i="3"/>
  <c r="CQ62" i="3"/>
  <c r="CQ59" i="3"/>
  <c r="E21" i="1" l="1"/>
  <c r="CQ60" i="3"/>
  <c r="CQ77" i="3" s="1"/>
  <c r="CL60" i="3"/>
  <c r="CL77" i="3" s="1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CN13" i="2"/>
  <c r="D3" i="2"/>
  <c r="B6" i="1"/>
  <c r="I3" i="3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<sst xmlns="http://schemas.openxmlformats.org/spreadsheetml/2006/main" count="580" uniqueCount="171">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</sst>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475</v>
      </c>
      <c r="C6" s="89"/>
      <c r="E6" s="88">
        <f>'Programa CAJAS REPORTE DIARIO'!CH77</f>
        <v>1325</v>
      </c>
      <c r="F6" s="89"/>
      <c r="H6" s="101">
        <f>B6+E6</f>
        <v>1800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475</v>
      </c>
      <c r="F3" s="79" t="s">
        <v>1</v>
      </c>
      <c r="I3" s="80">
        <f>'Programa CAJAS REPORTE DIARIO'!CH77+CN79</f>
        <v>1800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475</v>
      </c>
      <c r="CP79" s="25">
        <f>+SUM(CP14:CP78)</f>
        <v>475</v>
      </c>
      <c r="CQ79" s="25">
        <f>+SUM(CQ14:CQ78)</f>
        <v>0</v>
      </c>
      <c r="CR79" s="25">
        <f>+SUM(CR14:CR78)</f>
        <v>475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2026-10-28T03:27:12Z</dcterms:modified>
</cp:coreProperties>
</file>