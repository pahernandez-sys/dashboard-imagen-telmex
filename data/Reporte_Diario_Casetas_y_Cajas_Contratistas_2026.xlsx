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8DF9609-E52B-464D-B562-FF4465A18137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E24" i="1"/>
  <c r="D24" i="1"/>
  <c r="F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25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F23" i="1" s="1"/>
  <c r="AM79" i="2"/>
  <c r="D22" i="1" s="1"/>
  <c r="AL79" i="2"/>
  <c r="D21" i="1" s="1"/>
  <c r="F21" i="1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CQ20" i="3" l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Q75" i="3"/>
  <c r="CQ74" i="3"/>
  <c r="CQ62" i="3"/>
  <c r="CQ56" i="3"/>
  <c r="CQ55" i="3"/>
  <c r="CQ54" i="3"/>
  <c r="CQ53" i="3"/>
  <c r="CQ51" i="3"/>
  <c r="CQ49" i="3"/>
  <c r="CQ48" i="3"/>
  <c r="CQ47" i="3"/>
  <c r="F22" i="1"/>
  <c r="CQ33" i="3"/>
  <c r="CW44" i="2"/>
  <c r="CW15" i="2"/>
  <c r="CW57" i="2"/>
  <c r="CW54" i="2"/>
  <c r="CW39" i="2"/>
  <c r="CW23" i="2"/>
  <c r="CQ18" i="3"/>
  <c r="CL18" i="3"/>
  <c r="CO77" i="3"/>
  <c r="CP14" i="3"/>
  <c r="CJ14" i="3"/>
  <c r="CH77" i="3"/>
  <c r="D25" i="1"/>
  <c r="F11" i="1"/>
  <c r="CP31" i="2"/>
  <c r="CN79" i="2"/>
  <c r="CV30" i="2"/>
  <c r="CW30" i="2" s="1"/>
  <c r="CU79" i="2"/>
  <c r="CW14" i="2"/>
  <c r="CV79" i="2"/>
  <c r="CR14" i="2"/>
  <c r="CP79" i="2"/>
  <c r="CQ76" i="3"/>
  <c r="CQ72" i="3"/>
  <c r="CQ71" i="3"/>
  <c r="CQ70" i="3"/>
  <c r="CQ69" i="3"/>
  <c r="CQ68" i="3"/>
  <c r="CQ67" i="3"/>
  <c r="CQ66" i="3"/>
  <c r="CQ65" i="3"/>
  <c r="CQ64" i="3"/>
  <c r="CQ60" i="3"/>
  <c r="CQ58" i="3"/>
  <c r="CQ59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1" i="3"/>
  <c r="CQ30" i="3"/>
  <c r="CQ29" i="3"/>
  <c r="CQ28" i="3"/>
  <c r="CQ27" i="3"/>
  <c r="CQ26" i="3"/>
  <c r="CQ25" i="3"/>
  <c r="CQ24" i="3"/>
  <c r="CQ23" i="3"/>
  <c r="CQ22" i="3"/>
  <c r="CQ21" i="3"/>
  <c r="CQ17" i="3"/>
  <c r="CQ16" i="3"/>
  <c r="CQ15" i="3"/>
  <c r="CW59" i="2"/>
  <c r="CW58" i="2"/>
  <c r="CW56" i="2"/>
  <c r="CW55" i="2"/>
  <c r="CW53" i="2"/>
  <c r="CW52" i="2"/>
  <c r="CW51" i="2"/>
  <c r="CW50" i="2"/>
  <c r="CW47" i="2"/>
  <c r="CW46" i="2"/>
  <c r="CW45" i="2"/>
  <c r="CW42" i="2"/>
  <c r="CW41" i="2"/>
  <c r="CW40" i="2"/>
  <c r="CW38" i="2"/>
  <c r="CW37" i="2"/>
  <c r="CQ32" i="3"/>
  <c r="CQ19" i="3"/>
  <c r="CW77" i="2"/>
  <c r="CW76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1" i="2"/>
  <c r="CW60" i="2"/>
  <c r="CW78" i="2"/>
  <c r="CW75" i="2"/>
  <c r="CW62" i="2"/>
  <c r="CW49" i="2"/>
  <c r="CW36" i="2"/>
  <c r="CW35" i="2"/>
  <c r="CW34" i="2"/>
  <c r="CW33" i="2"/>
  <c r="CW32" i="2"/>
  <c r="CW29" i="2"/>
  <c r="CW28" i="2"/>
  <c r="CW27" i="2"/>
  <c r="CW26" i="2"/>
  <c r="CW25" i="2"/>
  <c r="CW24" i="2"/>
  <c r="CW18" i="2"/>
  <c r="CW17" i="2"/>
  <c r="CW16" i="2"/>
  <c r="CQ73" i="3"/>
  <c r="CQ63" i="3"/>
  <c r="CQ57" i="3"/>
  <c r="CQ52" i="3"/>
  <c r="CW22" i="2"/>
  <c r="CW21" i="2"/>
  <c r="CW20" i="2"/>
  <c r="CW19" i="2"/>
  <c r="CQ61" i="3"/>
  <c r="CQ50" i="3"/>
  <c r="CQ14" i="3" l="1"/>
  <c r="CQ77" i="3" s="1"/>
  <c r="CP77" i="3"/>
  <c r="CJ77" i="3"/>
  <c r="CL14" i="3"/>
  <c r="CL77" i="3" s="1"/>
  <c r="D3" i="3"/>
  <c r="CH13" i="3"/>
  <c r="I3" i="2"/>
  <c r="E6" i="1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CW31" i="2"/>
  <c r="CR31" i="2"/>
  <c r="CR79" i="2" s="1"/>
  <c r="D3" i="2"/>
  <c r="CN13" i="2"/>
  <c r="B6" i="1"/>
  <c r="I3" i="3"/>
  <c r="CW79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<sst xmlns="http://schemas.openxmlformats.org/spreadsheetml/2006/main" count="592" uniqueCount="176">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</sst>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972</v>
      </c>
      <c r="C6" s="89"/>
      <c r="E6" s="88">
        <f>'Programa CAJAS REPORTE DIARIO'!CH77</f>
        <v>2696</v>
      </c>
      <c r="F6" s="89"/>
      <c r="H6" s="101">
        <f>B6+E6</f>
        <v>3668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64</v>
      </c>
      <c r="E24" s="72">
        <f>'Programa CAJAS REPORTE DIARIO'!AU77</f>
        <v>221</v>
      </c>
      <c r="F24" s="72">
        <f t="shared" si="0"/>
        <v>285</v>
      </c>
      <c r="G24" s="72">
        <f t="shared" si="1"/>
        <v>3668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972</v>
      </c>
      <c r="E25" s="75">
        <f>SUM(E11:E24)</f>
        <v>2696</v>
      </c>
      <c r="F25" s="75">
        <f>SUM(F11:F24)</f>
        <v>3668</v>
      </c>
      <c r="G25" s="75">
        <f>F25</f>
        <v>3668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972</v>
      </c>
      <c r="F3" s="79" t="s">
        <v>1</v>
      </c>
      <c r="I3" s="80">
        <f>'Programa CAJAS REPORTE DIARIO'!CH77+CN79</f>
        <v>3668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64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972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8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208</v>
      </c>
      <c r="CP27" s="27">
        <f t="shared" si="4"/>
        <v>208</v>
      </c>
      <c r="CQ27" s="22">
        <v>0</v>
      </c>
      <c r="CR27" s="22">
        <f t="shared" si="5"/>
        <v>208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12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145</v>
      </c>
      <c r="CP42" s="27">
        <f t="shared" si="4"/>
        <v>145</v>
      </c>
      <c r="CQ42" s="22">
        <v>0</v>
      </c>
      <c r="CR42" s="22">
        <f t="shared" si="5"/>
        <v>145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-145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92</v>
      </c>
      <c r="CP56" s="27">
        <f t="shared" si="11"/>
        <v>92</v>
      </c>
      <c r="CQ56" s="22">
        <v>0</v>
      </c>
      <c r="CR56" s="22">
        <f t="shared" si="12"/>
        <v>92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64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972</v>
      </c>
      <c r="CP79" s="25">
        <f>+SUM(CP14:CP78)</f>
        <v>972</v>
      </c>
      <c r="CQ79" s="25">
        <f>+SUM(CQ14:CQ78)</f>
        <v>0</v>
      </c>
      <c r="CR79" s="25">
        <f>+SUM(CR14:CR78)</f>
        <v>972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6294.5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2696</v>
      </c>
      <c r="F3" s="79" t="s">
        <v>1</v>
      </c>
      <c r="I3" s="80">
        <f>'Programa CASETAS REPORTE DIARIO'!CN79+CH77</f>
        <v>3668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221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2696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19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456</v>
      </c>
      <c r="CJ27" s="27">
        <f t="shared" si="3"/>
        <v>456</v>
      </c>
      <c r="CK27" s="22">
        <v>0</v>
      </c>
      <c r="CL27" s="22">
        <f t="shared" si="4"/>
        <v>456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330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11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338</v>
      </c>
      <c r="CJ28" s="27">
        <f t="shared" si="3"/>
        <v>338</v>
      </c>
      <c r="CK28" s="22">
        <v>0</v>
      </c>
      <c r="CL28" s="22">
        <f t="shared" si="4"/>
        <v>338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-158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13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118</v>
      </c>
      <c r="CJ29" s="27">
        <f t="shared" si="3"/>
        <v>118</v>
      </c>
      <c r="CK29" s="22">
        <v>0</v>
      </c>
      <c r="CL29" s="22">
        <f t="shared" si="4"/>
        <v>118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2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52</v>
      </c>
      <c r="CJ36" s="27">
        <f t="shared" si="3"/>
        <v>52</v>
      </c>
      <c r="CK36" s="22">
        <v>0</v>
      </c>
      <c r="CL36" s="22">
        <f t="shared" si="4"/>
        <v>52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139</v>
      </c>
      <c r="CJ37" s="27">
        <f t="shared" si="3"/>
        <v>139</v>
      </c>
      <c r="CK37" s="22">
        <v>0</v>
      </c>
      <c r="CL37" s="22">
        <f t="shared" si="4"/>
        <v>139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33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209</v>
      </c>
      <c r="CJ43" s="27">
        <f t="shared" si="3"/>
        <v>209</v>
      </c>
      <c r="CK43" s="22">
        <v>0</v>
      </c>
      <c r="CL43" s="22">
        <f t="shared" si="4"/>
        <v>209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-189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333</v>
      </c>
      <c r="CJ46" s="27">
        <f t="shared" ref="CJ46:CJ76" si="11">CH46</f>
        <v>333</v>
      </c>
      <c r="CK46" s="22">
        <v>0</v>
      </c>
      <c r="CL46" s="22">
        <f t="shared" ref="CL46:CL77" si="12">CJ46+CK46</f>
        <v>333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57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230</v>
      </c>
      <c r="CJ53" s="27">
        <f t="shared" si="11"/>
        <v>230</v>
      </c>
      <c r="CK53" s="22">
        <v>0</v>
      </c>
      <c r="CL53" s="22">
        <f t="shared" si="12"/>
        <v>230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-162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7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90</v>
      </c>
      <c r="CJ55" s="27">
        <f t="shared" si="11"/>
        <v>90</v>
      </c>
      <c r="CK55" s="22">
        <v>0</v>
      </c>
      <c r="CL55" s="22">
        <f t="shared" si="12"/>
        <v>90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221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2696</v>
      </c>
      <c r="CJ77" s="25">
        <f>+SUM(CJ14:CJ76)</f>
        <v>2696</v>
      </c>
      <c r="CK77" s="25">
        <f>+SUM(CK14:CK76)</f>
        <v>0</v>
      </c>
      <c r="CL77" s="25">
        <f>+SUM(CL14:CL76)</f>
        <v>2696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8698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2026-10-30T18:15:32Z</dcterms:modified>
</cp:coreProperties>
</file>