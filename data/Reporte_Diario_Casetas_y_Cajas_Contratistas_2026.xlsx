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DE329C1-9B3B-4939-AA77-F643D19C124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W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52" i="2" l="1"/>
  <c r="CW15" i="2"/>
  <c r="CW47" i="2"/>
  <c r="CW43" i="2"/>
  <c r="CW38" i="2"/>
  <c r="CW30" i="2"/>
  <c r="CW25" i="2"/>
  <c r="CW23" i="2"/>
  <c r="CW19" i="2"/>
  <c r="CW18" i="2"/>
  <c r="CW22" i="2"/>
  <c r="CQ42" i="3"/>
  <c r="CW29" i="2"/>
  <c r="AS13" i="3"/>
  <c r="E22" i="1"/>
  <c r="F22" i="1" s="1"/>
  <c r="E21" i="1"/>
  <c r="F21" i="1" s="1"/>
  <c r="AR13" i="3"/>
  <c r="AQ13" i="3"/>
  <c r="E20" i="1"/>
  <c r="F20" i="1" s="1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H77" i="3"/>
  <c r="CJ32" i="3"/>
  <c r="CO77" i="3"/>
  <c r="CP14" i="3"/>
  <c r="CJ77" i="3"/>
  <c r="CL14" i="3"/>
  <c r="D23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1" i="3"/>
  <c r="CW32" i="2"/>
  <c r="CW28" i="2"/>
  <c r="CW27" i="2"/>
  <c r="CW26" i="2"/>
  <c r="CW24" i="2"/>
  <c r="CW21" i="2"/>
  <c r="CW20" i="2"/>
  <c r="CW17" i="2"/>
  <c r="CW16" i="2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1" i="2"/>
  <c r="CW50" i="2"/>
  <c r="CW49" i="2"/>
  <c r="CW48" i="2"/>
  <c r="CW46" i="2"/>
  <c r="CW44" i="2"/>
  <c r="CW42" i="2"/>
  <c r="CW40" i="2"/>
  <c r="CW39" i="2"/>
  <c r="CW37" i="2"/>
  <c r="CW34" i="2"/>
  <c r="CW33" i="2"/>
  <c r="CW31" i="2"/>
  <c r="CW45" i="2"/>
  <c r="CW36" i="2"/>
  <c r="CW35" i="2"/>
  <c r="I3" i="2" l="1"/>
  <c r="E6" i="1"/>
  <c r="D3" i="3"/>
  <c r="CH13" i="3"/>
  <c r="CQ32" i="3"/>
  <c r="CL32" i="3"/>
  <c r="CL77" i="3" s="1"/>
  <c r="CQ14" i="3"/>
  <c r="CQ77" i="3" s="1"/>
  <c r="CP77" i="3"/>
  <c r="CV79" i="2"/>
  <c r="CW14" i="2"/>
  <c r="CW79" i="2" s="1"/>
  <c r="CP79" i="2"/>
  <c r="CR14" i="2"/>
  <c r="CR79" i="2" s="1"/>
  <c r="B6" i="1"/>
  <c r="I3" i="3"/>
  <c r="D3" i="2"/>
  <c r="CN13" i="2"/>
  <c r="E23" i="1"/>
  <c r="F11" i="1"/>
  <c r="H6" i="1" l="1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<sst xmlns="http://schemas.openxmlformats.org/spreadsheetml/2006/main" count="586" uniqueCount="174">
  <si>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</si>
  <si>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</si>
  <si>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</si>
  <si>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</si>
  <si>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</si>
  <si>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</si>
  <si>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</si>
  <si>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</si>
  <si>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</si>
  <si>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</si>
  <si>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</si>
  <si>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</si>
  <si>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</si>
  <si>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</si>
  <si>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</si>
  <si>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</si>
  <si>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</si>
  <si>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</si>
  <si>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</si>
  <si>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</si>
  <si>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</si>
  <si>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</si>
  <si>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</si>
  <si>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</si>
  <si>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</si>
  <si>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</si>
  <si>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</si>
  <si>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</si>
  <si>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</si>
  <si>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</si>
  <si>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</si>
  <si>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</si>
  <si>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</si>
  <si>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</si>
  <si>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</si>
  <si>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</si>
  <si>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</si>
  <si>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</si>
  <si>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</si>
  <si>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</si>
  <si>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</si>
  <si>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</si>
  <si>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</si>
  <si>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</si>
  <si>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</si>
  <si>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</si>
  <si>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</si>
  <si>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</si>
  <si>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</si>
  <si>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</si>
  <si>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</si>
  <si>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</si>
  <si>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</si>
  <si>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</si>
  <si>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</si>
  <si>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</si>
  <si>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</si>
  <si>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</si>
  <si>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</si>
  <si>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</si>
  <si>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</si>
  <si>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</si>
  <si>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</si>
  <si>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</si>
  <si>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</si>
  <si>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</si>
  <si>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</si>
  <si>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</si>
  <si>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</si>
  <si>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</si>
  <si>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</si>
  <si>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</si>
  <si>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</si>
  <si>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</si>
  <si>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</si>
  <si>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</si>
  <si>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</si>
  <si>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</si>
  <si>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</si>
  <si>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</si>
  <si>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</si>
  <si>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</si>
  <si>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</si>
  <si>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</si>
  <si>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</si>
  <si>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</si>
  <si>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</si>
  <si>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</si>
  <si>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</si>
  <si>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</si>
  <si>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</si>
  <si>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</si>
  <si>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</si>
  <si>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</si>
  <si>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</si>
  <si>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</si>
  <si>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</si>
  <si>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</si>
  <si>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</si>
  <si>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</si>
  <si>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</si>
  <si>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</si>
  <si>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</si>
  <si>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</si>
  <si>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</si>
  <si>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</si>
  <si>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</si>
  <si>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</si>
  <si>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</si>
  <si>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</si>
  <si>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</si>
  <si>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</si>
  <si>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16:20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</si>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</sst>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622</v>
      </c>
      <c r="C6" s="89"/>
      <c r="E6" s="88">
        <f>'Programa CAJAS REPORTE DIARIO'!CH77</f>
        <v>1599</v>
      </c>
      <c r="F6" s="89"/>
      <c r="H6" s="101">
        <f>B6+E6</f>
        <v>2221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140</v>
      </c>
      <c r="E22" s="72">
        <f>'Programa CAJAS REPORTE DIARIO'!AS77</f>
        <v>274</v>
      </c>
      <c r="F22" s="72">
        <f t="shared" si="0"/>
        <v>414</v>
      </c>
      <c r="G22" s="72">
        <f t="shared" si="1"/>
        <v>2221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622</v>
      </c>
      <c r="E23" s="75">
        <f>SUM(E11:E22)</f>
        <v>1599</v>
      </c>
      <c r="F23" s="75">
        <f>SUM(F11:F22)</f>
        <v>2221</v>
      </c>
      <c r="G23" s="75">
        <f>F23</f>
        <v>2221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622</v>
      </c>
      <c r="F3" s="79" t="s">
        <v>1</v>
      </c>
      <c r="I3" s="80">
        <f>'Programa CAJAS REPORTE DIARIO'!CH77+CN79</f>
        <v>2221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622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30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180</v>
      </c>
      <c r="CP27" s="27">
        <f t="shared" si="4"/>
        <v>180</v>
      </c>
      <c r="CQ27" s="22">
        <v>0</v>
      </c>
      <c r="CR27" s="22">
        <f t="shared" si="5"/>
        <v>180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63</v>
      </c>
      <c r="CP42" s="27">
        <f t="shared" si="4"/>
        <v>63</v>
      </c>
      <c r="CQ42" s="22">
        <v>0</v>
      </c>
      <c r="CR42" s="22">
        <f t="shared" si="5"/>
        <v>63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622</v>
      </c>
      <c r="CP79" s="25">
        <f>+SUM(CP14:CP78)</f>
        <v>622</v>
      </c>
      <c r="CQ79" s="25">
        <f>+SUM(CQ14:CQ78)</f>
        <v>0</v>
      </c>
      <c r="CR79" s="25">
        <f>+SUM(CR14:CR78)</f>
        <v>622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6460.5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1599</v>
      </c>
      <c r="F3" s="79" t="s">
        <v>1</v>
      </c>
      <c r="I3" s="80">
        <f>'Programa CASETAS REPORTE DIARIO'!CN79+CH77</f>
        <v>2221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274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1599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31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363</v>
      </c>
      <c r="CJ27" s="27">
        <f t="shared" si="3"/>
        <v>363</v>
      </c>
      <c r="CK27" s="22">
        <v>0</v>
      </c>
      <c r="CL27" s="22">
        <f t="shared" si="4"/>
        <v>363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260</v>
      </c>
      <c r="CJ28" s="27">
        <f t="shared" si="3"/>
        <v>260</v>
      </c>
      <c r="CK28" s="22">
        <v>0</v>
      </c>
      <c r="CL28" s="22">
        <f t="shared" si="4"/>
        <v>260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14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44</v>
      </c>
      <c r="CJ36" s="27">
        <f t="shared" si="3"/>
        <v>44</v>
      </c>
      <c r="CK36" s="22">
        <v>0</v>
      </c>
      <c r="CL36" s="22">
        <f t="shared" si="4"/>
        <v>44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44</v>
      </c>
      <c r="CJ61" s="27">
        <f t="shared" si="11"/>
        <v>44</v>
      </c>
      <c r="CK61" s="22">
        <v>0</v>
      </c>
      <c r="CL61" s="22">
        <f t="shared" si="12"/>
        <v>44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274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1599</v>
      </c>
      <c r="CJ77" s="25">
        <f>+SUM(CJ14:CJ76)</f>
        <v>1599</v>
      </c>
      <c r="CK77" s="25">
        <f>+SUM(CK14:CK76)</f>
        <v>0</v>
      </c>
      <c r="CL77" s="25">
        <f>+SUM(CL14:CL76)</f>
        <v>1599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6908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2026-10-28T22:20:17Z</dcterms:modified>
</cp:coreProperties>
</file>