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68755B3-5798-4576-A126-58DEADAA63FA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Q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78" i="2" l="1"/>
  <c r="CQ25" i="3"/>
  <c r="CW77" i="2"/>
  <c r="CW65" i="2"/>
  <c r="CW64" i="2"/>
  <c r="CW67" i="2"/>
  <c r="CQ48" i="3"/>
  <c r="CQ33" i="3"/>
  <c r="CQ30" i="3"/>
  <c r="CW75" i="2"/>
  <c r="CW68" i="2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AK13" i="2"/>
  <c r="D20" i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4" i="3"/>
  <c r="CO77" i="3"/>
  <c r="CH77" i="3"/>
  <c r="CJ14" i="3"/>
  <c r="F11" i="1"/>
  <c r="D21" i="1"/>
  <c r="CN79" i="2"/>
  <c r="CP18" i="2"/>
  <c r="CP79" i="2" s="1"/>
  <c r="CV17" i="2"/>
  <c r="CU79" i="2"/>
  <c r="CW14" i="2"/>
  <c r="CR14" i="2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24" i="3"/>
  <c r="CW72" i="2"/>
  <c r="CW66" i="2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29" i="3"/>
  <c r="CQ28" i="3"/>
  <c r="CQ27" i="3"/>
  <c r="CQ26" i="3"/>
  <c r="CQ23" i="3"/>
  <c r="CQ21" i="3"/>
  <c r="CQ20" i="3"/>
  <c r="CQ19" i="3"/>
  <c r="CQ18" i="3"/>
  <c r="CQ17" i="3"/>
  <c r="CQ16" i="3"/>
  <c r="CQ15" i="3"/>
  <c r="CW70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69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76" i="3"/>
  <c r="CQ75" i="3"/>
  <c r="CQ74" i="3"/>
  <c r="CW76" i="2"/>
  <c r="CW74" i="2"/>
  <c r="E21" i="1" l="1"/>
  <c r="F20" i="1"/>
  <c r="F21" i="1" s="1"/>
  <c r="G21" i="1" s="1"/>
  <c r="CP77" i="3"/>
  <c r="CQ14" i="3"/>
  <c r="CQ77" i="3" s="1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I3" i="3"/>
  <c r="B6" i="1"/>
  <c r="D3" i="2"/>
  <c r="CN13" i="2"/>
  <c r="CW18" i="2"/>
  <c r="CR18" i="2"/>
  <c r="CR79" i="2" s="1"/>
  <c r="CW17" i="2"/>
  <c r="CW79" i="2" s="1"/>
  <c r="CV79" i="2"/>
  <c r="G20" i="1" l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<sst xmlns="http://schemas.openxmlformats.org/spreadsheetml/2006/main" count="580" uniqueCount="171">
  <si>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</si>
  <si>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</si>
  <si>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</si>
  <si>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</si>
  <si>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</si>
  <si>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</si>
  <si>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</si>
  <si>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</si>
  <si>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</si>
  <si>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</si>
  <si>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</si>
  <si>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</si>
  <si>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</si>
  <si>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</si>
  <si>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</si>
  <si>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</si>
  <si>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</si>
  <si>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</si>
  <si>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</si>
  <si>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</si>
  <si>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</si>
  <si>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</si>
  <si>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</si>
  <si>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</si>
  <si>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</si>
  <si>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</si>
  <si>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</si>
  <si>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</si>
  <si>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</si>
  <si>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</si>
  <si>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</si>
  <si>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</si>
  <si>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</si>
  <si>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</si>
  <si>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</si>
  <si>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</si>
  <si>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</si>
  <si>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</si>
  <si>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</si>
  <si>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</si>
  <si>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</si>
  <si>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</si>
  <si>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</si>
  <si>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</si>
  <si>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</si>
  <si>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</si>
  <si>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</si>
  <si>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</si>
  <si>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</si>
  <si>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</si>
  <si>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</si>
  <si>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</si>
  <si>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</si>
  <si>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</si>
  <si>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</si>
  <si>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</si>
  <si>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</si>
  <si>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</si>
  <si>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</si>
  <si>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</si>
  <si>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</si>
  <si>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</si>
  <si>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</si>
  <si>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</si>
  <si>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</si>
  <si>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</si>
  <si>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</si>
  <si>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</si>
  <si>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</si>
  <si>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</si>
  <si>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</si>
  <si>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</si>
  <si>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</si>
  <si>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</si>
  <si>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</si>
  <si>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</si>
  <si>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</si>
  <si>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</si>
  <si>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</si>
  <si>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</si>
  <si>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</si>
  <si>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</si>
  <si>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</si>
  <si>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</si>
  <si>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</si>
  <si>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</si>
  <si>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</si>
  <si>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</si>
  <si>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</si>
  <si>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</si>
  <si>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</si>
  <si>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</si>
  <si>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</si>
  <si>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</si>
  <si>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</si>
  <si>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</si>
  <si>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</si>
  <si>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</si>
  <si>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</si>
  <si>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</si>
  <si>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</si>
  <si>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</si>
  <si>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</si>
  <si>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</si>
  <si>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</si>
  <si>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</si>
  <si>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</si>
  <si>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</si>
  <si>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</si>
  <si>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</si>
  <si>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</si>
  <si>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</si>
  <si>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20:44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</si>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</sst>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469</v>
      </c>
      <c r="C6" s="89"/>
      <c r="E6" s="88">
        <f>'Programa CAJAS REPORTE DIARIO'!CH77</f>
        <v>1311</v>
      </c>
      <c r="F6" s="89"/>
      <c r="H6" s="101">
        <f>B6+E6</f>
        <v>1780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469</v>
      </c>
      <c r="F3" s="79" t="s">
        <v>1</v>
      </c>
      <c r="I3" s="80">
        <f>'Programa CAJAS REPORTE DIARIO'!CH77+CN79</f>
        <v>1780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125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4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65</v>
      </c>
      <c r="CP29" s="27">
        <f t="shared" si="4"/>
        <v>65</v>
      </c>
      <c r="CQ29" s="22">
        <v>0</v>
      </c>
      <c r="CR29" s="22">
        <f t="shared" si="5"/>
        <v>65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125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469</v>
      </c>
      <c r="CP79" s="25">
        <f>+SUM(CP14:CP78)</f>
        <v>469</v>
      </c>
      <c r="CQ79" s="25">
        <f>+SUM(CQ14:CQ78)</f>
        <v>0</v>
      </c>
      <c r="CR79" s="25">
        <f>+SUM(CR14:CR78)</f>
        <v>469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2663.5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1311</v>
      </c>
      <c r="F3" s="79" t="s">
        <v>1</v>
      </c>
      <c r="I3" s="80">
        <f>'Programa CASETAS REPORTE DIARIO'!CN79+CH77</f>
        <v>1780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452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1311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452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1311</v>
      </c>
      <c r="CJ77" s="25">
        <f>+SUM(CJ14:CJ76)</f>
        <v>1311</v>
      </c>
      <c r="CK77" s="25">
        <f>+SUM(CK14:CK76)</f>
        <v>0</v>
      </c>
      <c r="CL77" s="25">
        <f>+SUM(CL14:CL76)</f>
        <v>1311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5676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2026-10-28T02:44:56Z</dcterms:modified>
</cp:coreProperties>
</file>