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C5B07B0-AC45-4A0A-AAB9-11B5EFAF572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Q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2" i="3" l="1"/>
  <c r="CQ67" i="3"/>
  <c r="CQ18" i="3"/>
  <c r="CQ50" i="3"/>
  <c r="CQ35" i="3"/>
  <c r="CQ27" i="3"/>
  <c r="CQ25" i="3"/>
  <c r="CQ21" i="3"/>
  <c r="CW77" i="2"/>
  <c r="CW76" i="2"/>
  <c r="CW42" i="2"/>
  <c r="CW36" i="2"/>
  <c r="CW34" i="2"/>
  <c r="CW47" i="2"/>
  <c r="CW44" i="2"/>
  <c r="CW40" i="2"/>
  <c r="CW17" i="2"/>
  <c r="CR17" i="2"/>
  <c r="CP14" i="2"/>
  <c r="CN79" i="2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E11" i="1"/>
  <c r="AH13" i="3"/>
  <c r="CH77" i="3"/>
  <c r="I3" i="3" s="1"/>
  <c r="CJ33" i="3"/>
  <c r="CP19" i="3"/>
  <c r="CQ19" i="3" s="1"/>
  <c r="CO77" i="3"/>
  <c r="CQ14" i="3"/>
  <c r="CP77" i="3"/>
  <c r="CL14" i="3"/>
  <c r="CJ77" i="3"/>
  <c r="D23" i="1"/>
  <c r="B6" i="1"/>
  <c r="CN13" i="2"/>
  <c r="D3" i="2"/>
  <c r="CV30" i="2"/>
  <c r="CW30" i="2" s="1"/>
  <c r="CU79" i="2"/>
  <c r="CW14" i="2"/>
  <c r="CV79" i="2"/>
  <c r="CR14" i="2"/>
  <c r="CR79" i="2" s="1"/>
  <c r="CP79" i="2"/>
  <c r="CQ53" i="3"/>
  <c r="CQ47" i="3"/>
  <c r="CQ43" i="3"/>
  <c r="CQ15" i="3"/>
  <c r="CQ40" i="3"/>
  <c r="CQ39" i="3"/>
  <c r="CQ38" i="3"/>
  <c r="CQ37" i="3"/>
  <c r="CQ36" i="3"/>
  <c r="CQ34" i="3"/>
  <c r="CQ32" i="3"/>
  <c r="CQ31" i="3"/>
  <c r="CQ30" i="3"/>
  <c r="CQ22" i="3"/>
  <c r="CQ20" i="3"/>
  <c r="CQ17" i="3"/>
  <c r="CW75" i="2"/>
  <c r="CW74" i="2"/>
  <c r="CW73" i="2"/>
  <c r="CW78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5" i="2"/>
  <c r="CW43" i="2"/>
  <c r="CW41" i="2"/>
  <c r="CW39" i="2"/>
  <c r="CW38" i="2"/>
  <c r="CW37" i="2"/>
  <c r="CW35" i="2"/>
  <c r="CQ66" i="3"/>
  <c r="CQ65" i="3"/>
  <c r="CQ63" i="3"/>
  <c r="CQ62" i="3"/>
  <c r="CQ60" i="3"/>
  <c r="CQ45" i="3"/>
  <c r="CQ44" i="3"/>
  <c r="CQ29" i="3"/>
  <c r="CQ28" i="3"/>
  <c r="CQ26" i="3"/>
  <c r="CQ23" i="3"/>
  <c r="CW46" i="2"/>
  <c r="CQ48" i="3"/>
  <c r="CQ41" i="3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4" i="3"/>
  <c r="CQ61" i="3"/>
  <c r="CQ59" i="3"/>
  <c r="CQ58" i="3"/>
  <c r="CQ57" i="3"/>
  <c r="CQ56" i="3"/>
  <c r="CQ55" i="3"/>
  <c r="CQ54" i="3"/>
  <c r="CQ52" i="3"/>
  <c r="CQ51" i="3"/>
  <c r="CQ49" i="3"/>
  <c r="CQ46" i="3"/>
  <c r="CQ24" i="3"/>
  <c r="CQ16" i="3"/>
  <c r="D3" i="3" l="1"/>
  <c r="CH13" i="3"/>
  <c r="E6" i="1"/>
  <c r="H6" i="1" s="1"/>
  <c r="I3" i="2"/>
  <c r="CQ33" i="3"/>
  <c r="CQ77" i="3" s="1"/>
  <c r="CL33" i="3"/>
  <c r="CL77" i="3" s="1"/>
  <c r="CW79" i="2"/>
  <c r="E23" i="1"/>
  <c r="F11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<sst xmlns="http://schemas.openxmlformats.org/spreadsheetml/2006/main" count="586" uniqueCount="174">
  <si>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</si>
  <si>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</si>
  <si>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</si>
  <si>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</si>
  <si>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</si>
  <si>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</si>
  <si>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</si>
  <si>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</si>
  <si>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</si>
  <si>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</si>
  <si>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</si>
  <si>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</si>
  <si>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</si>
  <si>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</si>
  <si>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</si>
  <si>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</si>
  <si>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</si>
  <si>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</si>
  <si>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</si>
  <si>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</si>
  <si>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</si>
  <si>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</si>
  <si>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</si>
  <si>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</si>
  <si>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</si>
  <si>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</si>
  <si>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</si>
  <si>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</si>
  <si>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</si>
  <si>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</si>
  <si>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</si>
  <si>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</si>
  <si>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</si>
  <si>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</si>
  <si>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</si>
  <si>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</si>
  <si>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</si>
  <si>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</si>
  <si>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</si>
  <si>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</si>
  <si>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</si>
  <si>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</si>
  <si>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</si>
  <si>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</si>
  <si>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</si>
  <si>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</si>
  <si>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</si>
  <si>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</si>
  <si>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</si>
  <si>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</si>
  <si>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</si>
  <si>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</si>
  <si>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</si>
  <si>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</si>
  <si>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</si>
  <si>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</si>
  <si>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</si>
  <si>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</si>
  <si>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</si>
  <si>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</si>
  <si>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</si>
  <si>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</si>
  <si>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</si>
  <si>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</si>
  <si>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</si>
  <si>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</si>
  <si>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</si>
  <si>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</si>
  <si>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</si>
  <si>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</si>
  <si>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</si>
  <si>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</si>
  <si>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</si>
  <si>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</si>
  <si>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</si>
  <si>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</si>
  <si>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</si>
  <si>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</si>
  <si>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</si>
  <si>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</si>
  <si>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</si>
  <si>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</si>
  <si>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</si>
  <si>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</si>
  <si>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</si>
  <si>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</si>
  <si>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</si>
  <si>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</si>
  <si>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</si>
  <si>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</si>
  <si>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</si>
  <si>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</si>
  <si>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</si>
  <si>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</si>
  <si>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</si>
  <si>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</si>
  <si>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</si>
  <si>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</si>
  <si>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</si>
  <si>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</si>
  <si>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</si>
  <si>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</si>
  <si>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</si>
  <si>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</si>
  <si>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</si>
  <si>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</si>
  <si>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</si>
  <si>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</si>
  <si>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</si>
  <si>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</si>
  <si>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</si>
  <si>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</si>
  <si>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21:22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</si>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</sst>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1724</v>
      </c>
      <c r="F6" s="89"/>
      <c r="H6" s="101">
        <f>B6+E6</f>
        <v>2383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399</v>
      </c>
      <c r="F22" s="72">
        <f t="shared" si="0"/>
        <v>576</v>
      </c>
      <c r="G22" s="72">
        <f t="shared" si="1"/>
        <v>2383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1724</v>
      </c>
      <c r="F23" s="75">
        <f>SUM(F11:F22)</f>
        <v>2383</v>
      </c>
      <c r="G23" s="75">
        <f>F23</f>
        <v>2383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1724</v>
      </c>
      <c r="F3" s="79" t="s">
        <v>1</v>
      </c>
      <c r="I3" s="80">
        <f>'Programa CASETAS REPORTE DIARIO'!CN79+CH77</f>
        <v>2383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399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39</v>
      </c>
      <c r="CJ41" s="27">
        <f t="shared" si="3"/>
        <v>39</v>
      </c>
      <c r="CK41" s="22">
        <v>0</v>
      </c>
      <c r="CL41" s="22">
        <f t="shared" si="4"/>
        <v>39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399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1724</v>
      </c>
      <c r="CJ77" s="25">
        <f>+SUM(CJ14:CJ76)</f>
        <v>1724</v>
      </c>
      <c r="CK77" s="25">
        <f>+SUM(CK14:CK76)</f>
        <v>0</v>
      </c>
      <c r="CL77" s="25">
        <f>+SUM(CL14:CL76)</f>
        <v>1724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2026-10-29T03:22:54Z</dcterms:modified>
</cp:coreProperties>
</file>