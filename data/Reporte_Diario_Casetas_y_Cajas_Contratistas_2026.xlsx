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6E72F82-34B6-423D-B49D-4736EB3C58B2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Q13" i="3" s="1"/>
  <c r="BP77" i="3"/>
  <c r="BO77" i="3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L13" i="3" s="1"/>
  <c r="AK77" i="3"/>
  <c r="AK13" i="3" s="1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P13" i="3"/>
  <c r="BO13" i="3"/>
  <c r="E15" i="1"/>
  <c r="E14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CW62" i="2" l="1"/>
  <c r="CW56" i="2"/>
  <c r="CQ53" i="3"/>
  <c r="CW69" i="2"/>
  <c r="CW53" i="2"/>
  <c r="AR13" i="3"/>
  <c r="E21" i="1"/>
  <c r="F21" i="1" s="1"/>
  <c r="AQ13" i="3"/>
  <c r="E20" i="1"/>
  <c r="F20" i="1" s="1"/>
  <c r="AP13" i="3"/>
  <c r="E19" i="1"/>
  <c r="F19" i="1" s="1"/>
  <c r="AO13" i="3"/>
  <c r="E18" i="1"/>
  <c r="AN13" i="3"/>
  <c r="E17" i="1"/>
  <c r="AM13" i="3"/>
  <c r="E16" i="1"/>
  <c r="CQ48" i="3"/>
  <c r="CW77" i="2"/>
  <c r="CQ70" i="3"/>
  <c r="CQ69" i="3"/>
  <c r="CQ68" i="3"/>
  <c r="CQ67" i="3"/>
  <c r="CQ66" i="3"/>
  <c r="CQ63" i="3"/>
  <c r="CQ61" i="3"/>
  <c r="CQ52" i="3"/>
  <c r="CQ51" i="3"/>
  <c r="CQ49" i="3"/>
  <c r="CQ58" i="3"/>
  <c r="CQ57" i="3"/>
  <c r="CW57" i="2"/>
  <c r="CW51" i="2"/>
  <c r="CW17" i="2"/>
  <c r="AS13" i="3"/>
  <c r="E22" i="1"/>
  <c r="F22" i="1" s="1"/>
  <c r="AJ13" i="3"/>
  <c r="E13" i="1"/>
  <c r="AI13" i="3"/>
  <c r="E12" i="1"/>
  <c r="AH13" i="3"/>
  <c r="E11" i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AB13" i="2"/>
  <c r="D11" i="1"/>
  <c r="CP14" i="2"/>
  <c r="CN79" i="2"/>
  <c r="CO77" i="3"/>
  <c r="CP14" i="3"/>
  <c r="CH77" i="3"/>
  <c r="I3" i="3" s="1"/>
  <c r="CJ14" i="3"/>
  <c r="D23" i="1"/>
  <c r="F11" i="1"/>
  <c r="B6" i="1"/>
  <c r="CN13" i="2"/>
  <c r="D3" i="2"/>
  <c r="CU79" i="2"/>
  <c r="CV30" i="2"/>
  <c r="CW30" i="2" s="1"/>
  <c r="CW14" i="2"/>
  <c r="CV79" i="2"/>
  <c r="CR14" i="2"/>
  <c r="CR79" i="2" s="1"/>
  <c r="CP79" i="2"/>
  <c r="CQ59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5" i="2"/>
  <c r="CW72" i="2"/>
  <c r="CW71" i="2"/>
  <c r="CW66" i="2"/>
  <c r="CW60" i="2"/>
  <c r="CW59" i="2"/>
  <c r="CW58" i="2"/>
  <c r="CW54" i="2"/>
  <c r="CQ65" i="3"/>
  <c r="CQ64" i="3"/>
  <c r="CQ62" i="3"/>
  <c r="CQ60" i="3"/>
  <c r="CQ56" i="3"/>
  <c r="CQ55" i="3"/>
  <c r="CQ54" i="3"/>
  <c r="CQ50" i="3"/>
  <c r="CQ47" i="3"/>
  <c r="CW50" i="2"/>
  <c r="CW67" i="2"/>
  <c r="CW65" i="2"/>
  <c r="CW55" i="2"/>
  <c r="CW52" i="2"/>
  <c r="CQ71" i="3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E23" i="1" l="1"/>
  <c r="F12" i="1"/>
  <c r="CQ14" i="3"/>
  <c r="CQ77" i="3" s="1"/>
  <c r="CP77" i="3"/>
  <c r="I3" i="2"/>
  <c r="D3" i="3"/>
  <c r="CH13" i="3"/>
  <c r="E6" i="1"/>
  <c r="H6" i="1" s="1"/>
  <c r="CL14" i="3"/>
  <c r="CL77" i="3" s="1"/>
  <c r="CJ77" i="3"/>
  <c r="G11" i="1"/>
  <c r="F23" i="1"/>
  <c r="G23" i="1" s="1"/>
  <c r="CW79" i="2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<sst xmlns="http://schemas.openxmlformats.org/spreadsheetml/2006/main" count="586" uniqueCount="174">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</sst>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607</v>
      </c>
      <c r="C6" s="89"/>
      <c r="E6" s="88">
        <f>'Programa CAJAS REPORTE DIARIO'!CH77</f>
        <v>1526</v>
      </c>
      <c r="F6" s="89"/>
      <c r="H6" s="101">
        <f>B6+E6</f>
        <v>2133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125</v>
      </c>
      <c r="E22" s="72">
        <f>'Programa CAJAS REPORTE DIARIO'!AS77</f>
        <v>201</v>
      </c>
      <c r="F22" s="72">
        <f t="shared" si="0"/>
        <v>326</v>
      </c>
      <c r="G22" s="72">
        <f t="shared" si="1"/>
        <v>2133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607</v>
      </c>
      <c r="E23" s="75">
        <f>SUM(E11:E22)</f>
        <v>1526</v>
      </c>
      <c r="F23" s="75">
        <f>SUM(F11:F22)</f>
        <v>2133</v>
      </c>
      <c r="G23" s="75">
        <f>F23</f>
        <v>2133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607</v>
      </c>
      <c r="F3" s="79" t="s">
        <v>1</v>
      </c>
      <c r="I3" s="80">
        <f>'Programa CAJAS REPORTE DIARIO'!CH77+CN79</f>
        <v>2133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125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607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13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56</v>
      </c>
      <c r="CP42" s="27">
        <f t="shared" si="4"/>
        <v>56</v>
      </c>
      <c r="CQ42" s="22">
        <v>0</v>
      </c>
      <c r="CR42" s="22">
        <f t="shared" si="5"/>
        <v>56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125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607</v>
      </c>
      <c r="CP79" s="25">
        <f>+SUM(CP14:CP78)</f>
        <v>607</v>
      </c>
      <c r="CQ79" s="25">
        <f>+SUM(CQ14:CQ78)</f>
        <v>0</v>
      </c>
      <c r="CR79" s="25">
        <f>+SUM(CR14:CR78)</f>
        <v>607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1526</v>
      </c>
      <c r="F3" s="79" t="s">
        <v>1</v>
      </c>
      <c r="I3" s="80">
        <f>'Programa CASETAS REPORTE DIARIO'!CN79+CH77</f>
        <v>2133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201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1526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26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358</v>
      </c>
      <c r="CJ27" s="27">
        <f t="shared" si="3"/>
        <v>358</v>
      </c>
      <c r="CK27" s="22">
        <v>0</v>
      </c>
      <c r="CL27" s="22">
        <f t="shared" si="4"/>
        <v>358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252</v>
      </c>
      <c r="CJ28" s="27">
        <f t="shared" si="3"/>
        <v>252</v>
      </c>
      <c r="CK28" s="22">
        <v>0</v>
      </c>
      <c r="CL28" s="22">
        <f t="shared" si="4"/>
        <v>252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201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1526</v>
      </c>
      <c r="CJ77" s="25">
        <f>+SUM(CJ14:CJ76)</f>
        <v>1526</v>
      </c>
      <c r="CK77" s="25">
        <f>+SUM(CK14:CK76)</f>
        <v>0</v>
      </c>
      <c r="CL77" s="25">
        <f>+SUM(CL14:CL76)</f>
        <v>1526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6981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2026-10-28T21:06:48Z</dcterms:modified>
</cp:coreProperties>
</file>