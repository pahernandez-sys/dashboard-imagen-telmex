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A5AEDAF-EF08-4875-B2B2-08F983F6994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75" i="3" l="1"/>
  <c r="CQ49" i="3"/>
  <c r="CQ54" i="3"/>
  <c r="CQ60" i="3"/>
  <c r="CQ58" i="3"/>
  <c r="CQ57" i="3"/>
  <c r="CQ47" i="3"/>
  <c r="CQ46" i="3"/>
  <c r="CQ45" i="3"/>
  <c r="CQ40" i="3"/>
  <c r="CQ38" i="3"/>
  <c r="CQ16" i="3"/>
  <c r="CQ34" i="3"/>
  <c r="CQ29" i="3"/>
  <c r="CQ28" i="3"/>
  <c r="CQ22" i="3"/>
  <c r="CQ21" i="3"/>
  <c r="CQ20" i="3"/>
  <c r="CQ17" i="3"/>
  <c r="CW19" i="2"/>
  <c r="CW16" i="2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E24" i="1" s="1"/>
  <c r="AN13" i="2"/>
  <c r="D23" i="1"/>
  <c r="F23" i="1" s="1"/>
  <c r="AM13" i="2"/>
  <c r="D22" i="1"/>
  <c r="F22" i="1" s="1"/>
  <c r="AL13" i="2"/>
  <c r="D21" i="1"/>
  <c r="F21" i="1" s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O77" i="3"/>
  <c r="CP14" i="3"/>
  <c r="CJ14" i="3"/>
  <c r="CH77" i="3"/>
  <c r="CV30" i="2"/>
  <c r="CU79" i="2"/>
  <c r="CP30" i="2"/>
  <c r="CR30" i="2" s="1"/>
  <c r="CN79" i="2"/>
  <c r="CW14" i="2"/>
  <c r="CV79" i="2"/>
  <c r="CR14" i="2"/>
  <c r="CR79" i="2" s="1"/>
  <c r="CP79" i="2"/>
  <c r="CQ36" i="3"/>
  <c r="CQ26" i="3"/>
  <c r="CQ23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55" i="3"/>
  <c r="CQ53" i="3"/>
  <c r="CQ33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Q52" i="3"/>
  <c r="CQ50" i="3"/>
  <c r="CQ44" i="3"/>
  <c r="CQ41" i="3"/>
  <c r="CQ39" i="3"/>
  <c r="CQ35" i="3"/>
  <c r="CQ32" i="3"/>
  <c r="CQ30" i="3"/>
  <c r="CQ27" i="3"/>
  <c r="CQ25" i="3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Q76" i="3"/>
  <c r="CQ59" i="3"/>
  <c r="CQ56" i="3"/>
  <c r="CQ15" i="3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18" i="2"/>
  <c r="CW17" i="2"/>
  <c r="CW15" i="2"/>
  <c r="CQ51" i="3"/>
  <c r="CQ48" i="3"/>
  <c r="CQ43" i="3"/>
  <c r="CQ42" i="3"/>
  <c r="CQ37" i="3"/>
  <c r="CQ31" i="3"/>
  <c r="CQ24" i="3"/>
  <c r="CQ19" i="3"/>
  <c r="CQ18" i="3"/>
  <c r="CW26" i="2"/>
  <c r="CW25" i="2"/>
  <c r="CW24" i="2"/>
  <c r="CW23" i="2"/>
  <c r="CW22" i="2"/>
  <c r="CW21" i="2"/>
  <c r="CW20" i="2"/>
  <c r="F20" i="1" l="1"/>
  <c r="F19" i="1"/>
  <c r="F18" i="1"/>
  <c r="F17" i="1"/>
  <c r="F16" i="1"/>
  <c r="F15" i="1"/>
  <c r="F14" i="1"/>
  <c r="F13" i="1"/>
  <c r="F12" i="1"/>
  <c r="D24" i="1"/>
  <c r="F11" i="1"/>
  <c r="CQ14" i="3"/>
  <c r="CQ77" i="3" s="1"/>
  <c r="CP77" i="3"/>
  <c r="CJ77" i="3"/>
  <c r="CL14" i="3"/>
  <c r="CL77" i="3" s="1"/>
  <c r="I3" i="2"/>
  <c r="E6" i="1"/>
  <c r="D3" i="3"/>
  <c r="CH13" i="3"/>
  <c r="I3" i="3"/>
  <c r="CN13" i="2"/>
  <c r="B6" i="1"/>
  <c r="D3" i="2"/>
  <c r="CW30" i="2"/>
  <c r="CW79" i="2" s="1"/>
  <c r="F24" i="1" l="1"/>
  <c r="G24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<sst xmlns="http://schemas.openxmlformats.org/spreadsheetml/2006/main" count="589" uniqueCount="175">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</sst>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764</v>
      </c>
      <c r="C6" s="89"/>
      <c r="E6" s="88">
        <f>'Programa CAJAS REPORTE DIARIO'!CH77</f>
        <v>2061</v>
      </c>
      <c r="F6" s="89"/>
      <c r="H6" s="101">
        <f>B6+E6</f>
        <v>2825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105</v>
      </c>
      <c r="E23" s="70">
        <f>'Programa CAJAS REPORTE DIARIO'!AT77</f>
        <v>332</v>
      </c>
      <c r="F23" s="70">
        <f t="shared" si="0"/>
        <v>437</v>
      </c>
      <c r="G23" s="70">
        <f t="shared" si="1"/>
        <v>2825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764</v>
      </c>
      <c r="E24" s="75">
        <f>SUM(E11:E23)</f>
        <v>2061</v>
      </c>
      <c r="F24" s="75">
        <f>SUM(F11:F23)</f>
        <v>2825</v>
      </c>
      <c r="G24" s="75">
        <f>F24</f>
        <v>2825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764</v>
      </c>
      <c r="F3" s="79" t="s">
        <v>1</v>
      </c>
      <c r="I3" s="80">
        <f>'Programa CAJAS REPORTE DIARIO'!CH77+CN79</f>
        <v>2825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105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764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21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166</v>
      </c>
      <c r="CP28" s="27">
        <f t="shared" si="4"/>
        <v>166</v>
      </c>
      <c r="CQ28" s="22">
        <v>0</v>
      </c>
      <c r="CR28" s="22">
        <f t="shared" si="5"/>
        <v>166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25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111</v>
      </c>
      <c r="CP29" s="27">
        <f t="shared" si="4"/>
        <v>111</v>
      </c>
      <c r="CQ29" s="22">
        <v>0</v>
      </c>
      <c r="CR29" s="22">
        <f t="shared" si="5"/>
        <v>111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82</v>
      </c>
      <c r="CP42" s="27">
        <f t="shared" si="4"/>
        <v>82</v>
      </c>
      <c r="CQ42" s="22">
        <v>0</v>
      </c>
      <c r="CR42" s="22">
        <f t="shared" si="5"/>
        <v>82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26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26</v>
      </c>
      <c r="CP56" s="27">
        <f t="shared" si="11"/>
        <v>26</v>
      </c>
      <c r="CQ56" s="22">
        <v>0</v>
      </c>
      <c r="CR56" s="22">
        <f t="shared" si="12"/>
        <v>26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105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764</v>
      </c>
      <c r="CP79" s="25">
        <f>+SUM(CP14:CP78)</f>
        <v>764</v>
      </c>
      <c r="CQ79" s="25">
        <f>+SUM(CQ14:CQ78)</f>
        <v>0</v>
      </c>
      <c r="CR79" s="25">
        <f>+SUM(CR14:CR78)</f>
        <v>764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6502.5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2061</v>
      </c>
      <c r="F3" s="79" t="s">
        <v>1</v>
      </c>
      <c r="I3" s="80">
        <f>'Programa CASETAS REPORTE DIARIO'!CN79+CH77</f>
        <v>2825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402</v>
      </c>
      <c r="CJ27" s="27">
        <f t="shared" si="3"/>
        <v>402</v>
      </c>
      <c r="CK27" s="22">
        <v>0</v>
      </c>
      <c r="CL27" s="22">
        <f t="shared" si="4"/>
        <v>402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30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310</v>
      </c>
      <c r="CJ28" s="27">
        <f t="shared" si="3"/>
        <v>310</v>
      </c>
      <c r="CK28" s="22">
        <v>0</v>
      </c>
      <c r="CL28" s="22">
        <f t="shared" si="4"/>
        <v>310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11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48</v>
      </c>
      <c r="CJ29" s="27">
        <f t="shared" si="3"/>
        <v>48</v>
      </c>
      <c r="CK29" s="22">
        <v>0</v>
      </c>
      <c r="CL29" s="22">
        <f t="shared" si="4"/>
        <v>48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53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146</v>
      </c>
      <c r="CJ35" s="27">
        <f t="shared" si="3"/>
        <v>146</v>
      </c>
      <c r="CK35" s="22">
        <v>0</v>
      </c>
      <c r="CL35" s="22">
        <f t="shared" si="4"/>
        <v>146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10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53</v>
      </c>
      <c r="CJ37" s="27">
        <f t="shared" si="3"/>
        <v>53</v>
      </c>
      <c r="CK37" s="22">
        <v>0</v>
      </c>
      <c r="CL37" s="22">
        <f t="shared" si="4"/>
        <v>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139</v>
      </c>
      <c r="CJ43" s="27">
        <f t="shared" si="3"/>
        <v>139</v>
      </c>
      <c r="CK43" s="22">
        <v>0</v>
      </c>
      <c r="CL43" s="22">
        <f t="shared" si="4"/>
        <v>139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72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77</v>
      </c>
      <c r="CJ53" s="27">
        <f t="shared" si="11"/>
        <v>77</v>
      </c>
      <c r="CK53" s="22">
        <v>0</v>
      </c>
      <c r="CL53" s="22">
        <f t="shared" si="12"/>
        <v>77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61</v>
      </c>
      <c r="CJ61" s="27">
        <f t="shared" si="11"/>
        <v>61</v>
      </c>
      <c r="CK61" s="22">
        <v>0</v>
      </c>
      <c r="CL61" s="22">
        <f t="shared" si="12"/>
        <v>61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2061</v>
      </c>
      <c r="CJ77" s="25">
        <f>+SUM(CJ14:CJ76)</f>
        <v>2061</v>
      </c>
      <c r="CK77" s="25">
        <f>+SUM(CK14:CK76)</f>
        <v>0</v>
      </c>
      <c r="CL77" s="25">
        <f>+SUM(CL14:CL76)</f>
        <v>2061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9171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2026-10-29T20:19:03Z</dcterms:modified>
</cp:coreProperties>
</file>