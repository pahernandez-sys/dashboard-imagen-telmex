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E085C7B-A12F-4C32-AFB2-25EC8BF96447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DC19" i="3"/>
  <c r="CO19" i="3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D13" i="1" l="1"/>
  <c r="AD13" i="2"/>
  <c r="D12" i="1"/>
  <c r="AC13" i="2"/>
  <c r="D11" i="1"/>
  <c r="AB13" i="2"/>
  <c r="CQ25" i="3"/>
  <c r="CQ23" i="3"/>
  <c r="CQ17" i="3"/>
  <c r="CW78" i="2"/>
  <c r="CW72" i="2"/>
  <c r="CW34" i="2"/>
  <c r="CP14" i="2"/>
  <c r="CN79" i="2"/>
  <c r="CW17" i="2"/>
  <c r="AS13" i="3"/>
  <c r="E22" i="1"/>
  <c r="F22" i="1" s="1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AL13" i="3"/>
  <c r="E15" i="1"/>
  <c r="F15" i="1" s="1"/>
  <c r="AK13" i="3"/>
  <c r="E14" i="1"/>
  <c r="F14" i="1" s="1"/>
  <c r="E13" i="1"/>
  <c r="F13" i="1" s="1"/>
  <c r="AJ13" i="3"/>
  <c r="E12" i="1"/>
  <c r="F12" i="1" s="1"/>
  <c r="AI13" i="3"/>
  <c r="AH13" i="3"/>
  <c r="E11" i="1"/>
  <c r="CH77" i="3"/>
  <c r="CJ20" i="3"/>
  <c r="CP19" i="3"/>
  <c r="CQ19" i="3" s="1"/>
  <c r="CO77" i="3"/>
  <c r="CQ14" i="3"/>
  <c r="CP77" i="3"/>
  <c r="CL14" i="3"/>
  <c r="CJ77" i="3"/>
  <c r="F11" i="1"/>
  <c r="D23" i="1"/>
  <c r="B6" i="1"/>
  <c r="I3" i="3"/>
  <c r="CN13" i="2"/>
  <c r="D3" i="2"/>
  <c r="CV30" i="2"/>
  <c r="CW30" i="2" s="1"/>
  <c r="CU79" i="2"/>
  <c r="CW14" i="2"/>
  <c r="CV79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24" i="3"/>
  <c r="CQ22" i="3"/>
  <c r="CQ21" i="3"/>
  <c r="CQ18" i="3"/>
  <c r="CQ16" i="3"/>
  <c r="CW77" i="2"/>
  <c r="CW76" i="2"/>
  <c r="CW74" i="2"/>
  <c r="CW73" i="2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15" i="3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D3" i="3" l="1"/>
  <c r="CH13" i="3"/>
  <c r="E6" i="1"/>
  <c r="H6" i="1" s="1"/>
  <c r="I3" i="2"/>
  <c r="CQ20" i="3"/>
  <c r="CQ77" i="3" s="1"/>
  <c r="CL20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E23" i="1"/>
  <c r="CW79" i="2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<sst xmlns="http://schemas.openxmlformats.org/spreadsheetml/2006/main" count="586" uniqueCount="174">
  <si>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</si>
  <si>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</si>
  <si>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</si>
  <si>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</si>
  <si>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</si>
  <si>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</si>
  <si>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</si>
  <si>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</si>
  <si>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</si>
  <si>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</si>
  <si>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</si>
  <si>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</si>
  <si>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</si>
  <si>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</si>
  <si>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</si>
  <si>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</si>
  <si>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</si>
  <si>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</si>
  <si>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</si>
  <si>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</si>
  <si>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</si>
  <si>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</si>
  <si>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</si>
  <si>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</si>
  <si>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</si>
  <si>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</si>
  <si>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</si>
  <si>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</si>
  <si>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</si>
  <si>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</si>
  <si>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</si>
  <si>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</si>
  <si>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</si>
  <si>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</si>
  <si>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</si>
  <si>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</si>
  <si>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</si>
  <si>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</si>
  <si>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</si>
  <si>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</si>
  <si>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</si>
  <si>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</si>
  <si>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</si>
  <si>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</si>
  <si>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</si>
  <si>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</si>
  <si>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</si>
  <si>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</si>
  <si>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</si>
  <si>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</si>
  <si>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</si>
  <si>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</si>
  <si>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</si>
  <si>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</si>
  <si>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</si>
  <si>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</si>
  <si>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</si>
  <si>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</si>
  <si>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</si>
  <si>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</si>
  <si>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</si>
  <si>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</si>
  <si>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</si>
  <si>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</si>
  <si>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</si>
  <si>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</si>
  <si>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</si>
  <si>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</si>
  <si>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</si>
  <si>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</si>
  <si>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</si>
  <si>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</si>
  <si>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</si>
  <si>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</si>
  <si>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</si>
  <si>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</si>
  <si>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</si>
  <si>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</si>
  <si>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</si>
  <si>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</si>
  <si>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</si>
  <si>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</si>
  <si>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</si>
  <si>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</si>
  <si>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</si>
  <si>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</si>
  <si>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</si>
  <si>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</si>
  <si>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</si>
  <si>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</si>
  <si>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</si>
  <si>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</si>
  <si>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</si>
  <si>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</si>
  <si>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</si>
  <si>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</si>
  <si>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</si>
  <si>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</si>
  <si>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</si>
  <si>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</si>
  <si>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</si>
  <si>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</si>
  <si>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</si>
  <si>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</si>
  <si>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</si>
  <si>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</si>
  <si>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</si>
  <si>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</si>
  <si>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</si>
  <si>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</si>
  <si>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</si>
  <si>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</si>
  <si>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18:54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</si>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</sst>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632</v>
      </c>
      <c r="C6" s="89"/>
      <c r="E6" s="88">
        <f>'Programa CAJAS REPORTE DIARIO'!CH77</f>
        <v>1659</v>
      </c>
      <c r="F6" s="89"/>
      <c r="H6" s="101">
        <f>B6+E6</f>
        <v>2291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150</v>
      </c>
      <c r="E22" s="72">
        <f>'Programa CAJAS REPORTE DIARIO'!AS77</f>
        <v>334</v>
      </c>
      <c r="F22" s="72">
        <f t="shared" si="0"/>
        <v>484</v>
      </c>
      <c r="G22" s="72">
        <f t="shared" si="1"/>
        <v>2291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632</v>
      </c>
      <c r="E23" s="75">
        <f>SUM(E11:E22)</f>
        <v>1659</v>
      </c>
      <c r="F23" s="75">
        <f>SUM(F11:F22)</f>
        <v>2291</v>
      </c>
      <c r="G23" s="75">
        <f>F23</f>
        <v>2291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632</v>
      </c>
      <c r="F3" s="79" t="s">
        <v>1</v>
      </c>
      <c r="I3" s="80">
        <f>'Programa CAJAS REPORTE DIARIO'!CH77+CN79</f>
        <v>2291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29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144</v>
      </c>
      <c r="CP28" s="27">
        <f t="shared" si="4"/>
        <v>144</v>
      </c>
      <c r="CQ28" s="22">
        <v>0</v>
      </c>
      <c r="CR28" s="22">
        <f t="shared" si="5"/>
        <v>144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632</v>
      </c>
      <c r="CP79" s="25">
        <f>+SUM(CP14:CP78)</f>
        <v>632</v>
      </c>
      <c r="CQ79" s="25">
        <f>+SUM(CQ14:CQ78)</f>
        <v>0</v>
      </c>
      <c r="CR79" s="25">
        <f>+SUM(CR14:CR78)</f>
        <v>632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6450.5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1659</v>
      </c>
      <c r="F3" s="79" t="s">
        <v>1</v>
      </c>
      <c r="I3" s="80">
        <f>'Programa CASETAS REPORTE DIARIO'!CN79+CH77</f>
        <v>2291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334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1659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52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264</v>
      </c>
      <c r="CJ28" s="27">
        <f t="shared" si="3"/>
        <v>264</v>
      </c>
      <c r="CK28" s="22">
        <v>0</v>
      </c>
      <c r="CL28" s="22">
        <f t="shared" si="4"/>
        <v>264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-86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6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19</v>
      </c>
      <c r="CJ41" s="27">
        <f t="shared" si="3"/>
        <v>19</v>
      </c>
      <c r="CK41" s="22">
        <v>0</v>
      </c>
      <c r="CL41" s="22">
        <f t="shared" si="4"/>
        <v>19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-6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334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1659</v>
      </c>
      <c r="CJ77" s="25">
        <f>+SUM(CJ14:CJ76)</f>
        <v>1659</v>
      </c>
      <c r="CK77" s="25">
        <f>+SUM(CK14:CK76)</f>
        <v>0</v>
      </c>
      <c r="CL77" s="25">
        <f>+SUM(CL14:CL76)</f>
        <v>1659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6848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2026-10-29T00:54:38Z</dcterms:modified>
</cp:coreProperties>
</file>