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95FC4B55-C66E-4ACD-8BA2-D4EBE43D5F36}" xr6:coauthVersionLast="47" xr6:coauthVersionMax="47" xr10:uidLastSave="{00000000-0000-0000-0000-000000000000}"/>
  <bookViews>
    <workbookView xWindow="380" yWindow="380" windowWidth="5400" windowHeight="109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D20" i="1" l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W57" i="2"/>
  <c r="CQ33" i="3"/>
  <c r="CQ15" i="3"/>
  <c r="CW17" i="2"/>
  <c r="CR17" i="2"/>
  <c r="CP14" i="2"/>
  <c r="CN79" i="2"/>
  <c r="AQ13" i="3"/>
  <c r="E20" i="1"/>
  <c r="F20" i="1" s="1"/>
  <c r="AP13" i="3"/>
  <c r="E19" i="1"/>
  <c r="F19" i="1" s="1"/>
  <c r="E18" i="1"/>
  <c r="F18" i="1" s="1"/>
  <c r="AO13" i="3"/>
  <c r="AN13" i="3"/>
  <c r="E17" i="1"/>
  <c r="F17" i="1" s="1"/>
  <c r="AM13" i="3"/>
  <c r="E16" i="1"/>
  <c r="F16" i="1" s="1"/>
  <c r="AL13" i="3"/>
  <c r="E15" i="1"/>
  <c r="F15" i="1" s="1"/>
  <c r="E14" i="1"/>
  <c r="F14" i="1" s="1"/>
  <c r="AK13" i="3"/>
  <c r="AJ13" i="3"/>
  <c r="E13" i="1"/>
  <c r="F13" i="1" s="1"/>
  <c r="AI13" i="3"/>
  <c r="E12" i="1"/>
  <c r="F12" i="1" s="1"/>
  <c r="E11" i="1"/>
  <c r="AH13" i="3"/>
  <c r="CJ74" i="3"/>
  <c r="CH77" i="3"/>
  <c r="CP19" i="3"/>
  <c r="CQ19" i="3" s="1"/>
  <c r="CO77" i="3"/>
  <c r="CQ14" i="3"/>
  <c r="CP77" i="3"/>
  <c r="CL14" i="3"/>
  <c r="CJ77" i="3"/>
  <c r="F11" i="1"/>
  <c r="D21" i="1"/>
  <c r="CV37" i="2"/>
  <c r="CW37" i="2" s="1"/>
  <c r="CU79" i="2"/>
  <c r="CW14" i="2"/>
  <c r="CV79" i="2"/>
  <c r="CR14" i="2"/>
  <c r="CR79" i="2" s="1"/>
  <c r="CP79" i="2"/>
  <c r="CQ76" i="3"/>
  <c r="CQ75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N13" i="2" l="1"/>
  <c r="B6" i="1"/>
  <c r="D3" i="2"/>
  <c r="I3" i="3"/>
  <c r="E21" i="1"/>
  <c r="CW79" i="2"/>
  <c r="CQ74" i="3"/>
  <c r="CQ77" i="3" s="1"/>
  <c r="CL74" i="3"/>
  <c r="CL77" i="3" s="1"/>
  <c r="D3" i="3"/>
  <c r="CH13" i="3"/>
  <c r="E6" i="1"/>
  <c r="I3" i="2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<sst xmlns="http://schemas.openxmlformats.org/spreadsheetml/2006/main" count="580" uniqueCount="171">
  <si>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</si>
  <si>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</si>
  <si>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</si>
  <si>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</si>
  <si>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</si>
  <si>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</si>
  <si>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</si>
  <si>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</si>
  <si>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</si>
  <si>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</si>
  <si>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</si>
  <si>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</si>
  <si>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</si>
  <si>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</si>
  <si>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</si>
  <si>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</si>
  <si>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</si>
  <si>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</si>
  <si>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</si>
  <si>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</si>
  <si>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</si>
  <si>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</si>
  <si>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</si>
  <si>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</si>
  <si>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</si>
  <si>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</si>
  <si>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</si>
  <si>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</si>
  <si>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</si>
  <si>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</si>
  <si>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</si>
  <si>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</si>
  <si>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</si>
  <si>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</si>
  <si>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</si>
  <si>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</si>
  <si>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</si>
  <si>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</si>
  <si>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</si>
  <si>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</si>
  <si>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</si>
  <si>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</si>
  <si>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</si>
  <si>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</si>
  <si>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</si>
  <si>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</si>
  <si>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</si>
  <si>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</si>
  <si>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</si>
  <si>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</si>
  <si>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</si>
  <si>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</si>
  <si>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</si>
  <si>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</si>
  <si>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</si>
  <si>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</si>
  <si>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</si>
  <si>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</si>
  <si>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</si>
  <si>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</si>
  <si>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</si>
  <si>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</si>
  <si>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</si>
  <si>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</si>
  <si>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</si>
  <si>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</si>
  <si>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</si>
  <si>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</si>
  <si>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</si>
  <si>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</si>
  <si>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</si>
  <si>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</si>
  <si>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</si>
  <si>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</si>
  <si>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</si>
  <si>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</si>
  <si>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</si>
  <si>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</si>
  <si>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</si>
  <si>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</si>
  <si>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</si>
  <si>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</si>
  <si>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</si>
  <si>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</si>
  <si>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</si>
  <si>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</si>
  <si>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</si>
  <si>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</si>
  <si>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</si>
  <si>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</si>
  <si>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</si>
  <si>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</si>
  <si>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</si>
  <si>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</si>
  <si>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</si>
  <si>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</si>
  <si>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</si>
  <si>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</si>
  <si>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</si>
  <si>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</si>
  <si>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</si>
  <si>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</si>
  <si>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</si>
  <si>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</si>
  <si>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</si>
  <si>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</si>
  <si>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</si>
  <si>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</si>
  <si>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</si>
  <si>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</si>
  <si>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</si>
  <si>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</si>
  <si>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18:04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</si>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</sst>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454</v>
      </c>
      <c r="C6" s="89"/>
      <c r="E6" s="88">
        <f>'Programa CAJAS REPORTE DIARIO'!CH77</f>
        <v>1240</v>
      </c>
      <c r="F6" s="89"/>
      <c r="H6" s="101">
        <f>B6+E6</f>
        <v>1694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454</v>
      </c>
      <c r="F3" s="79" t="s">
        <v>1</v>
      </c>
      <c r="I3" s="80">
        <f>'Programa CAJAS REPORTE DIARIO'!CH77+CN79</f>
        <v>1694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110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454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61</v>
      </c>
      <c r="CP29" s="27">
        <f t="shared" si="4"/>
        <v>61</v>
      </c>
      <c r="CQ29" s="22">
        <v>0</v>
      </c>
      <c r="CR29" s="22">
        <f t="shared" si="5"/>
        <v>61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20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29</v>
      </c>
      <c r="CP42" s="27">
        <f t="shared" si="4"/>
        <v>29</v>
      </c>
      <c r="CQ42" s="22">
        <v>0</v>
      </c>
      <c r="CR42" s="22">
        <f t="shared" si="5"/>
        <v>29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-29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110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454</v>
      </c>
      <c r="CP79" s="25">
        <f>+SUM(CP14:CP78)</f>
        <v>454</v>
      </c>
      <c r="CQ79" s="25">
        <f>+SUM(CQ14:CQ78)</f>
        <v>0</v>
      </c>
      <c r="CR79" s="25">
        <f>+SUM(CR14:CR78)</f>
        <v>454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2678.5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1240</v>
      </c>
      <c r="F3" s="79" t="s">
        <v>1</v>
      </c>
      <c r="I3" s="80">
        <f>'Programa CASETAS REPORTE DIARIO'!CN79+CH77</f>
        <v>1694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381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1240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43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331</v>
      </c>
      <c r="CJ27" s="27">
        <f t="shared" si="3"/>
        <v>331</v>
      </c>
      <c r="CK27" s="22">
        <v>0</v>
      </c>
      <c r="CL27" s="22">
        <f t="shared" si="4"/>
        <v>331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43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196</v>
      </c>
      <c r="CJ28" s="27">
        <f t="shared" si="3"/>
        <v>196</v>
      </c>
      <c r="CK28" s="22">
        <v>0</v>
      </c>
      <c r="CL28" s="22">
        <f t="shared" si="4"/>
        <v>196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71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75</v>
      </c>
      <c r="CJ35" s="27">
        <f t="shared" si="3"/>
        <v>75</v>
      </c>
      <c r="CK35" s="22">
        <v>0</v>
      </c>
      <c r="CL35" s="22">
        <f t="shared" si="4"/>
        <v>75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36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38</v>
      </c>
      <c r="CJ37" s="27">
        <f t="shared" si="3"/>
        <v>38</v>
      </c>
      <c r="CK37" s="22">
        <v>0</v>
      </c>
      <c r="CL37" s="22">
        <f t="shared" si="4"/>
        <v>38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537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8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12</v>
      </c>
      <c r="CJ41" s="27">
        <f t="shared" si="3"/>
        <v>12</v>
      </c>
      <c r="CK41" s="22">
        <v>0</v>
      </c>
      <c r="CL41" s="22">
        <f t="shared" si="4"/>
        <v>12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10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117</v>
      </c>
      <c r="CJ46" s="27">
        <f t="shared" ref="CJ46:CJ76" si="11">CH46</f>
        <v>117</v>
      </c>
      <c r="CK46" s="22">
        <v>0</v>
      </c>
      <c r="CL46" s="22">
        <f t="shared" ref="CL46:CL77" si="12">CJ46+CK46</f>
        <v>117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214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2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4</v>
      </c>
      <c r="CJ75" s="27">
        <f t="shared" si="11"/>
        <v>4</v>
      </c>
      <c r="CK75" s="22">
        <v>0</v>
      </c>
      <c r="CL75" s="22">
        <f t="shared" si="12"/>
        <v>4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-3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381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1240</v>
      </c>
      <c r="CJ77" s="25">
        <f>+SUM(CJ14:CJ76)</f>
        <v>1240</v>
      </c>
      <c r="CK77" s="25">
        <f>+SUM(CK14:CK76)</f>
        <v>0</v>
      </c>
      <c r="CL77" s="25">
        <f>+SUM(CL14:CL76)</f>
        <v>1240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5747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2026-10-28T00:04:45Z</dcterms:modified>
</cp:coreProperties>
</file>