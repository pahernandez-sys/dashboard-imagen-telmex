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F59C333-9B0C-47A1-8F83-202BBD57A21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W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57" i="2" l="1"/>
  <c r="CW30" i="2"/>
  <c r="CW35" i="2"/>
  <c r="CW52" i="2"/>
  <c r="CQ15" i="3"/>
  <c r="CW31" i="2"/>
  <c r="CQ27" i="3"/>
  <c r="CQ21" i="3"/>
  <c r="CW33" i="2"/>
  <c r="CW50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AM13" i="3"/>
  <c r="E16" i="1"/>
  <c r="F16" i="1" s="1"/>
  <c r="E15" i="1"/>
  <c r="F15" i="1" s="1"/>
  <c r="AL13" i="3"/>
  <c r="E14" i="1"/>
  <c r="F14" i="1" s="1"/>
  <c r="AK13" i="3"/>
  <c r="AJ13" i="3"/>
  <c r="E13" i="1"/>
  <c r="F13" i="1" s="1"/>
  <c r="E12" i="1"/>
  <c r="F12" i="1" s="1"/>
  <c r="AI13" i="3"/>
  <c r="AH13" i="3"/>
  <c r="E11" i="1"/>
  <c r="CP32" i="3"/>
  <c r="CQ32" i="3" s="1"/>
  <c r="CO77" i="3"/>
  <c r="CJ19" i="3"/>
  <c r="CJ77" i="3" s="1"/>
  <c r="CH77" i="3"/>
  <c r="CQ14" i="3"/>
  <c r="CP77" i="3"/>
  <c r="CL14" i="3"/>
  <c r="D23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6" i="3"/>
  <c r="CQ25" i="3"/>
  <c r="CQ20" i="3"/>
  <c r="CQ18" i="3"/>
  <c r="CQ17" i="3"/>
  <c r="CW34" i="2"/>
  <c r="CW78" i="2"/>
  <c r="CW77" i="2"/>
  <c r="CW76" i="2"/>
  <c r="CW75" i="2"/>
  <c r="CW74" i="2"/>
  <c r="CW73" i="2"/>
  <c r="CW72" i="2"/>
  <c r="CW71" i="2"/>
  <c r="CW70" i="2"/>
  <c r="CW69" i="2"/>
  <c r="CW68" i="2"/>
  <c r="CW56" i="2"/>
  <c r="CW55" i="2"/>
  <c r="CW54" i="2"/>
  <c r="CW53" i="2"/>
  <c r="CW51" i="2"/>
  <c r="CW49" i="2"/>
  <c r="CW47" i="2"/>
  <c r="CW46" i="2"/>
  <c r="CW45" i="2"/>
  <c r="CW44" i="2"/>
  <c r="CW43" i="2"/>
  <c r="CW42" i="2"/>
  <c r="CW40" i="2"/>
  <c r="CW39" i="2"/>
  <c r="CW38" i="2"/>
  <c r="CW37" i="2"/>
  <c r="CW36" i="2"/>
  <c r="CW32" i="2"/>
  <c r="CW67" i="2"/>
  <c r="CW66" i="2"/>
  <c r="CW65" i="2"/>
  <c r="CW64" i="2"/>
  <c r="CW63" i="2"/>
  <c r="CW62" i="2"/>
  <c r="CW61" i="2"/>
  <c r="CW60" i="2"/>
  <c r="CW59" i="2"/>
  <c r="CW58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24" i="3"/>
  <c r="CQ23" i="3"/>
  <c r="CQ22" i="3"/>
  <c r="CQ16" i="3"/>
  <c r="E23" i="1" l="1"/>
  <c r="F11" i="1"/>
  <c r="CQ19" i="3"/>
  <c r="CQ77" i="3" s="1"/>
  <c r="CL19" i="3"/>
  <c r="CL77" i="3" s="1"/>
  <c r="D3" i="3"/>
  <c r="E6" i="1"/>
  <c r="CH13" i="3"/>
  <c r="I3" i="2"/>
  <c r="CW14" i="2"/>
  <c r="CW79" i="2" s="1"/>
  <c r="CV79" i="2"/>
  <c r="CP79" i="2"/>
  <c r="CR14" i="2"/>
  <c r="CR79" i="2" s="1"/>
  <c r="I3" i="3"/>
  <c r="B6" i="1"/>
  <c r="D3" i="2"/>
  <c r="CN13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<sst xmlns="http://schemas.openxmlformats.org/spreadsheetml/2006/main" count="586" uniqueCount="174">
  <si>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</si>
  <si>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</si>
  <si>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</si>
  <si>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</si>
  <si>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</si>
  <si>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</si>
  <si>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</si>
  <si>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</si>
  <si>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</si>
  <si>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</si>
  <si>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</si>
  <si>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</si>
  <si>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</si>
  <si>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</si>
  <si>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</si>
  <si>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</si>
  <si>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</si>
  <si>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</si>
  <si>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</si>
  <si>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</si>
  <si>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</si>
  <si>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</si>
  <si>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</si>
  <si>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</si>
  <si>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</si>
  <si>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</si>
  <si>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</si>
  <si>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</si>
  <si>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</si>
  <si>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</si>
  <si>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</si>
  <si>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</si>
  <si>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</si>
  <si>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</si>
  <si>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</si>
  <si>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</si>
  <si>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</si>
  <si>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</si>
  <si>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</si>
  <si>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</si>
  <si>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</si>
  <si>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</si>
  <si>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</si>
  <si>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</si>
  <si>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</si>
  <si>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</si>
  <si>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</si>
  <si>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</si>
  <si>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</si>
  <si>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</si>
  <si>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</si>
  <si>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</si>
  <si>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</si>
  <si>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</si>
  <si>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</si>
  <si>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</si>
  <si>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</si>
  <si>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</si>
  <si>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</si>
  <si>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</si>
  <si>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</si>
  <si>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</si>
  <si>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</si>
  <si>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</si>
  <si>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</si>
  <si>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</si>
  <si>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</si>
  <si>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</si>
  <si>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</si>
  <si>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</si>
  <si>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</si>
  <si>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</si>
  <si>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</si>
  <si>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</si>
  <si>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</si>
  <si>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</si>
  <si>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</si>
  <si>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</si>
  <si>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</si>
  <si>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</si>
  <si>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</si>
  <si>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</si>
  <si>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</si>
  <si>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</si>
  <si>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</si>
  <si>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</si>
  <si>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</si>
  <si>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</si>
  <si>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</si>
  <si>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</si>
  <si>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</si>
  <si>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</si>
  <si>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</si>
  <si>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</si>
  <si>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</si>
  <si>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</si>
  <si>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</si>
  <si>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</si>
  <si>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</si>
  <si>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</si>
  <si>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</si>
  <si>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</si>
  <si>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</si>
  <si>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</si>
  <si>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</si>
  <si>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</si>
  <si>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</si>
  <si>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</si>
  <si>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</si>
  <si>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</si>
  <si>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</si>
  <si>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</si>
  <si>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15:19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</si>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</sst>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609</v>
      </c>
      <c r="C6" s="89"/>
      <c r="E6" s="88">
        <f>'Programa CAJAS REPORTE DIARIO'!CH77</f>
        <v>1530</v>
      </c>
      <c r="F6" s="89"/>
      <c r="H6" s="101">
        <f>B6+E6</f>
        <v>2139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127</v>
      </c>
      <c r="E22" s="72">
        <f>'Programa CAJAS REPORTE DIARIO'!AS77</f>
        <v>205</v>
      </c>
      <c r="F22" s="72">
        <f t="shared" si="0"/>
        <v>332</v>
      </c>
      <c r="G22" s="72">
        <f t="shared" si="1"/>
        <v>2139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609</v>
      </c>
      <c r="E23" s="75">
        <f>SUM(E11:E22)</f>
        <v>1530</v>
      </c>
      <c r="F23" s="75">
        <f>SUM(F11:F22)</f>
        <v>2139</v>
      </c>
      <c r="G23" s="75">
        <f>F23</f>
        <v>2139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609</v>
      </c>
      <c r="F3" s="79" t="s">
        <v>1</v>
      </c>
      <c r="I3" s="80">
        <f>'Programa CAJAS REPORTE DIARIO'!CH77+CN79</f>
        <v>2139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127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609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176</v>
      </c>
      <c r="CP27" s="27">
        <f t="shared" si="4"/>
        <v>176</v>
      </c>
      <c r="CQ27" s="22">
        <v>0</v>
      </c>
      <c r="CR27" s="22">
        <f t="shared" si="5"/>
        <v>176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14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57</v>
      </c>
      <c r="CP42" s="27">
        <f t="shared" si="4"/>
        <v>57</v>
      </c>
      <c r="CQ42" s="22">
        <v>0</v>
      </c>
      <c r="CR42" s="22">
        <f t="shared" si="5"/>
        <v>57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31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33</v>
      </c>
      <c r="CP58" s="27">
        <f t="shared" si="11"/>
        <v>33</v>
      </c>
      <c r="CQ58" s="22">
        <v>0</v>
      </c>
      <c r="CR58" s="22">
        <f t="shared" si="12"/>
        <v>33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1646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127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609</v>
      </c>
      <c r="CP79" s="25">
        <f>+SUM(CP14:CP78)</f>
        <v>609</v>
      </c>
      <c r="CQ79" s="25">
        <f>+SUM(CQ14:CQ78)</f>
        <v>0</v>
      </c>
      <c r="CR79" s="25">
        <f>+SUM(CR14:CR78)</f>
        <v>609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6473.5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1530</v>
      </c>
      <c r="F3" s="79" t="s">
        <v>1</v>
      </c>
      <c r="I3" s="80">
        <f>'Programa CASETAS REPORTE DIARIO'!CN79+CH77</f>
        <v>2139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205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1530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27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359</v>
      </c>
      <c r="CJ27" s="27">
        <f t="shared" si="3"/>
        <v>359</v>
      </c>
      <c r="CK27" s="22">
        <v>0</v>
      </c>
      <c r="CL27" s="22">
        <f t="shared" si="4"/>
        <v>359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254</v>
      </c>
      <c r="CJ28" s="27">
        <f t="shared" si="3"/>
        <v>254</v>
      </c>
      <c r="CK28" s="22">
        <v>0</v>
      </c>
      <c r="CL28" s="22">
        <f t="shared" si="4"/>
        <v>254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5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87</v>
      </c>
      <c r="CJ35" s="27">
        <f t="shared" si="3"/>
        <v>87</v>
      </c>
      <c r="CK35" s="22">
        <v>0</v>
      </c>
      <c r="CL35" s="22">
        <f t="shared" si="4"/>
        <v>87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41</v>
      </c>
      <c r="CJ36" s="27">
        <f t="shared" si="3"/>
        <v>41</v>
      </c>
      <c r="CK36" s="22">
        <v>0</v>
      </c>
      <c r="CL36" s="22">
        <f t="shared" si="4"/>
        <v>41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13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182</v>
      </c>
      <c r="CJ46" s="27">
        <f t="shared" ref="CJ46:CJ76" si="11">CH46</f>
        <v>182</v>
      </c>
      <c r="CK46" s="22">
        <v>0</v>
      </c>
      <c r="CL46" s="22">
        <f t="shared" ref="CL46:CL77" si="12">CJ46+CK46</f>
        <v>182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1322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30</v>
      </c>
      <c r="CJ50" s="27">
        <f t="shared" si="11"/>
        <v>30</v>
      </c>
      <c r="CK50" s="22">
        <v>0</v>
      </c>
      <c r="CL50" s="22">
        <f t="shared" si="12"/>
        <v>30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172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19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60</v>
      </c>
      <c r="CJ57" s="27">
        <f t="shared" si="11"/>
        <v>60</v>
      </c>
      <c r="CK57" s="22">
        <v>0</v>
      </c>
      <c r="CL57" s="22">
        <f t="shared" si="12"/>
        <v>60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193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43</v>
      </c>
      <c r="CJ61" s="27">
        <f t="shared" si="11"/>
        <v>43</v>
      </c>
      <c r="CK61" s="22">
        <v>0</v>
      </c>
      <c r="CL61" s="22">
        <f t="shared" si="12"/>
        <v>43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205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1530</v>
      </c>
      <c r="CJ77" s="25">
        <f>+SUM(CJ14:CJ76)</f>
        <v>1530</v>
      </c>
      <c r="CK77" s="25">
        <f>+SUM(CK14:CK76)</f>
        <v>0</v>
      </c>
      <c r="CL77" s="25">
        <f>+SUM(CL14:CL76)</f>
        <v>1530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6977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2026-10-28T21:19:04Z</dcterms:modified>
</cp:coreProperties>
</file>