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EF0D504-0ED4-4AF5-811B-0DB56AD6EC6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Z13" i="2" s="1"/>
  <c r="AY79" i="2"/>
  <c r="AY13" i="2" s="1"/>
  <c r="AX79" i="2"/>
  <c r="AW79" i="2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I13" i="2"/>
  <c r="BH13" i="2"/>
  <c r="BG13" i="2"/>
  <c r="BF13" i="2"/>
  <c r="BE13" i="2"/>
  <c r="BD13" i="2"/>
  <c r="BC13" i="2"/>
  <c r="BB13" i="2"/>
  <c r="BA13" i="2"/>
  <c r="AX13" i="2"/>
  <c r="AW13" i="2"/>
  <c r="AN13" i="2"/>
  <c r="E21" i="1" l="1"/>
  <c r="AR13" i="3"/>
  <c r="E20" i="1"/>
  <c r="AQ13" i="3"/>
  <c r="E19" i="1"/>
  <c r="AP13" i="3"/>
  <c r="E18" i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D22" i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63" i="3"/>
  <c r="CQ61" i="3"/>
  <c r="CQ70" i="3"/>
  <c r="CQ69" i="3"/>
  <c r="CQ66" i="3"/>
  <c r="CQ64" i="3"/>
  <c r="CW16" i="2"/>
  <c r="AS13" i="3"/>
  <c r="E22" i="1"/>
  <c r="F22" i="1" s="1"/>
  <c r="AI13" i="3"/>
  <c r="E12" i="1"/>
  <c r="F12" i="1" s="1"/>
  <c r="AH13" i="3"/>
  <c r="E11" i="1"/>
  <c r="E23" i="1" s="1"/>
  <c r="CP14" i="3"/>
  <c r="CO77" i="3"/>
  <c r="CJ14" i="3"/>
  <c r="CH77" i="3"/>
  <c r="D23" i="1"/>
  <c r="F11" i="1"/>
  <c r="CV14" i="2"/>
  <c r="CU79" i="2"/>
  <c r="CP14" i="2"/>
  <c r="CN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60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5" i="2"/>
  <c r="CQ76" i="3"/>
  <c r="CQ75" i="3"/>
  <c r="CQ74" i="3"/>
  <c r="CQ73" i="3"/>
  <c r="CQ72" i="3"/>
  <c r="CQ71" i="3"/>
  <c r="CQ68" i="3"/>
  <c r="CQ67" i="3"/>
  <c r="CQ65" i="3"/>
  <c r="CQ62" i="3"/>
  <c r="CQ14" i="3" l="1"/>
  <c r="CQ77" i="3" s="1"/>
  <c r="CP77" i="3"/>
  <c r="CL14" i="3"/>
  <c r="CL77" i="3" s="1"/>
  <c r="CJ77" i="3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P79" i="2"/>
  <c r="CR14" i="2"/>
  <c r="CR79" i="2" s="1"/>
  <c r="B6" i="1"/>
  <c r="I3" i="3"/>
  <c r="CN13" i="2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<sst xmlns="http://schemas.openxmlformats.org/spreadsheetml/2006/main" count="586" uniqueCount="174">
  <si>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</si>
  <si>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</si>
  <si>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</si>
  <si>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</si>
  <si>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</si>
  <si>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</si>
  <si>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</si>
  <si>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</si>
  <si>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</si>
  <si>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</si>
  <si>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</si>
  <si>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</si>
  <si>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</si>
  <si>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</si>
  <si>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</si>
  <si>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</si>
  <si>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</si>
  <si>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</si>
  <si>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</si>
  <si>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</si>
  <si>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</si>
  <si>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</si>
  <si>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</si>
  <si>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</si>
  <si>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</si>
  <si>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</si>
  <si>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</si>
  <si>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</si>
  <si>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</si>
  <si>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</si>
  <si>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</si>
  <si>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</si>
  <si>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</si>
  <si>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</si>
  <si>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</si>
  <si>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</si>
  <si>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</si>
  <si>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</si>
  <si>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</si>
  <si>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</si>
  <si>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</si>
  <si>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</si>
  <si>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</si>
  <si>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</si>
  <si>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</si>
  <si>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</si>
  <si>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</si>
  <si>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</si>
  <si>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</si>
  <si>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</si>
  <si>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</si>
  <si>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</si>
  <si>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</si>
  <si>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</si>
  <si>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</si>
  <si>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</si>
  <si>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</si>
  <si>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</si>
  <si>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</si>
  <si>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</si>
  <si>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</si>
  <si>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</si>
  <si>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</si>
  <si>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</si>
  <si>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</si>
  <si>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</si>
  <si>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</si>
  <si>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</si>
  <si>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</si>
  <si>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</si>
  <si>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</si>
  <si>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</si>
  <si>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</si>
  <si>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</si>
  <si>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</si>
  <si>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</si>
  <si>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</si>
  <si>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</si>
  <si>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</si>
  <si>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</si>
  <si>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</si>
  <si>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</si>
  <si>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</si>
  <si>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</si>
  <si>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</si>
  <si>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</si>
  <si>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</si>
  <si>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</si>
  <si>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</si>
  <si>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</si>
  <si>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</si>
  <si>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</si>
  <si>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</si>
  <si>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</si>
  <si>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</si>
  <si>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</si>
  <si>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</si>
  <si>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</si>
  <si>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</si>
  <si>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</si>
  <si>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</si>
  <si>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</si>
  <si>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</si>
  <si>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</si>
  <si>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</si>
  <si>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</si>
  <si>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</si>
  <si>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</si>
  <si>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</si>
  <si>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</si>
  <si>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</si>
  <si>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</si>
  <si>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15:25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</si>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</sst>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609</v>
      </c>
      <c r="C6" s="89"/>
      <c r="E6" s="88">
        <f>'Programa CAJAS REPORTE DIARIO'!CH77</f>
        <v>1534</v>
      </c>
      <c r="F6" s="89"/>
      <c r="H6" s="101">
        <f>B6+E6</f>
        <v>2143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127</v>
      </c>
      <c r="E22" s="72">
        <f>'Programa CAJAS REPORTE DIARIO'!AS77</f>
        <v>209</v>
      </c>
      <c r="F22" s="72">
        <f t="shared" si="0"/>
        <v>336</v>
      </c>
      <c r="G22" s="72">
        <f t="shared" si="1"/>
        <v>2143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609</v>
      </c>
      <c r="E23" s="75">
        <f>SUM(E11:E22)</f>
        <v>1534</v>
      </c>
      <c r="F23" s="75">
        <f>SUM(F11:F22)</f>
        <v>2143</v>
      </c>
      <c r="G23" s="75">
        <f>F23</f>
        <v>2143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609</v>
      </c>
      <c r="F3" s="79" t="s">
        <v>1</v>
      </c>
      <c r="I3" s="80">
        <f>'Programa CAJAS REPORTE DIARIO'!CH77+CN79</f>
        <v>2143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127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609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14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57</v>
      </c>
      <c r="CP42" s="27">
        <f t="shared" si="4"/>
        <v>57</v>
      </c>
      <c r="CQ42" s="22">
        <v>0</v>
      </c>
      <c r="CR42" s="22">
        <f t="shared" si="5"/>
        <v>57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127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609</v>
      </c>
      <c r="CP79" s="25">
        <f>+SUM(CP14:CP78)</f>
        <v>609</v>
      </c>
      <c r="CQ79" s="25">
        <f>+SUM(CQ14:CQ78)</f>
        <v>0</v>
      </c>
      <c r="CR79" s="25">
        <f>+SUM(CR14:CR78)</f>
        <v>609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1534</v>
      </c>
      <c r="F3" s="79" t="s">
        <v>1</v>
      </c>
      <c r="I3" s="80">
        <f>'Programa CASETAS REPORTE DIARIO'!CN79+CH77</f>
        <v>2143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209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1534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361</v>
      </c>
      <c r="CJ27" s="27">
        <f t="shared" si="3"/>
        <v>361</v>
      </c>
      <c r="CK27" s="22">
        <v>0</v>
      </c>
      <c r="CL27" s="22">
        <f t="shared" si="4"/>
        <v>361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255</v>
      </c>
      <c r="CJ28" s="27">
        <f t="shared" si="3"/>
        <v>255</v>
      </c>
      <c r="CK28" s="22">
        <v>0</v>
      </c>
      <c r="CL28" s="22">
        <f t="shared" si="4"/>
        <v>255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13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182</v>
      </c>
      <c r="CJ46" s="27">
        <f t="shared" ref="CJ46:CJ76" si="11">CH46</f>
        <v>182</v>
      </c>
      <c r="CK46" s="22">
        <v>0</v>
      </c>
      <c r="CL46" s="22">
        <f t="shared" ref="CL46:CL77" si="12">CJ46+CK46</f>
        <v>182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1322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209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1534</v>
      </c>
      <c r="CJ77" s="25">
        <f>+SUM(CJ14:CJ76)</f>
        <v>1534</v>
      </c>
      <c r="CK77" s="25">
        <f>+SUM(CK14:CK76)</f>
        <v>0</v>
      </c>
      <c r="CL77" s="25">
        <f>+SUM(CL14:CL76)</f>
        <v>1534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6973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2026-10-28T21:25:10Z</dcterms:modified>
</cp:coreProperties>
</file>