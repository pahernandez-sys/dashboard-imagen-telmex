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5D9DF312-2C4A-47D1-87F9-2E967BF16134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W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W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W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W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35" i="3" l="1"/>
  <c r="CW45" i="2"/>
  <c r="CW44" i="2"/>
  <c r="CW33" i="2"/>
  <c r="CW69" i="2"/>
  <c r="CW38" i="2"/>
  <c r="CQ31" i="3"/>
  <c r="CW36" i="2"/>
  <c r="CW42" i="2"/>
  <c r="CW39" i="2"/>
  <c r="CW17" i="2"/>
  <c r="E22" i="1"/>
  <c r="F22" i="1" s="1"/>
  <c r="AS13" i="3"/>
  <c r="E21" i="1"/>
  <c r="F21" i="1" s="1"/>
  <c r="AR13" i="3"/>
  <c r="E20" i="1"/>
  <c r="F20" i="1" s="1"/>
  <c r="AQ13" i="3"/>
  <c r="E19" i="1"/>
  <c r="F19" i="1" s="1"/>
  <c r="AP13" i="3"/>
  <c r="E18" i="1"/>
  <c r="F18" i="1" s="1"/>
  <c r="AO13" i="3"/>
  <c r="E17" i="1"/>
  <c r="F17" i="1" s="1"/>
  <c r="AN13" i="3"/>
  <c r="E16" i="1"/>
  <c r="F16" i="1" s="1"/>
  <c r="AM13" i="3"/>
  <c r="E15" i="1"/>
  <c r="F15" i="1" s="1"/>
  <c r="AL13" i="3"/>
  <c r="E14" i="1"/>
  <c r="F14" i="1" s="1"/>
  <c r="AK13" i="3"/>
  <c r="E13" i="1"/>
  <c r="F13" i="1" s="1"/>
  <c r="AJ13" i="3"/>
  <c r="E12" i="1"/>
  <c r="F12" i="1" s="1"/>
  <c r="AI13" i="3"/>
  <c r="E11" i="1"/>
  <c r="AH13" i="3"/>
  <c r="CW78" i="2"/>
  <c r="CR78" i="2"/>
  <c r="CW46" i="2"/>
  <c r="CR46" i="2"/>
  <c r="CO77" i="3"/>
  <c r="CP14" i="3"/>
  <c r="CH77" i="3"/>
  <c r="CJ14" i="3"/>
  <c r="D23" i="1"/>
  <c r="F11" i="1"/>
  <c r="CV14" i="2"/>
  <c r="CU79" i="2"/>
  <c r="CP14" i="2"/>
  <c r="CN79" i="2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24" i="3"/>
  <c r="CQ23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4" i="3"/>
  <c r="CQ33" i="3"/>
  <c r="CQ32" i="3"/>
  <c r="CQ30" i="3"/>
  <c r="CQ29" i="3"/>
  <c r="CQ28" i="3"/>
  <c r="CQ27" i="3"/>
  <c r="CQ26" i="3"/>
  <c r="CQ25" i="3"/>
  <c r="CW35" i="2"/>
  <c r="CQ22" i="3"/>
  <c r="CQ21" i="3"/>
  <c r="CQ20" i="3"/>
  <c r="CQ19" i="3"/>
  <c r="CQ18" i="3"/>
  <c r="CQ17" i="3"/>
  <c r="CQ16" i="3"/>
  <c r="CQ15" i="3"/>
  <c r="CW77" i="2"/>
  <c r="CW76" i="2"/>
  <c r="CW75" i="2"/>
  <c r="CW74" i="2"/>
  <c r="CW73" i="2"/>
  <c r="CW72" i="2"/>
  <c r="CW71" i="2"/>
  <c r="CW70" i="2"/>
  <c r="CW43" i="2"/>
  <c r="CW41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34" i="2"/>
  <c r="CW31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6" i="2"/>
  <c r="CW15" i="2"/>
  <c r="CQ76" i="3"/>
  <c r="CQ75" i="3"/>
  <c r="CW47" i="2"/>
  <c r="E23" i="1" l="1"/>
  <c r="CQ14" i="3"/>
  <c r="CQ77" i="3" s="1"/>
  <c r="CP77" i="3"/>
  <c r="I3" i="2"/>
  <c r="CH13" i="3"/>
  <c r="E6" i="1"/>
  <c r="D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CW14" i="2"/>
  <c r="CW79" i="2" s="1"/>
  <c r="CV79" i="2"/>
  <c r="CR14" i="2"/>
  <c r="CR79" i="2" s="1"/>
  <c r="CP79" i="2"/>
  <c r="B6" i="1"/>
  <c r="I3" i="3"/>
  <c r="CN13" i="2"/>
  <c r="D3" i="2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<sst xmlns="http://schemas.openxmlformats.org/spreadsheetml/2006/main" count="586" uniqueCount="174">
  <si>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</si>
  <si>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</si>
  <si>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</si>
  <si>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</si>
  <si>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</si>
  <si>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</si>
  <si>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</si>
  <si>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</si>
  <si>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</si>
  <si>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</si>
  <si>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</si>
  <si>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</si>
  <si>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</si>
  <si>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</si>
  <si>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</si>
  <si>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</si>
  <si>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</si>
  <si>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</si>
  <si>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</si>
  <si>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</si>
  <si>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</si>
  <si>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</si>
  <si>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</si>
  <si>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</si>
  <si>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</si>
  <si>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</si>
  <si>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</si>
  <si>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</si>
  <si>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</si>
  <si>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</si>
  <si>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</si>
  <si>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</si>
  <si>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</si>
  <si>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</si>
  <si>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</si>
  <si>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</si>
  <si>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</si>
  <si>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</si>
  <si>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</si>
  <si>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</si>
  <si>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</si>
  <si>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</si>
  <si>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</si>
  <si>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</si>
  <si>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</si>
  <si>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</si>
  <si>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</si>
  <si>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</si>
  <si>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</si>
  <si>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</si>
  <si>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</si>
  <si>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</si>
  <si>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</si>
  <si>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</si>
  <si>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</si>
  <si>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</si>
  <si>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</si>
  <si>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</si>
  <si>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</si>
  <si>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</si>
  <si>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</si>
  <si>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</si>
  <si>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</si>
  <si>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</si>
  <si>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</si>
  <si>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</si>
  <si>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</si>
  <si>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</si>
  <si>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</si>
  <si>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</si>
  <si>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</si>
  <si>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</si>
  <si>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</si>
  <si>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</si>
  <si>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</si>
  <si>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</si>
  <si>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</si>
  <si>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</si>
  <si>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</si>
  <si>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</si>
  <si>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</si>
  <si>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</si>
  <si>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</si>
  <si>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</si>
  <si>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</si>
  <si>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</si>
  <si>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</si>
  <si>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</si>
  <si>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</si>
  <si>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</si>
  <si>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</si>
  <si>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</si>
  <si>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</si>
  <si>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</si>
  <si>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</si>
  <si>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</si>
  <si>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</si>
  <si>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</si>
  <si>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</si>
  <si>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</si>
  <si>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</si>
  <si>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</si>
  <si>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</si>
  <si>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</si>
  <si>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</si>
  <si>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</si>
  <si>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</si>
  <si>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</si>
  <si>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</si>
  <si>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</si>
  <si>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</si>
  <si>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</si>
  <si>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14:30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</si>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</sst>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583</v>
      </c>
      <c r="C6" s="89"/>
      <c r="E6" s="88">
        <f>'Programa CAJAS REPORTE DIARIO'!CH77</f>
        <v>1496</v>
      </c>
      <c r="F6" s="89"/>
      <c r="H6" s="101">
        <f>B6+E6</f>
        <v>2079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101</v>
      </c>
      <c r="E22" s="72">
        <f>'Programa CAJAS REPORTE DIARIO'!AS77</f>
        <v>171</v>
      </c>
      <c r="F22" s="72">
        <f t="shared" si="0"/>
        <v>272</v>
      </c>
      <c r="G22" s="72">
        <f t="shared" si="1"/>
        <v>2079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583</v>
      </c>
      <c r="E23" s="75">
        <f>SUM(E11:E22)</f>
        <v>1496</v>
      </c>
      <c r="F23" s="75">
        <f>SUM(F11:F22)</f>
        <v>2079</v>
      </c>
      <c r="G23" s="75">
        <f>F23</f>
        <v>2079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583</v>
      </c>
      <c r="F3" s="79" t="s">
        <v>1</v>
      </c>
      <c r="I3" s="80">
        <f>'Programa CAJAS REPORTE DIARIO'!CH77+CN79</f>
        <v>2079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101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583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24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174</v>
      </c>
      <c r="CP27" s="27">
        <f t="shared" si="4"/>
        <v>174</v>
      </c>
      <c r="CQ27" s="22">
        <v>0</v>
      </c>
      <c r="CR27" s="22">
        <f t="shared" si="5"/>
        <v>174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196.5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24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139</v>
      </c>
      <c r="CP28" s="27">
        <f t="shared" si="4"/>
        <v>139</v>
      </c>
      <c r="CQ28" s="22">
        <v>0</v>
      </c>
      <c r="CR28" s="22">
        <f t="shared" si="5"/>
        <v>139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1238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2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16</v>
      </c>
      <c r="CP51" s="27">
        <f t="shared" si="11"/>
        <v>16</v>
      </c>
      <c r="CQ51" s="22">
        <v>0</v>
      </c>
      <c r="CR51" s="22">
        <f t="shared" si="12"/>
        <v>16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734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1663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101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583</v>
      </c>
      <c r="CP79" s="25">
        <f>+SUM(CP14:CP78)</f>
        <v>583</v>
      </c>
      <c r="CQ79" s="25">
        <f>+SUM(CQ14:CQ78)</f>
        <v>0</v>
      </c>
      <c r="CR79" s="25">
        <f>+SUM(CR14:CR78)</f>
        <v>583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6499.5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1496</v>
      </c>
      <c r="F3" s="79" t="s">
        <v>1</v>
      </c>
      <c r="I3" s="80">
        <f>'Programa CASETAS REPORTE DIARIO'!CN79+CH77</f>
        <v>2079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171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1496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24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356</v>
      </c>
      <c r="CJ27" s="27">
        <f t="shared" si="3"/>
        <v>356</v>
      </c>
      <c r="CK27" s="22">
        <v>0</v>
      </c>
      <c r="CL27" s="22">
        <f t="shared" si="4"/>
        <v>356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430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36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248</v>
      </c>
      <c r="CJ28" s="27">
        <f t="shared" si="3"/>
        <v>248</v>
      </c>
      <c r="CK28" s="22">
        <v>0</v>
      </c>
      <c r="CL28" s="22">
        <f t="shared" si="4"/>
        <v>248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-70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10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40</v>
      </c>
      <c r="CJ36" s="27">
        <f t="shared" si="3"/>
        <v>40</v>
      </c>
      <c r="CK36" s="22">
        <v>0</v>
      </c>
      <c r="CL36" s="22">
        <f t="shared" si="4"/>
        <v>40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12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72</v>
      </c>
      <c r="CJ43" s="27">
        <f t="shared" si="3"/>
        <v>72</v>
      </c>
      <c r="CK43" s="22">
        <v>0</v>
      </c>
      <c r="CL43" s="22">
        <f t="shared" si="4"/>
        <v>72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-52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12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181</v>
      </c>
      <c r="CJ46" s="27">
        <f t="shared" ref="CJ46:CJ76" si="11">CH46</f>
        <v>181</v>
      </c>
      <c r="CK46" s="22">
        <v>0</v>
      </c>
      <c r="CL46" s="22">
        <f t="shared" ref="CL46:CL77" si="12">CJ46+CK46</f>
        <v>181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1323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173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33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76</v>
      </c>
      <c r="CJ55" s="27">
        <f t="shared" si="11"/>
        <v>76</v>
      </c>
      <c r="CK55" s="22">
        <v>0</v>
      </c>
      <c r="CL55" s="22">
        <f t="shared" si="12"/>
        <v>76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-46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207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11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42</v>
      </c>
      <c r="CJ61" s="27">
        <f t="shared" si="11"/>
        <v>42</v>
      </c>
      <c r="CK61" s="22">
        <v>0</v>
      </c>
      <c r="CL61" s="22">
        <f t="shared" si="12"/>
        <v>42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-10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18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63</v>
      </c>
      <c r="CJ70" s="27">
        <f t="shared" si="11"/>
        <v>63</v>
      </c>
      <c r="CK70" s="22">
        <v>0</v>
      </c>
      <c r="CL70" s="22">
        <f t="shared" si="12"/>
        <v>63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-49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171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1496</v>
      </c>
      <c r="CJ77" s="25">
        <f>+SUM(CJ14:CJ76)</f>
        <v>1496</v>
      </c>
      <c r="CK77" s="25">
        <f>+SUM(CK14:CK76)</f>
        <v>0</v>
      </c>
      <c r="CL77" s="25">
        <f>+SUM(CL14:CL76)</f>
        <v>1496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7011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2026-10-28T20:30:19Z</dcterms:modified>
</cp:coreProperties>
</file>