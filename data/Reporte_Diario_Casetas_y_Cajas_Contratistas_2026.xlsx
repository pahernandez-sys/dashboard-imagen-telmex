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10ADA2A-7836-44A0-B7BF-B257A3ACF115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5" i="3" l="1"/>
  <c r="CQ74" i="3"/>
  <c r="CQ72" i="3"/>
  <c r="CQ71" i="3"/>
  <c r="CQ70" i="3"/>
  <c r="CQ68" i="3"/>
  <c r="CQ67" i="3"/>
  <c r="CQ66" i="3"/>
  <c r="CQ63" i="3"/>
  <c r="CQ62" i="3"/>
  <c r="CQ57" i="3"/>
  <c r="CQ59" i="3"/>
  <c r="CQ55" i="3"/>
  <c r="CQ53" i="3"/>
  <c r="CQ22" i="3"/>
  <c r="CW17" i="2"/>
  <c r="E24" i="1"/>
  <c r="F24" i="1" s="1"/>
  <c r="AU13" i="3"/>
  <c r="AT13" i="3"/>
  <c r="E23" i="1"/>
  <c r="F23" i="1" s="1"/>
  <c r="AS13" i="3"/>
  <c r="E22" i="1"/>
  <c r="F22" i="1" s="1"/>
  <c r="E21" i="1"/>
  <c r="F21" i="1" s="1"/>
  <c r="AR13" i="3"/>
  <c r="AQ13" i="3"/>
  <c r="E20" i="1"/>
  <c r="F20" i="1" s="1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E11" i="1"/>
  <c r="AH13" i="3"/>
  <c r="CH77" i="3"/>
  <c r="CJ20" i="3"/>
  <c r="CJ77" i="3" s="1"/>
  <c r="CP19" i="3"/>
  <c r="CO77" i="3"/>
  <c r="CQ14" i="3"/>
  <c r="CL14" i="3"/>
  <c r="D25" i="1"/>
  <c r="CV14" i="2"/>
  <c r="CU79" i="2"/>
  <c r="CN79" i="2"/>
  <c r="CP14" i="2"/>
  <c r="CQ52" i="3"/>
  <c r="CQ51" i="3"/>
  <c r="CQ50" i="3"/>
  <c r="CQ49" i="3"/>
  <c r="CQ48" i="3"/>
  <c r="CQ47" i="3"/>
  <c r="CQ46" i="3"/>
  <c r="CQ45" i="3"/>
  <c r="CQ44" i="3"/>
  <c r="CQ43" i="3"/>
  <c r="CQ42" i="3"/>
  <c r="CQ41" i="3"/>
  <c r="CQ21" i="3"/>
  <c r="CQ18" i="3"/>
  <c r="CQ17" i="3"/>
  <c r="CW76" i="2"/>
  <c r="CW75" i="2"/>
  <c r="CW73" i="2"/>
  <c r="CW72" i="2"/>
  <c r="CW71" i="2"/>
  <c r="CQ54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16" i="3"/>
  <c r="CQ15" i="3"/>
  <c r="CW77" i="2"/>
  <c r="CQ65" i="3"/>
  <c r="CQ64" i="3"/>
  <c r="CQ61" i="3"/>
  <c r="CQ60" i="3"/>
  <c r="CQ56" i="3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3" i="3"/>
  <c r="CQ69" i="3"/>
  <c r="CQ58" i="3"/>
  <c r="I3" i="2" l="1"/>
  <c r="D3" i="3"/>
  <c r="E6" i="1"/>
  <c r="CH13" i="3"/>
  <c r="CQ20" i="3"/>
  <c r="CL20" i="3"/>
  <c r="CL77" i="3" s="1"/>
  <c r="CW14" i="2"/>
  <c r="CW79" i="2" s="1"/>
  <c r="CV79" i="2"/>
  <c r="B6" i="1"/>
  <c r="I3" i="3"/>
  <c r="D3" i="2"/>
  <c r="CN13" i="2"/>
  <c r="CR14" i="2"/>
  <c r="CR79" i="2" s="1"/>
  <c r="CP79" i="2"/>
  <c r="E25" i="1"/>
  <c r="F11" i="1"/>
  <c r="CQ19" i="3"/>
  <c r="CQ77" i="3" s="1"/>
  <c r="CP77" i="3"/>
  <c r="H6" i="1" l="1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<sst xmlns="http://schemas.openxmlformats.org/spreadsheetml/2006/main" count="592" uniqueCount="176">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</sst>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1035</v>
      </c>
      <c r="C6" s="89"/>
      <c r="E6" s="88">
        <f>'Programa CAJAS REPORTE DIARIO'!CH77</f>
        <v>3064</v>
      </c>
      <c r="F6" s="89"/>
      <c r="H6" s="101">
        <f>B6+E6</f>
        <v>4099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127</v>
      </c>
      <c r="E24" s="72">
        <f>'Programa CAJAS REPORTE DIARIO'!AU77</f>
        <v>589</v>
      </c>
      <c r="F24" s="72">
        <f t="shared" si="0"/>
        <v>716</v>
      </c>
      <c r="G24" s="72">
        <f t="shared" si="1"/>
        <v>4099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1035</v>
      </c>
      <c r="E25" s="75">
        <f>SUM(E11:E24)</f>
        <v>3064</v>
      </c>
      <c r="F25" s="75">
        <f>SUM(F11:F24)</f>
        <v>4099</v>
      </c>
      <c r="G25" s="75">
        <f>F25</f>
        <v>4099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1035</v>
      </c>
      <c r="F3" s="79" t="s">
        <v>1</v>
      </c>
      <c r="I3" s="80">
        <f>'Programa CAJAS REPORTE DIARIO'!CH77+CN79</f>
        <v>4099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127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1035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14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214</v>
      </c>
      <c r="CP27" s="27">
        <f t="shared" si="4"/>
        <v>214</v>
      </c>
      <c r="CQ27" s="22">
        <v>0</v>
      </c>
      <c r="CR27" s="22">
        <f t="shared" si="5"/>
        <v>214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18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131</v>
      </c>
      <c r="CP29" s="27">
        <f t="shared" si="4"/>
        <v>131</v>
      </c>
      <c r="CQ29" s="22">
        <v>0</v>
      </c>
      <c r="CR29" s="22">
        <f t="shared" si="5"/>
        <v>131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40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173</v>
      </c>
      <c r="CP42" s="27">
        <f t="shared" si="4"/>
        <v>173</v>
      </c>
      <c r="CQ42" s="22">
        <v>0</v>
      </c>
      <c r="CR42" s="22">
        <f t="shared" si="5"/>
        <v>173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47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109</v>
      </c>
      <c r="CP56" s="27">
        <f t="shared" si="11"/>
        <v>109</v>
      </c>
      <c r="CQ56" s="22">
        <v>0</v>
      </c>
      <c r="CR56" s="22">
        <f t="shared" si="12"/>
        <v>109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127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1035</v>
      </c>
      <c r="CP79" s="25">
        <f>+SUM(CP14:CP78)</f>
        <v>1035</v>
      </c>
      <c r="CQ79" s="25">
        <f>+SUM(CQ14:CQ78)</f>
        <v>0</v>
      </c>
      <c r="CR79" s="25">
        <f>+SUM(CR14:CR78)</f>
        <v>1035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6231.5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3064</v>
      </c>
      <c r="F3" s="79" t="s">
        <v>1</v>
      </c>
      <c r="I3" s="80">
        <f>'Programa CASETAS REPORTE DIARIO'!CN79+CH77</f>
        <v>4099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589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3064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46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483</v>
      </c>
      <c r="CJ27" s="27">
        <f t="shared" si="3"/>
        <v>483</v>
      </c>
      <c r="CK27" s="22">
        <v>0</v>
      </c>
      <c r="CL27" s="22">
        <f t="shared" si="4"/>
        <v>483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351</v>
      </c>
      <c r="CJ28" s="27">
        <f t="shared" si="3"/>
        <v>351</v>
      </c>
      <c r="CK28" s="22">
        <v>0</v>
      </c>
      <c r="CL28" s="22">
        <f t="shared" si="4"/>
        <v>351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30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135</v>
      </c>
      <c r="CJ29" s="27">
        <f t="shared" si="3"/>
        <v>135</v>
      </c>
      <c r="CK29" s="22">
        <v>0</v>
      </c>
      <c r="CL29" s="22">
        <f t="shared" si="4"/>
        <v>135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109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195</v>
      </c>
      <c r="CJ37" s="27">
        <f t="shared" si="3"/>
        <v>195</v>
      </c>
      <c r="CK37" s="22">
        <v>0</v>
      </c>
      <c r="CL37" s="22">
        <f t="shared" si="4"/>
        <v>195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380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39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98</v>
      </c>
      <c r="CJ41" s="27">
        <f t="shared" si="3"/>
        <v>98</v>
      </c>
      <c r="CK41" s="22">
        <v>0</v>
      </c>
      <c r="CL41" s="22">
        <f t="shared" si="4"/>
        <v>98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482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229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402</v>
      </c>
      <c r="CJ53" s="27">
        <f t="shared" si="11"/>
        <v>402</v>
      </c>
      <c r="CK53" s="22">
        <v>0</v>
      </c>
      <c r="CL53" s="22">
        <f t="shared" si="12"/>
        <v>402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-334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19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102</v>
      </c>
      <c r="CJ55" s="27">
        <f t="shared" si="11"/>
        <v>102</v>
      </c>
      <c r="CK55" s="22">
        <v>0</v>
      </c>
      <c r="CL55" s="22">
        <f t="shared" si="12"/>
        <v>102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2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70</v>
      </c>
      <c r="CJ61" s="27">
        <f t="shared" si="11"/>
        <v>70</v>
      </c>
      <c r="CK61" s="22">
        <v>0</v>
      </c>
      <c r="CL61" s="22">
        <f t="shared" si="12"/>
        <v>70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589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3064</v>
      </c>
      <c r="CJ77" s="25">
        <f>+SUM(CJ14:CJ76)</f>
        <v>3064</v>
      </c>
      <c r="CK77" s="25">
        <f>+SUM(CK14:CK76)</f>
        <v>0</v>
      </c>
      <c r="CL77" s="25">
        <f>+SUM(CL14:CL76)</f>
        <v>3064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8330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2026-10-30T21:32:54Z</dcterms:modified>
</cp:coreProperties>
</file>