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60E9B2F5-91BF-40E1-B261-CEDE5E84EF99}" xr6:coauthVersionLast="47" xr6:coauthVersionMax="47" xr10:uidLastSave="{00000000-0000-0000-0000-000000000000}"/>
  <bookViews>
    <workbookView xWindow="2124" yWindow="2280" windowWidth="7296" windowHeight="6480" firstSheet="1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G13" i="3" s="1"/>
  <c r="CF77" i="3"/>
  <c r="CF13" i="3" s="1"/>
  <c r="CE77" i="3"/>
  <c r="CE13" i="3" s="1"/>
  <c r="CD77" i="3"/>
  <c r="CD13" i="3" s="1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T77" i="3"/>
  <c r="AT13" i="3" s="1"/>
  <c r="AS77" i="3"/>
  <c r="AS13" i="3" s="1"/>
  <c r="AR77" i="3"/>
  <c r="AR13" i="3" s="1"/>
  <c r="AQ77" i="3"/>
  <c r="AQ13" i="3" s="1"/>
  <c r="AP77" i="3"/>
  <c r="AP13" i="3" s="1"/>
  <c r="AO77" i="3"/>
  <c r="AO13" i="3" s="1"/>
  <c r="AN77" i="3"/>
  <c r="AN13" i="3" s="1"/>
  <c r="AM77" i="3"/>
  <c r="AM13" i="3" s="1"/>
  <c r="AL77" i="3"/>
  <c r="AL13" i="3" s="1"/>
  <c r="AK77" i="3"/>
  <c r="AK13" i="3" s="1"/>
  <c r="AJ77" i="3"/>
  <c r="AJ13" i="3" s="1"/>
  <c r="AI77" i="3"/>
  <c r="AI13" i="3" s="1"/>
  <c r="AH77" i="3"/>
  <c r="AH13" i="3" s="1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 s="1"/>
  <c r="CP76" i="3" s="1"/>
  <c r="CH76" i="3"/>
  <c r="CJ76" i="3" s="1"/>
  <c r="CL76" i="3" s="1"/>
  <c r="DC75" i="3"/>
  <c r="CO75" i="3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 s="1"/>
  <c r="CP73" i="3" s="1"/>
  <c r="CH73" i="3"/>
  <c r="CJ73" i="3" s="1"/>
  <c r="CL73" i="3" s="1"/>
  <c r="DC72" i="3"/>
  <c r="CO72" i="3" s="1"/>
  <c r="CP72" i="3" s="1"/>
  <c r="CH72" i="3"/>
  <c r="CJ72" i="3" s="1"/>
  <c r="CL72" i="3" s="1"/>
  <c r="DC71" i="3"/>
  <c r="CO71" i="3" s="1"/>
  <c r="CP71" i="3" s="1"/>
  <c r="CH71" i="3"/>
  <c r="CJ71" i="3" s="1"/>
  <c r="CL71" i="3" s="1"/>
  <c r="DC70" i="3"/>
  <c r="CO70" i="3" s="1"/>
  <c r="CP70" i="3" s="1"/>
  <c r="CH70" i="3"/>
  <c r="CJ70" i="3" s="1"/>
  <c r="CL70" i="3" s="1"/>
  <c r="DC69" i="3"/>
  <c r="CO69" i="3" s="1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 s="1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O60" i="3"/>
  <c r="CP60" i="3" s="1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 s="1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 s="1"/>
  <c r="CP49" i="3" s="1"/>
  <c r="CH49" i="3"/>
  <c r="CJ49" i="3" s="1"/>
  <c r="CL49" i="3" s="1"/>
  <c r="DC48" i="3"/>
  <c r="CO48" i="3" s="1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 s="1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 s="1"/>
  <c r="CP44" i="3" s="1"/>
  <c r="CQ44" i="3" s="1"/>
  <c r="CH44" i="3"/>
  <c r="CJ44" i="3" s="1"/>
  <c r="CL44" i="3" s="1"/>
  <c r="DC43" i="3"/>
  <c r="CP43" i="3"/>
  <c r="CH43" i="3"/>
  <c r="CJ43" i="3" s="1"/>
  <c r="CL43" i="3" s="1"/>
  <c r="DC42" i="3"/>
  <c r="CO42" i="3" s="1"/>
  <c r="CP42" i="3" s="1"/>
  <c r="CH42" i="3"/>
  <c r="CJ42" i="3" s="1"/>
  <c r="CL42" i="3" s="1"/>
  <c r="DC41" i="3"/>
  <c r="CO41" i="3" s="1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 s="1"/>
  <c r="CP39" i="3" s="1"/>
  <c r="CH39" i="3"/>
  <c r="CJ39" i="3" s="1"/>
  <c r="CL39" i="3" s="1"/>
  <c r="DC38" i="3"/>
  <c r="CO38" i="3" s="1"/>
  <c r="CP38" i="3" s="1"/>
  <c r="CH38" i="3"/>
  <c r="CJ38" i="3" s="1"/>
  <c r="CL38" i="3" s="1"/>
  <c r="DC37" i="3"/>
  <c r="CO37" i="3" s="1"/>
  <c r="CP37" i="3" s="1"/>
  <c r="CH37" i="3"/>
  <c r="CJ37" i="3" s="1"/>
  <c r="CL37" i="3" s="1"/>
  <c r="DC36" i="3"/>
  <c r="CO36" i="3" s="1"/>
  <c r="CP36" i="3" s="1"/>
  <c r="CH36" i="3"/>
  <c r="CJ36" i="3" s="1"/>
  <c r="CL36" i="3" s="1"/>
  <c r="DC35" i="3"/>
  <c r="CO35" i="3" s="1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 s="1"/>
  <c r="CP33" i="3" s="1"/>
  <c r="CH33" i="3"/>
  <c r="DC32" i="3"/>
  <c r="CO32" i="3" s="1"/>
  <c r="CP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 s="1"/>
  <c r="CP30" i="3" s="1"/>
  <c r="CH30" i="3"/>
  <c r="CJ30" i="3" s="1"/>
  <c r="CL30" i="3" s="1"/>
  <c r="DC29" i="3"/>
  <c r="CO29" i="3"/>
  <c r="CP29" i="3" s="1"/>
  <c r="CH29" i="3"/>
  <c r="CJ29" i="3" s="1"/>
  <c r="CL29" i="3" s="1"/>
  <c r="DC28" i="3"/>
  <c r="CO28" i="3"/>
  <c r="CP28" i="3" s="1"/>
  <c r="CH28" i="3"/>
  <c r="CJ28" i="3" s="1"/>
  <c r="CL28" i="3" s="1"/>
  <c r="DC27" i="3"/>
  <c r="CO27" i="3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/>
  <c r="CP25" i="3" s="1"/>
  <c r="CH25" i="3"/>
  <c r="CJ25" i="3" s="1"/>
  <c r="CL25" i="3" s="1"/>
  <c r="DC24" i="3"/>
  <c r="CO24" i="3"/>
  <c r="CP24" i="3" s="1"/>
  <c r="CH24" i="3"/>
  <c r="CJ24" i="3" s="1"/>
  <c r="CL24" i="3" s="1"/>
  <c r="DC23" i="3"/>
  <c r="CO23" i="3"/>
  <c r="CP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/>
  <c r="CP21" i="3" s="1"/>
  <c r="CH21" i="3"/>
  <c r="CJ21" i="3" s="1"/>
  <c r="CL21" i="3" s="1"/>
  <c r="DC20" i="3"/>
  <c r="CO20" i="3"/>
  <c r="CP20" i="3" s="1"/>
  <c r="CH20" i="3"/>
  <c r="CJ20" i="3" s="1"/>
  <c r="CL20" i="3" s="1"/>
  <c r="DC19" i="3"/>
  <c r="CO19" i="3"/>
  <c r="CH19" i="3"/>
  <c r="CJ19" i="3" s="1"/>
  <c r="CL19" i="3" s="1"/>
  <c r="DC18" i="3"/>
  <c r="CO18" i="3"/>
  <c r="CP18" i="3" s="1"/>
  <c r="CH18" i="3"/>
  <c r="CJ18" i="3" s="1"/>
  <c r="CL18" i="3" s="1"/>
  <c r="DC17" i="3"/>
  <c r="CO17" i="3"/>
  <c r="CP17" i="3" s="1"/>
  <c r="CH17" i="3"/>
  <c r="CJ17" i="3" s="1"/>
  <c r="CL17" i="3" s="1"/>
  <c r="DC16" i="3"/>
  <c r="CO16" i="3"/>
  <c r="CP16" i="3" s="1"/>
  <c r="CH16" i="3"/>
  <c r="CJ16" i="3" s="1"/>
  <c r="CL16" i="3" s="1"/>
  <c r="DC15" i="3"/>
  <c r="CO15" i="3"/>
  <c r="CP15" i="3" s="1"/>
  <c r="CH15" i="3"/>
  <c r="CJ15" i="3" s="1"/>
  <c r="CL15" i="3" s="1"/>
  <c r="DC14" i="3"/>
  <c r="CO14" i="3"/>
  <c r="CP14" i="3" s="1"/>
  <c r="CH14" i="3"/>
  <c r="CJ14" i="3" s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D13" i="2" s="1"/>
  <c r="BC79" i="2"/>
  <c r="BC13" i="2" s="1"/>
  <c r="BB79" i="2"/>
  <c r="BB13" i="2" s="1"/>
  <c r="BA79" i="2"/>
  <c r="BA13" i="2" s="1"/>
  <c r="AZ79" i="2"/>
  <c r="AZ13" i="2" s="1"/>
  <c r="AY79" i="2"/>
  <c r="AY13" i="2" s="1"/>
  <c r="AX79" i="2"/>
  <c r="AX13" i="2" s="1"/>
  <c r="AW79" i="2"/>
  <c r="AW13" i="2" s="1"/>
  <c r="AV79" i="2"/>
  <c r="AV13" i="2" s="1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N79" i="2"/>
  <c r="AM79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 s="1"/>
  <c r="CV78" i="2" s="1"/>
  <c r="CN78" i="2"/>
  <c r="CP78" i="2" s="1"/>
  <c r="CR78" i="2" s="1"/>
  <c r="DD77" i="2"/>
  <c r="CU77" i="2" s="1"/>
  <c r="CV77" i="2" s="1"/>
  <c r="CN77" i="2"/>
  <c r="CP77" i="2" s="1"/>
  <c r="CR77" i="2" s="1"/>
  <c r="DD76" i="2"/>
  <c r="CU76" i="2" s="1"/>
  <c r="CV76" i="2" s="1"/>
  <c r="CN76" i="2"/>
  <c r="DD75" i="2"/>
  <c r="CU75" i="2" s="1"/>
  <c r="CV75" i="2" s="1"/>
  <c r="CN75" i="2"/>
  <c r="CP75" i="2" s="1"/>
  <c r="CR75" i="2" s="1"/>
  <c r="DD74" i="2"/>
  <c r="CU74" i="2" s="1"/>
  <c r="CV74" i="2" s="1"/>
  <c r="CN74" i="2"/>
  <c r="CP74" i="2" s="1"/>
  <c r="CR74" i="2" s="1"/>
  <c r="DD73" i="2"/>
  <c r="CU73" i="2"/>
  <c r="CV73" i="2" s="1"/>
  <c r="CN73" i="2"/>
  <c r="CP73" i="2" s="1"/>
  <c r="CR73" i="2" s="1"/>
  <c r="DD72" i="2"/>
  <c r="CU72" i="2"/>
  <c r="CV72" i="2" s="1"/>
  <c r="CN72" i="2"/>
  <c r="CP72" i="2" s="1"/>
  <c r="CR72" i="2" s="1"/>
  <c r="DD71" i="2"/>
  <c r="CU71" i="2" s="1"/>
  <c r="CV71" i="2" s="1"/>
  <c r="CN71" i="2"/>
  <c r="CP71" i="2" s="1"/>
  <c r="CR71" i="2" s="1"/>
  <c r="DD70" i="2"/>
  <c r="CU70" i="2"/>
  <c r="CV70" i="2" s="1"/>
  <c r="CN70" i="2"/>
  <c r="CP70" i="2" s="1"/>
  <c r="CR70" i="2" s="1"/>
  <c r="DD69" i="2"/>
  <c r="CU69" i="2"/>
  <c r="CV69" i="2" s="1"/>
  <c r="CN69" i="2"/>
  <c r="CP69" i="2" s="1"/>
  <c r="CR69" i="2" s="1"/>
  <c r="DD68" i="2"/>
  <c r="CU68" i="2" s="1"/>
  <c r="CV68" i="2" s="1"/>
  <c r="CN68" i="2"/>
  <c r="CP68" i="2" s="1"/>
  <c r="CR68" i="2" s="1"/>
  <c r="DD67" i="2"/>
  <c r="CU67" i="2" s="1"/>
  <c r="CV67" i="2" s="1"/>
  <c r="CN67" i="2"/>
  <c r="CP67" i="2" s="1"/>
  <c r="CR67" i="2" s="1"/>
  <c r="DD66" i="2"/>
  <c r="CU66" i="2" s="1"/>
  <c r="CV66" i="2" s="1"/>
  <c r="CN66" i="2"/>
  <c r="CP66" i="2" s="1"/>
  <c r="CR66" i="2" s="1"/>
  <c r="DD65" i="2"/>
  <c r="CU65" i="2"/>
  <c r="CV65" i="2" s="1"/>
  <c r="CN65" i="2"/>
  <c r="CP65" i="2" s="1"/>
  <c r="CR65" i="2" s="1"/>
  <c r="DD64" i="2"/>
  <c r="CU64" i="2"/>
  <c r="CV64" i="2" s="1"/>
  <c r="CN64" i="2"/>
  <c r="CP64" i="2" s="1"/>
  <c r="CR64" i="2" s="1"/>
  <c r="DD63" i="2"/>
  <c r="CU63" i="2"/>
  <c r="CV63" i="2" s="1"/>
  <c r="CN63" i="2"/>
  <c r="CP63" i="2" s="1"/>
  <c r="CR63" i="2" s="1"/>
  <c r="DD62" i="2"/>
  <c r="CU62" i="2" s="1"/>
  <c r="CV62" i="2" s="1"/>
  <c r="CN62" i="2"/>
  <c r="CP62" i="2" s="1"/>
  <c r="CR62" i="2" s="1"/>
  <c r="DD61" i="2"/>
  <c r="CU61" i="2"/>
  <c r="CV61" i="2" s="1"/>
  <c r="CN61" i="2"/>
  <c r="CP61" i="2" s="1"/>
  <c r="CR61" i="2" s="1"/>
  <c r="DD60" i="2"/>
  <c r="CU60" i="2" s="1"/>
  <c r="CV60" i="2" s="1"/>
  <c r="CN60" i="2"/>
  <c r="CP60" i="2" s="1"/>
  <c r="CR60" i="2" s="1"/>
  <c r="DD59" i="2"/>
  <c r="CU59" i="2"/>
  <c r="CV59" i="2" s="1"/>
  <c r="CN59" i="2"/>
  <c r="CP59" i="2" s="1"/>
  <c r="CR59" i="2" s="1"/>
  <c r="DD58" i="2"/>
  <c r="CU58" i="2" s="1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/>
  <c r="CV56" i="2" s="1"/>
  <c r="CN56" i="2"/>
  <c r="CP56" i="2" s="1"/>
  <c r="CR56" i="2" s="1"/>
  <c r="DD55" i="2"/>
  <c r="CU55" i="2"/>
  <c r="CV55" i="2" s="1"/>
  <c r="CN55" i="2"/>
  <c r="CP55" i="2" s="1"/>
  <c r="CR55" i="2" s="1"/>
  <c r="DD54" i="2"/>
  <c r="CU54" i="2"/>
  <c r="CV54" i="2" s="1"/>
  <c r="CN54" i="2"/>
  <c r="CP54" i="2" s="1"/>
  <c r="CR54" i="2" s="1"/>
  <c r="DD53" i="2"/>
  <c r="CU53" i="2"/>
  <c r="CV53" i="2" s="1"/>
  <c r="CN53" i="2"/>
  <c r="CP53" i="2" s="1"/>
  <c r="CR53" i="2" s="1"/>
  <c r="DD52" i="2"/>
  <c r="CU52" i="2"/>
  <c r="CV52" i="2" s="1"/>
  <c r="CN52" i="2"/>
  <c r="CP52" i="2" s="1"/>
  <c r="CR52" i="2" s="1"/>
  <c r="DD51" i="2"/>
  <c r="CU51" i="2"/>
  <c r="CV51" i="2" s="1"/>
  <c r="CN51" i="2"/>
  <c r="CP51" i="2" s="1"/>
  <c r="CR51" i="2" s="1"/>
  <c r="DD50" i="2"/>
  <c r="CU50" i="2"/>
  <c r="CV50" i="2" s="1"/>
  <c r="CN50" i="2"/>
  <c r="CP50" i="2" s="1"/>
  <c r="CR50" i="2" s="1"/>
  <c r="DD49" i="2"/>
  <c r="CU49" i="2"/>
  <c r="CV49" i="2" s="1"/>
  <c r="CN49" i="2"/>
  <c r="CP49" i="2" s="1"/>
  <c r="CR49" i="2" s="1"/>
  <c r="DD48" i="2"/>
  <c r="CU48" i="2"/>
  <c r="CV48" i="2" s="1"/>
  <c r="CN48" i="2"/>
  <c r="CP48" i="2" s="1"/>
  <c r="CR48" i="2" s="1"/>
  <c r="DD47" i="2"/>
  <c r="CU47" i="2"/>
  <c r="CV47" i="2" s="1"/>
  <c r="CN47" i="2"/>
  <c r="CP47" i="2" s="1"/>
  <c r="CR47" i="2" s="1"/>
  <c r="DD46" i="2"/>
  <c r="CU46" i="2"/>
  <c r="CV46" i="2" s="1"/>
  <c r="CN46" i="2"/>
  <c r="CP46" i="2" s="1"/>
  <c r="CR46" i="2" s="1"/>
  <c r="DD45" i="2"/>
  <c r="CU45" i="2"/>
  <c r="CV45" i="2" s="1"/>
  <c r="CN45" i="2"/>
  <c r="CP45" i="2" s="1"/>
  <c r="CR45" i="2" s="1"/>
  <c r="DD44" i="2"/>
  <c r="CU44" i="2"/>
  <c r="CV44" i="2" s="1"/>
  <c r="CN44" i="2"/>
  <c r="CP44" i="2" s="1"/>
  <c r="CR44" i="2" s="1"/>
  <c r="DD43" i="2"/>
  <c r="CU43" i="2"/>
  <c r="CV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/>
  <c r="CV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 s="1"/>
  <c r="CN30" i="2"/>
  <c r="CP30" i="2" s="1"/>
  <c r="CR30" i="2" s="1"/>
  <c r="DD29" i="2"/>
  <c r="CU29" i="2"/>
  <c r="CV29" i="2" s="1"/>
  <c r="CN29" i="2"/>
  <c r="CP29" i="2" s="1"/>
  <c r="CR29" i="2" s="1"/>
  <c r="DD28" i="2"/>
  <c r="CU28" i="2" s="1"/>
  <c r="CV28" i="2" s="1"/>
  <c r="CN28" i="2"/>
  <c r="CP28" i="2" s="1"/>
  <c r="CR28" i="2" s="1"/>
  <c r="DD27" i="2"/>
  <c r="CU27" i="2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 s="1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/>
  <c r="CV21" i="2" s="1"/>
  <c r="CN21" i="2"/>
  <c r="CP21" i="2" s="1"/>
  <c r="CR21" i="2" s="1"/>
  <c r="DD20" i="2"/>
  <c r="CU20" i="2"/>
  <c r="CV20" i="2" s="1"/>
  <c r="CN20" i="2"/>
  <c r="CP20" i="2" s="1"/>
  <c r="CR20" i="2" s="1"/>
  <c r="DD19" i="2"/>
  <c r="CU19" i="2"/>
  <c r="CV19" i="2" s="1"/>
  <c r="CN19" i="2"/>
  <c r="CP19" i="2" s="1"/>
  <c r="CR19" i="2" s="1"/>
  <c r="DD18" i="2"/>
  <c r="CU18" i="2"/>
  <c r="CV18" i="2" s="1"/>
  <c r="CN18" i="2"/>
  <c r="CP18" i="2" s="1"/>
  <c r="CR18" i="2" s="1"/>
  <c r="DD17" i="2"/>
  <c r="CU17" i="2"/>
  <c r="CV17" i="2" s="1"/>
  <c r="CN17" i="2"/>
  <c r="CP17" i="2" s="1"/>
  <c r="CR17" i="2" s="1"/>
  <c r="DD16" i="2"/>
  <c r="CU16" i="2" s="1"/>
  <c r="CV16" i="2" s="1"/>
  <c r="CN16" i="2"/>
  <c r="CP16" i="2" s="1"/>
  <c r="CR16" i="2" s="1"/>
  <c r="DD15" i="2"/>
  <c r="CU15" i="2" s="1"/>
  <c r="CV15" i="2" s="1"/>
  <c r="CN15" i="2"/>
  <c r="CP15" i="2" s="1"/>
  <c r="CR15" i="2" s="1"/>
  <c r="DD14" i="2"/>
  <c r="CU14" i="2" s="1"/>
  <c r="CV14" i="2" s="1"/>
  <c r="CN14" i="2"/>
  <c r="CP14" i="2" s="1"/>
  <c r="CQ55" i="3" l="1"/>
  <c r="CQ71" i="3"/>
  <c r="CQ63" i="3"/>
  <c r="CQ59" i="3"/>
  <c r="CQ47" i="3"/>
  <c r="CQ46" i="3"/>
  <c r="CQ41" i="3"/>
  <c r="CW29" i="2"/>
  <c r="CW25" i="2"/>
  <c r="CW24" i="2"/>
  <c r="CW22" i="2"/>
  <c r="CW21" i="2"/>
  <c r="AU13" i="3"/>
  <c r="E24" i="1"/>
  <c r="E25" i="1" s="1"/>
  <c r="D24" i="1"/>
  <c r="AO13" i="2"/>
  <c r="D23" i="1"/>
  <c r="F23" i="1" s="1"/>
  <c r="AN13" i="2"/>
  <c r="D22" i="1"/>
  <c r="F22" i="1" s="1"/>
  <c r="AM13" i="2"/>
  <c r="AL13" i="2"/>
  <c r="D21" i="1"/>
  <c r="F21" i="1" s="1"/>
  <c r="D20" i="1"/>
  <c r="F20" i="1" s="1"/>
  <c r="AK13" i="2"/>
  <c r="D19" i="1"/>
  <c r="F19" i="1" s="1"/>
  <c r="AJ13" i="2"/>
  <c r="D18" i="1"/>
  <c r="F18" i="1" s="1"/>
  <c r="AI13" i="2"/>
  <c r="D17" i="1"/>
  <c r="F17" i="1" s="1"/>
  <c r="AH13" i="2"/>
  <c r="D16" i="1"/>
  <c r="F16" i="1" s="1"/>
  <c r="AG13" i="2"/>
  <c r="AF13" i="2"/>
  <c r="D15" i="1"/>
  <c r="F15" i="1" s="1"/>
  <c r="AE13" i="2"/>
  <c r="D14" i="1"/>
  <c r="F14" i="1" s="1"/>
  <c r="AD13" i="2"/>
  <c r="D13" i="1"/>
  <c r="F13" i="1" s="1"/>
  <c r="AC13" i="2"/>
  <c r="D12" i="1"/>
  <c r="F12" i="1" s="1"/>
  <c r="D11" i="1"/>
  <c r="AB13" i="2"/>
  <c r="CP76" i="2"/>
  <c r="CR76" i="2" s="1"/>
  <c r="CN79" i="2"/>
  <c r="CH77" i="3"/>
  <c r="I3" i="3" s="1"/>
  <c r="CJ33" i="3"/>
  <c r="CJ77" i="3" s="1"/>
  <c r="CO77" i="3"/>
  <c r="CP19" i="3"/>
  <c r="CQ19" i="3" s="1"/>
  <c r="CQ14" i="3"/>
  <c r="CP77" i="3"/>
  <c r="CL14" i="3"/>
  <c r="F11" i="1"/>
  <c r="D25" i="1"/>
  <c r="B6" i="1"/>
  <c r="D3" i="2"/>
  <c r="CN13" i="2"/>
  <c r="CV30" i="2"/>
  <c r="CW30" i="2" s="1"/>
  <c r="CU79" i="2"/>
  <c r="CW14" i="2"/>
  <c r="CV79" i="2"/>
  <c r="CR14" i="2"/>
  <c r="CR79" i="2" s="1"/>
  <c r="CP79" i="2"/>
  <c r="CQ76" i="3"/>
  <c r="CQ75" i="3"/>
  <c r="CQ74" i="3"/>
  <c r="CQ73" i="3"/>
  <c r="CQ72" i="3"/>
  <c r="CQ70" i="3"/>
  <c r="CQ69" i="3"/>
  <c r="CQ68" i="3"/>
  <c r="CQ62" i="3"/>
  <c r="CQ61" i="3"/>
  <c r="CQ60" i="3"/>
  <c r="CQ58" i="3"/>
  <c r="CQ57" i="3"/>
  <c r="CQ53" i="3"/>
  <c r="CQ45" i="3"/>
  <c r="CQ40" i="3"/>
  <c r="CQ39" i="3"/>
  <c r="CQ38" i="3"/>
  <c r="CQ37" i="3"/>
  <c r="CQ36" i="3"/>
  <c r="CQ35" i="3"/>
  <c r="CQ34" i="3"/>
  <c r="CQ32" i="3"/>
  <c r="CQ31" i="3"/>
  <c r="CQ30" i="3"/>
  <c r="CQ29" i="3"/>
  <c r="CQ28" i="3"/>
  <c r="CQ27" i="3"/>
  <c r="CQ26" i="3"/>
  <c r="CQ25" i="3"/>
  <c r="CQ24" i="3"/>
  <c r="CQ23" i="3"/>
  <c r="CQ22" i="3"/>
  <c r="CQ21" i="3"/>
  <c r="CQ20" i="3"/>
  <c r="CQ18" i="3"/>
  <c r="CQ17" i="3"/>
  <c r="CQ16" i="3"/>
  <c r="CQ15" i="3"/>
  <c r="CW78" i="2"/>
  <c r="CW77" i="2"/>
  <c r="CW76" i="2"/>
  <c r="CW75" i="2"/>
  <c r="CW74" i="2"/>
  <c r="CW49" i="2"/>
  <c r="CW48" i="2"/>
  <c r="CW73" i="2"/>
  <c r="CW72" i="2"/>
  <c r="CW71" i="2"/>
  <c r="CW70" i="2"/>
  <c r="CW69" i="2"/>
  <c r="CW68" i="2"/>
  <c r="CW67" i="2"/>
  <c r="CW66" i="2"/>
  <c r="CW65" i="2"/>
  <c r="CW64" i="2"/>
  <c r="CW63" i="2"/>
  <c r="CW62" i="2"/>
  <c r="CW61" i="2"/>
  <c r="CW60" i="2"/>
  <c r="CW59" i="2"/>
  <c r="CW58" i="2"/>
  <c r="CW57" i="2"/>
  <c r="CW56" i="2"/>
  <c r="CW55" i="2"/>
  <c r="CW54" i="2"/>
  <c r="CW53" i="2"/>
  <c r="CW52" i="2"/>
  <c r="CW51" i="2"/>
  <c r="CW50" i="2"/>
  <c r="CQ50" i="3"/>
  <c r="CQ49" i="3"/>
  <c r="CQ48" i="3"/>
  <c r="CQ42" i="3"/>
  <c r="CW47" i="2"/>
  <c r="CW46" i="2"/>
  <c r="CW45" i="2"/>
  <c r="CW44" i="2"/>
  <c r="CW43" i="2"/>
  <c r="CW42" i="2"/>
  <c r="CW41" i="2"/>
  <c r="CW40" i="2"/>
  <c r="CW39" i="2"/>
  <c r="CW38" i="2"/>
  <c r="CW37" i="2"/>
  <c r="CW36" i="2"/>
  <c r="CW35" i="2"/>
  <c r="CW32" i="2"/>
  <c r="CW28" i="2"/>
  <c r="CW27" i="2"/>
  <c r="CW26" i="2"/>
  <c r="CW23" i="2"/>
  <c r="CQ43" i="3"/>
  <c r="CW34" i="2"/>
  <c r="CW33" i="2"/>
  <c r="CW31" i="2"/>
  <c r="CW20" i="2"/>
  <c r="CW19" i="2"/>
  <c r="CW18" i="2"/>
  <c r="CW17" i="2"/>
  <c r="CW16" i="2"/>
  <c r="CW15" i="2"/>
  <c r="CQ67" i="3"/>
  <c r="CQ66" i="3"/>
  <c r="CQ65" i="3"/>
  <c r="CQ64" i="3"/>
  <c r="CQ56" i="3"/>
  <c r="CQ54" i="3"/>
  <c r="CQ52" i="3"/>
  <c r="CQ51" i="3"/>
  <c r="F24" i="1" l="1"/>
  <c r="D3" i="3"/>
  <c r="CH13" i="3"/>
  <c r="E6" i="1"/>
  <c r="H6" i="1" s="1"/>
  <c r="I3" i="2"/>
  <c r="CQ33" i="3"/>
  <c r="CQ77" i="3" s="1"/>
  <c r="CL33" i="3"/>
  <c r="CL77" i="3" s="1"/>
  <c r="F25" i="1"/>
  <c r="G25" i="1" s="1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G24" i="1" s="1"/>
  <c r="CW79" i="2"/>
</calcChain>
</file>

<file path=xl/sharedStrings.xml><?xml version="1.0" encoding="utf-8"?>
<sst xmlns="http://schemas.openxmlformats.org/spreadsheetml/2006/main" count="592" uniqueCount="176">
  <si>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</si>
  <si>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</si>
  <si>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</si>
  <si>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</si>
  <si>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</si>
  <si>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</si>
  <si>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</si>
  <si>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</si>
  <si>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</si>
  <si>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</si>
  <si>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</si>
  <si>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</si>
  <si>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</si>
  <si>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</si>
  <si>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</si>
  <si>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</si>
  <si>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</si>
  <si>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</si>
  <si>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</si>
  <si>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</si>
  <si>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</si>
  <si>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</si>
  <si>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</si>
  <si>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</si>
  <si>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</si>
  <si>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</si>
  <si>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</si>
  <si>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</si>
  <si>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</si>
  <si>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</si>
  <si>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</si>
  <si>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</si>
  <si>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</si>
  <si>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</si>
  <si>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</si>
  <si>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</si>
  <si>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</si>
  <si>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</si>
  <si>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</si>
  <si>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</si>
  <si>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</si>
  <si>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</si>
  <si>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</si>
  <si>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</si>
  <si>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</si>
  <si>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</si>
  <si>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</si>
  <si>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</si>
  <si>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</si>
  <si>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</si>
  <si>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</si>
  <si>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</si>
  <si>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</si>
  <si>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</si>
  <si>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</si>
  <si>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</si>
  <si>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</si>
  <si>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</si>
  <si>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</si>
  <si>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</si>
  <si>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</si>
  <si>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</si>
  <si>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</si>
  <si>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</si>
  <si>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</si>
  <si>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</si>
  <si>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</si>
  <si>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</si>
  <si>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</si>
  <si>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</si>
  <si>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</si>
  <si>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</si>
  <si>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</si>
  <si>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</si>
  <si>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</si>
  <si>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</si>
  <si>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</si>
  <si>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</si>
  <si>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</si>
  <si>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</si>
  <si>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</si>
  <si>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</si>
  <si>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</si>
  <si>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</si>
  <si>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</si>
  <si>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</si>
  <si>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</si>
  <si>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</si>
  <si>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</si>
  <si>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</si>
  <si>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</si>
  <si>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</si>
  <si>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</si>
  <si>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</si>
  <si>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</si>
  <si>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</si>
  <si>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</si>
  <si>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</si>
  <si>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</si>
  <si>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</si>
  <si>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</si>
  <si>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</si>
  <si>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</si>
  <si>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</si>
  <si>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</si>
  <si>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</si>
  <si>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</si>
  <si>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</si>
  <si>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</si>
  <si>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</si>
  <si>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</si>
  <si>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</si>
  <si>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(30/10/2026, 14:23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</si>
  <si>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</si>
  <si>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</si>
  <si>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</si>
  <si>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</si>
  <si>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</si>
  <si>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</si>
  <si>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</si>
  <si>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</si>
  <si>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</si>
  <si>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</si>
  <si>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</si>
  <si>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</si>
  <si>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</si>
  <si>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</si>
  <si>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</si>
  <si>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</si>
  <si>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</si>
  <si>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</si>
  <si>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</si>
  <si>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</si>
  <si>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</si>
  <si>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</si>
  <si>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</si>
  <si>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</si>
  <si>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</si>
  <si>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</si>
  <si>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</si>
  <si>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</si>
  <si>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</si>
  <si>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</si>
  <si>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</si>
  <si>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</si>
  <si>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</si>
  <si>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</si>
  <si>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</si>
  <si>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2026-10-29</t>
  </si>
  <si>
    <t>2026-10-30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</si>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</sst>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4" fillId="12" borderId="23" xfId="0" applyFont="1" applyFill="1" applyBorder="1" applyAlignment="1">
      <alignment horizontal="center" vertical="center"/>
    </xf>
    <xf numFmtId="0" fontId="29" fillId="0" borderId="0" xfId="0" applyFont="1"/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31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1.95" customHeight="1" x14ac:dyDescent="0.3">
      <c r="B6" s="88">
        <f>'Programa CASETAS REPORTE DIARIO'!CN79</f>
        <v>1013</v>
      </c>
      <c r="C6" s="89"/>
      <c r="E6" s="88">
        <f>'Programa CAJAS REPORTE DIARIO'!CH77</f>
        <v>2963</v>
      </c>
      <c r="F6" s="89"/>
      <c r="H6" s="101">
        <f>B6+E6</f>
        <v>3976</v>
      </c>
      <c r="I6" s="97"/>
      <c r="J6" s="97"/>
    </row>
    <row r="7" spans="2:10" ht="16.05" customHeight="1" x14ac:dyDescent="0.3">
      <c r="B7" s="93" t="s">
        <v>116</v>
      </c>
      <c r="C7" s="89"/>
      <c r="E7" s="93" t="s">
        <v>117</v>
      </c>
      <c r="F7" s="89"/>
      <c r="H7" s="99" t="s">
        <v>118</v>
      </c>
      <c r="I7" s="97"/>
      <c r="J7" s="97"/>
    </row>
    <row r="9" spans="2:10" ht="15.6" x14ac:dyDescent="0.3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4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4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177</v>
      </c>
      <c r="E22" s="72">
        <f>'Programa CAJAS REPORTE DIARIO'!AS77</f>
        <v>404</v>
      </c>
      <c r="F22" s="72">
        <f t="shared" si="0"/>
        <v>581</v>
      </c>
      <c r="G22" s="72">
        <f t="shared" si="1"/>
        <v>2388</v>
      </c>
      <c r="H22" s="71" t="s">
        <v>145</v>
      </c>
    </row>
    <row r="23" spans="2:8" ht="19.95" customHeight="1" x14ac:dyDescent="0.3">
      <c r="B23" s="69" t="s">
        <v>148</v>
      </c>
      <c r="C23" s="69" t="s">
        <v>139</v>
      </c>
      <c r="D23" s="70">
        <f>'Programa CASETAS REPORTE DIARIO'!AN79</f>
        <v>249</v>
      </c>
      <c r="E23" s="70">
        <f>'Programa CAJAS REPORTE DIARIO'!AT77</f>
        <v>746</v>
      </c>
      <c r="F23" s="70">
        <f t="shared" si="0"/>
        <v>995</v>
      </c>
      <c r="G23" s="70">
        <f t="shared" si="1"/>
        <v>3383</v>
      </c>
      <c r="H23" s="69" t="s">
        <v>145</v>
      </c>
    </row>
    <row r="24" spans="2:8" ht="19.95" customHeight="1" x14ac:dyDescent="0.3">
      <c r="B24" s="71" t="s">
        <v>149</v>
      </c>
      <c r="C24" s="71" t="s">
        <v>141</v>
      </c>
      <c r="D24" s="72">
        <f>'Programa CASETAS REPORTE DIARIO'!AO79</f>
        <v>105</v>
      </c>
      <c r="E24" s="72">
        <f>'Programa CAJAS REPORTE DIARIO'!AU77</f>
        <v>488</v>
      </c>
      <c r="F24" s="72">
        <f t="shared" si="0"/>
        <v>593</v>
      </c>
      <c r="G24" s="72">
        <f t="shared" si="1"/>
        <v>3976</v>
      </c>
      <c r="H24" s="71" t="s">
        <v>150</v>
      </c>
    </row>
    <row r="25" spans="2:8" ht="24" customHeight="1" x14ac:dyDescent="0.3">
      <c r="B25" s="73" t="s">
        <v>151</v>
      </c>
      <c r="C25" s="74"/>
      <c r="D25" s="75">
        <f>SUM(D11:D24)</f>
        <v>1013</v>
      </c>
      <c r="E25" s="75">
        <f>SUM(E11:E24)</f>
        <v>2963</v>
      </c>
      <c r="F25" s="75">
        <f>SUM(F11:F24)</f>
        <v>3976</v>
      </c>
      <c r="G25" s="75">
        <f>F25</f>
        <v>3976</v>
      </c>
      <c r="H25" s="76" t="s">
        <v>152</v>
      </c>
    </row>
    <row r="27" spans="2:8" x14ac:dyDescent="0.3">
      <c r="B27" s="94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  <row r="30" spans="2:8" ht="18" customHeight="1" x14ac:dyDescent="0.3">
      <c r="B30" s="90" t="s">
        <v>156</v>
      </c>
      <c r="C30" s="91"/>
      <c r="D30" s="91"/>
      <c r="E30" s="91"/>
      <c r="F30" s="91"/>
      <c r="G30" s="91"/>
      <c r="H30" s="91"/>
    </row>
    <row r="31" spans="2:8" ht="18" customHeight="1" x14ac:dyDescent="0.3">
      <c r="B31" s="90" t="s">
        <v>157</v>
      </c>
      <c r="C31" s="91"/>
      <c r="D31" s="91"/>
      <c r="E31" s="91"/>
      <c r="F31" s="91"/>
      <c r="G31" s="91"/>
      <c r="H31" s="91"/>
    </row>
  </sheetData>
  <mergeCells count="17">
    <mergeCell ref="B2:J2"/>
    <mergeCell ref="H6:J6"/>
    <mergeCell ref="B31:H31"/>
    <mergeCell ref="E5:F5"/>
    <mergeCell ref="B9:J9"/>
    <mergeCell ref="B30:H30"/>
    <mergeCell ref="B29:H29"/>
    <mergeCell ref="H7:J7"/>
    <mergeCell ref="B6:C6"/>
    <mergeCell ref="B28:H28"/>
    <mergeCell ref="B3:J3"/>
    <mergeCell ref="E6:F6"/>
    <mergeCell ref="B7:C7"/>
    <mergeCell ref="B27:H27"/>
    <mergeCell ref="E7:F7"/>
    <mergeCell ref="B5:C5"/>
    <mergeCell ref="H5:J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1013</v>
      </c>
      <c r="F3" s="79" t="s">
        <v>1</v>
      </c>
      <c r="I3" s="80">
        <f>'Programa CAJAS REPORTE DIARIO'!CH77+CN79</f>
        <v>3976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177</v>
      </c>
      <c r="AN13" s="23">
        <f t="shared" si="0"/>
        <v>249</v>
      </c>
      <c r="AO13" s="23">
        <f t="shared" si="0"/>
        <v>105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1013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33</v>
      </c>
      <c r="AN27" s="24">
        <v>17</v>
      </c>
      <c r="AO27" s="24">
        <v>12</v>
      </c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212</v>
      </c>
      <c r="CP27" s="27">
        <f t="shared" si="4"/>
        <v>212</v>
      </c>
      <c r="CQ27" s="22">
        <v>0</v>
      </c>
      <c r="CR27" s="22">
        <f t="shared" si="5"/>
        <v>212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158.5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>
        <v>38</v>
      </c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183</v>
      </c>
      <c r="CP28" s="27">
        <f t="shared" si="4"/>
        <v>183</v>
      </c>
      <c r="CQ28" s="22">
        <v>0</v>
      </c>
      <c r="CR28" s="22">
        <f t="shared" si="5"/>
        <v>183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1194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>
        <v>27</v>
      </c>
      <c r="AO29" s="24">
        <v>12</v>
      </c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125</v>
      </c>
      <c r="CP29" s="27">
        <f t="shared" si="4"/>
        <v>125</v>
      </c>
      <c r="CQ29" s="22">
        <v>0</v>
      </c>
      <c r="CR29" s="22">
        <f t="shared" si="5"/>
        <v>125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281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>
        <v>2</v>
      </c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39</v>
      </c>
      <c r="CP30" s="27">
        <f t="shared" si="4"/>
        <v>39</v>
      </c>
      <c r="CQ30" s="22">
        <v>0</v>
      </c>
      <c r="CR30" s="22">
        <f t="shared" si="5"/>
        <v>39</v>
      </c>
      <c r="CS30" s="42"/>
      <c r="CT30" s="44"/>
      <c r="CU30" s="14">
        <f t="shared" si="6"/>
        <v>372</v>
      </c>
      <c r="CV30" s="14">
        <f t="shared" si="7"/>
        <v>186</v>
      </c>
      <c r="CW30" s="14">
        <f t="shared" si="8"/>
        <v>147</v>
      </c>
      <c r="CX30" s="43"/>
      <c r="CY30" s="17">
        <v>368</v>
      </c>
      <c r="CZ30">
        <v>4</v>
      </c>
      <c r="DD30" s="14">
        <f t="shared" si="9"/>
        <v>372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>
        <v>2</v>
      </c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17</v>
      </c>
      <c r="CP35" s="27">
        <f t="shared" si="4"/>
        <v>17</v>
      </c>
      <c r="CQ35" s="22">
        <v>0</v>
      </c>
      <c r="CR35" s="22">
        <f t="shared" si="5"/>
        <v>17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-17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>
        <v>3</v>
      </c>
      <c r="AO36" s="24">
        <v>2</v>
      </c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26</v>
      </c>
      <c r="CP36" s="27">
        <f t="shared" si="4"/>
        <v>26</v>
      </c>
      <c r="CQ36" s="22">
        <v>0</v>
      </c>
      <c r="CR36" s="22">
        <f t="shared" si="5"/>
        <v>26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-26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22</v>
      </c>
      <c r="AO37" s="24">
        <v>1</v>
      </c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23</v>
      </c>
      <c r="CP37" s="27">
        <f t="shared" si="4"/>
        <v>23</v>
      </c>
      <c r="CQ37" s="22">
        <v>0</v>
      </c>
      <c r="CR37" s="22">
        <f t="shared" si="5"/>
        <v>23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-23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27</v>
      </c>
      <c r="AN42" s="24">
        <v>63</v>
      </c>
      <c r="AO42" s="24">
        <v>33</v>
      </c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166</v>
      </c>
      <c r="CP42" s="27">
        <f t="shared" si="4"/>
        <v>166</v>
      </c>
      <c r="CQ42" s="22">
        <v>0</v>
      </c>
      <c r="CR42" s="22">
        <f t="shared" si="5"/>
        <v>166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-166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7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21</v>
      </c>
      <c r="CP51" s="27">
        <f t="shared" si="11"/>
        <v>21</v>
      </c>
      <c r="CQ51" s="22">
        <v>0</v>
      </c>
      <c r="CR51" s="22">
        <f t="shared" si="12"/>
        <v>21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729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>
        <v>62</v>
      </c>
      <c r="AO56" s="24">
        <v>41</v>
      </c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103</v>
      </c>
      <c r="CP56" s="27">
        <f t="shared" si="11"/>
        <v>103</v>
      </c>
      <c r="CQ56" s="22">
        <v>0</v>
      </c>
      <c r="CR56" s="22">
        <f t="shared" si="12"/>
        <v>103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-103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52</v>
      </c>
      <c r="AN58" s="24">
        <v>5</v>
      </c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59</v>
      </c>
      <c r="CP58" s="27">
        <f t="shared" si="11"/>
        <v>59</v>
      </c>
      <c r="CQ58" s="22">
        <v>0</v>
      </c>
      <c r="CR58" s="22">
        <f t="shared" si="12"/>
        <v>59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1620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>
        <v>2</v>
      </c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4</v>
      </c>
      <c r="CP75" s="27">
        <f t="shared" si="11"/>
        <v>4</v>
      </c>
      <c r="CQ75" s="22">
        <v>0</v>
      </c>
      <c r="CR75" s="22">
        <f t="shared" si="12"/>
        <v>4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-4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>
        <v>10</v>
      </c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10</v>
      </c>
      <c r="CP76" s="27">
        <f t="shared" si="11"/>
        <v>10</v>
      </c>
      <c r="CQ76" s="22">
        <v>0</v>
      </c>
      <c r="CR76" s="22">
        <f t="shared" si="12"/>
        <v>10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-10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177</v>
      </c>
      <c r="AN79" s="25">
        <f t="shared" si="22"/>
        <v>249</v>
      </c>
      <c r="AO79" s="25">
        <f t="shared" si="22"/>
        <v>105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1013</v>
      </c>
      <c r="CP79" s="25">
        <f>+SUM(CP14:CP78)</f>
        <v>1013</v>
      </c>
      <c r="CQ79" s="25">
        <f>+SUM(CQ14:CQ78)</f>
        <v>0</v>
      </c>
      <c r="CR79" s="25">
        <f>+SUM(CR14:CR78)</f>
        <v>1013</v>
      </c>
      <c r="CS79" s="25"/>
      <c r="CT79" s="25"/>
      <c r="CU79" s="25">
        <f>+SUM(CU14:CU78)</f>
        <v>14533</v>
      </c>
      <c r="CV79" s="25">
        <f>+SUM(CV14:CV78)</f>
        <v>7266.5</v>
      </c>
      <c r="CW79" s="25">
        <f>+SUM(CW14:CW78)</f>
        <v>6253.5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158</v>
      </c>
      <c r="D3" s="78">
        <f>+CH77</f>
        <v>2963</v>
      </c>
      <c r="F3" s="79" t="s">
        <v>1</v>
      </c>
      <c r="I3" s="80">
        <f>'Programa CASETAS REPORTE DIARIO'!CN79+CH77</f>
        <v>3976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159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160</v>
      </c>
      <c r="CQ12" s="29" t="s">
        <v>21</v>
      </c>
      <c r="CS12" s="29" t="s">
        <v>161</v>
      </c>
      <c r="CT12" s="29" t="s">
        <v>161</v>
      </c>
      <c r="CU12" s="29" t="s">
        <v>161</v>
      </c>
      <c r="CV12" s="29" t="s">
        <v>161</v>
      </c>
      <c r="CW12" s="29" t="s">
        <v>161</v>
      </c>
      <c r="CX12" s="29" t="s">
        <v>162</v>
      </c>
      <c r="CY12" s="29" t="s">
        <v>162</v>
      </c>
      <c r="CZ12" s="29" t="s">
        <v>162</v>
      </c>
      <c r="DA12" s="29" t="s">
        <v>162</v>
      </c>
      <c r="DB12" s="29" t="s">
        <v>162</v>
      </c>
    </row>
    <row r="13" spans="1:107" s="12" customFormat="1" ht="51.75" customHeight="1" x14ac:dyDescent="0.25">
      <c r="A13" s="10" t="s">
        <v>22</v>
      </c>
      <c r="B13" s="10" t="s">
        <v>163</v>
      </c>
      <c r="C13" s="10" t="s">
        <v>24</v>
      </c>
      <c r="D13" s="57" t="s">
        <v>25</v>
      </c>
      <c r="E13" s="57" t="s">
        <v>164</v>
      </c>
      <c r="F13" s="57" t="s">
        <v>165</v>
      </c>
      <c r="G13" s="57" t="s">
        <v>166</v>
      </c>
      <c r="H13" s="57" t="s">
        <v>167</v>
      </c>
      <c r="I13" s="57" t="s">
        <v>168</v>
      </c>
      <c r="J13" s="57" t="s">
        <v>169</v>
      </c>
      <c r="K13" s="57" t="s">
        <v>170</v>
      </c>
      <c r="L13" s="57" t="s">
        <v>171</v>
      </c>
      <c r="M13" s="57" t="s">
        <v>172</v>
      </c>
      <c r="N13" s="57" t="s">
        <v>173</v>
      </c>
      <c r="O13" s="57" t="s">
        <v>174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404</v>
      </c>
      <c r="AT13" s="38">
        <f t="shared" si="0"/>
        <v>746</v>
      </c>
      <c r="AU13" s="38">
        <f t="shared" si="0"/>
        <v>488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2963</v>
      </c>
      <c r="CJ13" s="39"/>
      <c r="CK13" s="40"/>
      <c r="CL13" s="40"/>
      <c r="CM13" s="41"/>
      <c r="CN13" s="29"/>
      <c r="CO13" s="29"/>
      <c r="CP13" s="29"/>
      <c r="CQ13" s="29"/>
      <c r="CS13" s="67" t="s">
        <v>164</v>
      </c>
      <c r="CT13" s="67" t="s">
        <v>165</v>
      </c>
      <c r="CU13" s="67" t="s">
        <v>166</v>
      </c>
      <c r="CV13" s="67" t="s">
        <v>167</v>
      </c>
      <c r="CW13" s="67" t="s">
        <v>168</v>
      </c>
      <c r="CX13" s="67" t="s">
        <v>169</v>
      </c>
      <c r="CY13" s="67" t="s">
        <v>170</v>
      </c>
      <c r="CZ13" s="67" t="s">
        <v>171</v>
      </c>
      <c r="DA13" s="67" t="s">
        <v>172</v>
      </c>
      <c r="DB13" s="67" t="s">
        <v>173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>
        <v>72</v>
      </c>
      <c r="AU27" s="24">
        <v>41</v>
      </c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478</v>
      </c>
      <c r="CJ27" s="27">
        <f t="shared" si="3"/>
        <v>478</v>
      </c>
      <c r="CK27" s="22">
        <v>0</v>
      </c>
      <c r="CL27" s="22">
        <f t="shared" si="4"/>
        <v>478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308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>
        <v>47</v>
      </c>
      <c r="AU28" s="24">
        <v>20</v>
      </c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347</v>
      </c>
      <c r="CJ28" s="27">
        <f t="shared" si="3"/>
        <v>347</v>
      </c>
      <c r="CK28" s="22">
        <v>0</v>
      </c>
      <c r="CL28" s="22">
        <f t="shared" si="4"/>
        <v>347</v>
      </c>
      <c r="CM28" s="42"/>
      <c r="CN28" s="44"/>
      <c r="CO28" s="14">
        <f t="shared" si="5"/>
        <v>180</v>
      </c>
      <c r="CP28" s="14">
        <f t="shared" si="6"/>
        <v>180</v>
      </c>
      <c r="CQ28" s="14">
        <f t="shared" si="7"/>
        <v>-167</v>
      </c>
      <c r="CR28" s="43"/>
      <c r="CS28" s="17">
        <v>67</v>
      </c>
      <c r="CT28">
        <v>38</v>
      </c>
      <c r="CV28">
        <v>5</v>
      </c>
      <c r="CW28">
        <v>2</v>
      </c>
      <c r="CX28">
        <v>8</v>
      </c>
      <c r="CY28">
        <v>16</v>
      </c>
      <c r="CZ28">
        <v>17</v>
      </c>
      <c r="DA28">
        <v>27</v>
      </c>
      <c r="DC28" s="14">
        <f t="shared" si="8"/>
        <v>180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>
        <v>68</v>
      </c>
      <c r="AU29" s="24">
        <v>22</v>
      </c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127</v>
      </c>
      <c r="CJ29" s="27">
        <f t="shared" si="3"/>
        <v>127</v>
      </c>
      <c r="CK29" s="22">
        <v>0</v>
      </c>
      <c r="CL29" s="22">
        <f t="shared" si="4"/>
        <v>127</v>
      </c>
      <c r="CM29" s="42"/>
      <c r="CN29" s="44"/>
      <c r="CO29" s="14">
        <f t="shared" si="5"/>
        <v>1336</v>
      </c>
      <c r="CP29" s="14">
        <f t="shared" si="6"/>
        <v>1336</v>
      </c>
      <c r="CQ29" s="14">
        <f t="shared" si="7"/>
        <v>1209</v>
      </c>
      <c r="CR29" s="43"/>
      <c r="CS29" s="17"/>
      <c r="CT29">
        <v>80</v>
      </c>
      <c r="CY29">
        <v>700</v>
      </c>
      <c r="CZ29">
        <v>550</v>
      </c>
      <c r="DB29">
        <v>6</v>
      </c>
      <c r="DC29" s="14">
        <f t="shared" si="8"/>
        <v>1336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343</v>
      </c>
      <c r="CP30" s="14">
        <f t="shared" si="6"/>
        <v>343</v>
      </c>
      <c r="CQ30" s="14">
        <f t="shared" si="7"/>
        <v>343</v>
      </c>
      <c r="CR30" s="43"/>
      <c r="CS30" s="17"/>
      <c r="CU30">
        <v>3</v>
      </c>
      <c r="CY30">
        <v>300</v>
      </c>
      <c r="DB30">
        <v>40</v>
      </c>
      <c r="DC30" s="14">
        <f t="shared" si="8"/>
        <v>343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>
        <v>70</v>
      </c>
      <c r="AU35" s="24">
        <v>2</v>
      </c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165</v>
      </c>
      <c r="CJ35" s="27">
        <f t="shared" si="3"/>
        <v>165</v>
      </c>
      <c r="CK35" s="22">
        <v>0</v>
      </c>
      <c r="CL35" s="22">
        <f t="shared" si="4"/>
        <v>165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-66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>
        <v>4</v>
      </c>
      <c r="AU36" s="24">
        <v>5</v>
      </c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55</v>
      </c>
      <c r="CJ36" s="27">
        <f t="shared" si="3"/>
        <v>55</v>
      </c>
      <c r="CK36" s="22">
        <v>0</v>
      </c>
      <c r="CL36" s="22">
        <f t="shared" si="4"/>
        <v>55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-55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>
        <v>43</v>
      </c>
      <c r="AU37" s="24">
        <v>68</v>
      </c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154</v>
      </c>
      <c r="CJ37" s="27">
        <f t="shared" si="3"/>
        <v>154</v>
      </c>
      <c r="CK37" s="22">
        <v>0</v>
      </c>
      <c r="CL37" s="22">
        <f t="shared" si="4"/>
        <v>154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421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3</v>
      </c>
      <c r="CP38" s="14">
        <f t="shared" si="6"/>
        <v>3</v>
      </c>
      <c r="CQ38" s="14">
        <f t="shared" si="7"/>
        <v>3</v>
      </c>
      <c r="CR38" s="43"/>
      <c r="CS38" s="17"/>
      <c r="CX38">
        <v>3</v>
      </c>
      <c r="DC38" s="14">
        <f t="shared" si="8"/>
        <v>3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100</v>
      </c>
      <c r="CP39" s="14">
        <f t="shared" si="6"/>
        <v>100</v>
      </c>
      <c r="CQ39" s="14">
        <f t="shared" si="7"/>
        <v>100</v>
      </c>
      <c r="CR39" s="43"/>
      <c r="CS39" s="17"/>
      <c r="CY39">
        <v>100</v>
      </c>
      <c r="DC39" s="14">
        <f t="shared" si="8"/>
        <v>100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31</v>
      </c>
      <c r="AT41" s="24">
        <v>15</v>
      </c>
      <c r="AU41" s="24">
        <v>30</v>
      </c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89</v>
      </c>
      <c r="CJ41" s="27">
        <f t="shared" si="3"/>
        <v>89</v>
      </c>
      <c r="CK41" s="22">
        <v>0</v>
      </c>
      <c r="CL41" s="22">
        <f t="shared" si="4"/>
        <v>89</v>
      </c>
      <c r="CM41" s="42"/>
      <c r="CN41" s="44"/>
      <c r="CO41" s="14">
        <f t="shared" si="5"/>
        <v>580</v>
      </c>
      <c r="CP41" s="14">
        <f t="shared" si="6"/>
        <v>580</v>
      </c>
      <c r="CQ41" s="14">
        <f t="shared" si="7"/>
        <v>491</v>
      </c>
      <c r="CR41" s="43"/>
      <c r="CS41" s="17">
        <v>46</v>
      </c>
      <c r="CV41">
        <v>9</v>
      </c>
      <c r="CW41">
        <v>2</v>
      </c>
      <c r="CY41">
        <v>357</v>
      </c>
      <c r="CZ41">
        <v>100</v>
      </c>
      <c r="DB41">
        <v>66</v>
      </c>
      <c r="DC41" s="14">
        <f t="shared" si="8"/>
        <v>580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>
        <v>69</v>
      </c>
      <c r="AU43" s="24">
        <v>55</v>
      </c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231</v>
      </c>
      <c r="CJ43" s="27">
        <f t="shared" si="3"/>
        <v>231</v>
      </c>
      <c r="CK43" s="22">
        <v>0</v>
      </c>
      <c r="CL43" s="22">
        <f t="shared" si="4"/>
        <v>231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-211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76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175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57</v>
      </c>
      <c r="AT46" s="24">
        <v>105</v>
      </c>
      <c r="AU46" s="24">
        <v>10</v>
      </c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341</v>
      </c>
      <c r="CJ46" s="27">
        <f t="shared" ref="CJ46:CJ76" si="11">CH46</f>
        <v>341</v>
      </c>
      <c r="CK46" s="22">
        <v>0</v>
      </c>
      <c r="CL46" s="22">
        <f t="shared" ref="CL46:CL77" si="12">CJ46+CK46</f>
        <v>341</v>
      </c>
      <c r="CM46" s="42"/>
      <c r="CN46" s="44"/>
      <c r="CO46" s="14">
        <f t="shared" si="9"/>
        <v>1528</v>
      </c>
      <c r="CP46" s="14">
        <f t="shared" ref="CP46:CP77" si="13">CO46</f>
        <v>1528</v>
      </c>
      <c r="CQ46" s="14">
        <f t="shared" ref="CQ46:CQ77" si="14">CP46-CJ46</f>
        <v>1187</v>
      </c>
      <c r="CR46" s="43"/>
      <c r="CS46" s="17"/>
      <c r="CT46">
        <v>289</v>
      </c>
      <c r="CV46">
        <v>42</v>
      </c>
      <c r="CY46">
        <v>564</v>
      </c>
      <c r="CZ46">
        <v>633</v>
      </c>
      <c r="DC46" s="14">
        <f t="shared" ref="DC46:DC77" si="15">SUM(CS46:DB46)</f>
        <v>1528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231</v>
      </c>
      <c r="CP48" s="14">
        <f t="shared" si="13"/>
        <v>231</v>
      </c>
      <c r="CQ48" s="14">
        <f t="shared" si="14"/>
        <v>231</v>
      </c>
      <c r="CR48" s="43"/>
      <c r="CS48" s="17"/>
      <c r="CT48">
        <v>206</v>
      </c>
      <c r="DA48">
        <v>25</v>
      </c>
      <c r="DC48" s="14">
        <f t="shared" si="15"/>
        <v>231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>
        <v>3</v>
      </c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3</v>
      </c>
      <c r="CJ49" s="27">
        <f t="shared" si="11"/>
        <v>3</v>
      </c>
      <c r="CK49" s="22">
        <v>0</v>
      </c>
      <c r="CL49" s="22">
        <f t="shared" si="12"/>
        <v>3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-3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18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47</v>
      </c>
      <c r="CJ50" s="27">
        <f t="shared" si="11"/>
        <v>47</v>
      </c>
      <c r="CK50" s="22">
        <v>0</v>
      </c>
      <c r="CL50" s="22">
        <f t="shared" si="12"/>
        <v>47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155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>
        <v>6</v>
      </c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12</v>
      </c>
      <c r="CJ51" s="27">
        <f t="shared" si="11"/>
        <v>12</v>
      </c>
      <c r="CK51" s="22">
        <v>0</v>
      </c>
      <c r="CL51" s="22">
        <f t="shared" si="12"/>
        <v>12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-12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>
        <v>1</v>
      </c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2</v>
      </c>
      <c r="CJ52" s="27">
        <f t="shared" si="11"/>
        <v>2</v>
      </c>
      <c r="CK52" s="22">
        <v>0</v>
      </c>
      <c r="CL52" s="22">
        <f t="shared" si="12"/>
        <v>2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46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>
        <v>168</v>
      </c>
      <c r="AU53" s="24">
        <v>204</v>
      </c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377</v>
      </c>
      <c r="CJ53" s="27">
        <f t="shared" si="11"/>
        <v>377</v>
      </c>
      <c r="CK53" s="22">
        <v>0</v>
      </c>
      <c r="CL53" s="22">
        <f t="shared" si="12"/>
        <v>377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-309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>
        <v>3</v>
      </c>
      <c r="AU55" s="24">
        <v>16</v>
      </c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99</v>
      </c>
      <c r="CJ55" s="27">
        <f t="shared" si="11"/>
        <v>99</v>
      </c>
      <c r="CK55" s="22">
        <v>0</v>
      </c>
      <c r="CL55" s="22">
        <f t="shared" si="12"/>
        <v>99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-69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28</v>
      </c>
      <c r="AT57" s="24">
        <v>18</v>
      </c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87</v>
      </c>
      <c r="CJ57" s="27">
        <f t="shared" si="11"/>
        <v>87</v>
      </c>
      <c r="CK57" s="22">
        <v>0</v>
      </c>
      <c r="CL57" s="22">
        <f t="shared" si="12"/>
        <v>87</v>
      </c>
      <c r="CM57" s="42"/>
      <c r="CN57" s="44"/>
      <c r="CO57" s="14">
        <f t="shared" si="9"/>
        <v>353</v>
      </c>
      <c r="CP57" s="14">
        <f t="shared" si="13"/>
        <v>353</v>
      </c>
      <c r="CQ57" s="14">
        <f t="shared" si="14"/>
        <v>266</v>
      </c>
      <c r="CR57" s="43"/>
      <c r="CS57" s="17">
        <v>46</v>
      </c>
      <c r="CT57">
        <v>141</v>
      </c>
      <c r="CV57">
        <v>45</v>
      </c>
      <c r="CW57">
        <v>1</v>
      </c>
      <c r="CZ57">
        <v>100</v>
      </c>
      <c r="DB57">
        <v>20</v>
      </c>
      <c r="DC57" s="14">
        <f t="shared" si="15"/>
        <v>353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>
        <v>1</v>
      </c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1</v>
      </c>
      <c r="CJ60" s="27">
        <f t="shared" si="11"/>
        <v>1</v>
      </c>
      <c r="CK60" s="22">
        <v>0</v>
      </c>
      <c r="CL60" s="22">
        <f t="shared" si="12"/>
        <v>1</v>
      </c>
      <c r="CM60" s="42"/>
      <c r="CN60" s="44"/>
      <c r="CO60" s="14">
        <f t="shared" si="9"/>
        <v>200</v>
      </c>
      <c r="CP60" s="14">
        <f t="shared" si="13"/>
        <v>200</v>
      </c>
      <c r="CQ60" s="14">
        <f t="shared" si="14"/>
        <v>199</v>
      </c>
      <c r="CR60" s="43"/>
      <c r="CS60" s="17"/>
      <c r="CY60">
        <v>200</v>
      </c>
      <c r="DC60" s="14">
        <f t="shared" si="15"/>
        <v>200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>
        <v>21</v>
      </c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68</v>
      </c>
      <c r="CJ61" s="27">
        <f t="shared" si="11"/>
        <v>68</v>
      </c>
      <c r="CK61" s="22">
        <v>0</v>
      </c>
      <c r="CL61" s="22">
        <f t="shared" si="12"/>
        <v>68</v>
      </c>
      <c r="CM61" s="42"/>
      <c r="CN61" s="44"/>
      <c r="CO61" s="14">
        <f t="shared" si="9"/>
        <v>32</v>
      </c>
      <c r="CP61" s="14">
        <f t="shared" si="13"/>
        <v>32</v>
      </c>
      <c r="CQ61" s="14">
        <f t="shared" si="14"/>
        <v>-36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9"/>
        <v>4</v>
      </c>
      <c r="CP62" s="14">
        <f t="shared" si="13"/>
        <v>4</v>
      </c>
      <c r="CQ62" s="14">
        <f t="shared" si="14"/>
        <v>4</v>
      </c>
      <c r="CR62" s="43"/>
      <c r="CS62" s="17">
        <v>4</v>
      </c>
      <c r="DC62" s="14">
        <f t="shared" si="15"/>
        <v>4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9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>
        <v>16</v>
      </c>
      <c r="AU64" s="24">
        <v>14</v>
      </c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77</v>
      </c>
      <c r="CJ64" s="27">
        <f t="shared" si="11"/>
        <v>77</v>
      </c>
      <c r="CK64" s="22">
        <v>0</v>
      </c>
      <c r="CL64" s="22">
        <f t="shared" si="12"/>
        <v>77</v>
      </c>
      <c r="CM64" s="42"/>
      <c r="CN64" s="44"/>
      <c r="CO64" s="14">
        <f t="shared" si="9"/>
        <v>149</v>
      </c>
      <c r="CP64" s="14">
        <f t="shared" si="13"/>
        <v>149</v>
      </c>
      <c r="CQ64" s="14">
        <f t="shared" si="14"/>
        <v>72</v>
      </c>
      <c r="CR64" s="43"/>
      <c r="CS64" s="17"/>
      <c r="CV64">
        <v>3</v>
      </c>
      <c r="CZ64">
        <v>129</v>
      </c>
      <c r="DB64">
        <v>17</v>
      </c>
      <c r="DC64" s="14">
        <f t="shared" si="15"/>
        <v>149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9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9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9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9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9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>
        <v>16</v>
      </c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90</v>
      </c>
      <c r="CJ70" s="27">
        <f t="shared" si="11"/>
        <v>90</v>
      </c>
      <c r="CK70" s="22">
        <v>0</v>
      </c>
      <c r="CL70" s="22">
        <f t="shared" si="12"/>
        <v>90</v>
      </c>
      <c r="CM70" s="42"/>
      <c r="CN70" s="44"/>
      <c r="CO70" s="14">
        <f t="shared" si="9"/>
        <v>14</v>
      </c>
      <c r="CP70" s="14">
        <f t="shared" si="13"/>
        <v>14</v>
      </c>
      <c r="CQ70" s="14">
        <f t="shared" si="14"/>
        <v>-76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9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9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9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9"/>
        <v>60</v>
      </c>
      <c r="CP74" s="14">
        <f t="shared" si="13"/>
        <v>60</v>
      </c>
      <c r="CQ74" s="14">
        <f t="shared" si="14"/>
        <v>60</v>
      </c>
      <c r="CR74" s="43"/>
      <c r="CS74" s="17">
        <v>14</v>
      </c>
      <c r="CV74">
        <v>25</v>
      </c>
      <c r="CW74">
        <v>19</v>
      </c>
      <c r="DA74">
        <v>2</v>
      </c>
      <c r="DC74" s="14">
        <f t="shared" si="15"/>
        <v>60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>
        <v>1</v>
      </c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8</v>
      </c>
      <c r="CJ75" s="27">
        <f t="shared" si="11"/>
        <v>8</v>
      </c>
      <c r="CK75" s="22">
        <v>0</v>
      </c>
      <c r="CL75" s="22">
        <f t="shared" si="12"/>
        <v>8</v>
      </c>
      <c r="CM75" s="42"/>
      <c r="CN75" s="44"/>
      <c r="CO75" s="14">
        <f t="shared" si="9"/>
        <v>60</v>
      </c>
      <c r="CP75" s="14">
        <f t="shared" si="13"/>
        <v>60</v>
      </c>
      <c r="CQ75" s="14">
        <f t="shared" si="14"/>
        <v>52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9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6">+SUM(AC14:AC76)</f>
        <v>0</v>
      </c>
      <c r="AD77" s="25">
        <f t="shared" si="16"/>
        <v>0</v>
      </c>
      <c r="AE77" s="25">
        <f t="shared" si="16"/>
        <v>0</v>
      </c>
      <c r="AF77" s="25">
        <f t="shared" si="16"/>
        <v>0</v>
      </c>
      <c r="AG77" s="25">
        <f t="shared" si="16"/>
        <v>0</v>
      </c>
      <c r="AH77" s="25">
        <f t="shared" si="16"/>
        <v>52</v>
      </c>
      <c r="AI77" s="25">
        <f t="shared" si="16"/>
        <v>0</v>
      </c>
      <c r="AJ77" s="25">
        <f t="shared" si="16"/>
        <v>24</v>
      </c>
      <c r="AK77" s="25">
        <f t="shared" si="16"/>
        <v>54</v>
      </c>
      <c r="AL77" s="25">
        <f t="shared" si="16"/>
        <v>66</v>
      </c>
      <c r="AM77" s="25">
        <f t="shared" si="16"/>
        <v>103</v>
      </c>
      <c r="AN77" s="25">
        <f t="shared" si="16"/>
        <v>187</v>
      </c>
      <c r="AO77" s="25">
        <f t="shared" si="16"/>
        <v>122</v>
      </c>
      <c r="AP77" s="25">
        <f t="shared" si="16"/>
        <v>76</v>
      </c>
      <c r="AQ77" s="25">
        <f t="shared" si="16"/>
        <v>175</v>
      </c>
      <c r="AR77" s="25">
        <f t="shared" si="16"/>
        <v>466</v>
      </c>
      <c r="AS77" s="25">
        <f t="shared" si="16"/>
        <v>404</v>
      </c>
      <c r="AT77" s="25">
        <f t="shared" si="16"/>
        <v>746</v>
      </c>
      <c r="AU77" s="25">
        <f t="shared" si="16"/>
        <v>488</v>
      </c>
      <c r="AV77" s="25">
        <f t="shared" si="16"/>
        <v>0</v>
      </c>
      <c r="AW77" s="25">
        <f t="shared" si="16"/>
        <v>0</v>
      </c>
      <c r="AX77" s="25">
        <f t="shared" si="16"/>
        <v>0</v>
      </c>
      <c r="AY77" s="25">
        <f t="shared" si="16"/>
        <v>0</v>
      </c>
      <c r="AZ77" s="25">
        <f t="shared" si="16"/>
        <v>0</v>
      </c>
      <c r="BA77" s="25">
        <f t="shared" si="16"/>
        <v>0</v>
      </c>
      <c r="BB77" s="25">
        <f t="shared" si="16"/>
        <v>0</v>
      </c>
      <c r="BC77" s="25">
        <f t="shared" si="16"/>
        <v>0</v>
      </c>
      <c r="BD77" s="25">
        <f t="shared" si="16"/>
        <v>0</v>
      </c>
      <c r="BE77" s="25">
        <f t="shared" si="16"/>
        <v>0</v>
      </c>
      <c r="BF77" s="25">
        <f t="shared" si="16"/>
        <v>0</v>
      </c>
      <c r="BG77" s="25">
        <f t="shared" si="16"/>
        <v>0</v>
      </c>
      <c r="BH77" s="25">
        <f t="shared" si="16"/>
        <v>0</v>
      </c>
      <c r="BI77" s="25">
        <f t="shared" ref="BI77:CN77" si="17">+SUM(BI14:BI76)</f>
        <v>0</v>
      </c>
      <c r="BJ77" s="25">
        <f t="shared" si="17"/>
        <v>0</v>
      </c>
      <c r="BK77" s="25">
        <f t="shared" si="17"/>
        <v>0</v>
      </c>
      <c r="BL77" s="25">
        <f t="shared" si="17"/>
        <v>0</v>
      </c>
      <c r="BM77" s="25">
        <f t="shared" si="17"/>
        <v>0</v>
      </c>
      <c r="BN77" s="25">
        <f t="shared" si="17"/>
        <v>0</v>
      </c>
      <c r="BO77" s="25">
        <f t="shared" si="17"/>
        <v>0</v>
      </c>
      <c r="BP77" s="25">
        <f t="shared" si="17"/>
        <v>0</v>
      </c>
      <c r="BQ77" s="25">
        <f t="shared" si="17"/>
        <v>0</v>
      </c>
      <c r="BR77" s="25">
        <f t="shared" si="17"/>
        <v>0</v>
      </c>
      <c r="BS77" s="25">
        <f t="shared" si="17"/>
        <v>0</v>
      </c>
      <c r="BT77" s="25">
        <f t="shared" si="17"/>
        <v>0</v>
      </c>
      <c r="BU77" s="25">
        <f t="shared" si="17"/>
        <v>0</v>
      </c>
      <c r="BV77" s="25">
        <f t="shared" si="17"/>
        <v>0</v>
      </c>
      <c r="BW77" s="25">
        <f t="shared" si="17"/>
        <v>0</v>
      </c>
      <c r="BX77" s="25">
        <f t="shared" si="17"/>
        <v>0</v>
      </c>
      <c r="BY77" s="25">
        <f t="shared" si="17"/>
        <v>0</v>
      </c>
      <c r="BZ77" s="25">
        <f t="shared" si="17"/>
        <v>0</v>
      </c>
      <c r="CA77" s="25">
        <f t="shared" si="17"/>
        <v>0</v>
      </c>
      <c r="CB77" s="25">
        <f t="shared" si="17"/>
        <v>0</v>
      </c>
      <c r="CC77" s="25">
        <f t="shared" si="17"/>
        <v>0</v>
      </c>
      <c r="CD77" s="25">
        <f t="shared" si="17"/>
        <v>0</v>
      </c>
      <c r="CE77" s="25">
        <f t="shared" si="17"/>
        <v>0</v>
      </c>
      <c r="CF77" s="25">
        <f t="shared" si="17"/>
        <v>0</v>
      </c>
      <c r="CG77" s="25">
        <f t="shared" si="17"/>
        <v>0</v>
      </c>
      <c r="CH77" s="25">
        <f t="shared" si="17"/>
        <v>2963</v>
      </c>
      <c r="CJ77" s="25">
        <f>+SUM(CJ14:CJ76)</f>
        <v>2963</v>
      </c>
      <c r="CK77" s="25">
        <f>+SUM(CK14:CK76)</f>
        <v>0</v>
      </c>
      <c r="CL77" s="25">
        <f>+SUM(CL14:CL76)</f>
        <v>2963</v>
      </c>
      <c r="CM77" s="25"/>
      <c r="CN77" s="25"/>
      <c r="CO77" s="25">
        <f>+SUM(CO14:CO76)</f>
        <v>11394</v>
      </c>
      <c r="CP77" s="25">
        <f>+SUM(CP14:CP76)</f>
        <v>11394</v>
      </c>
      <c r="CQ77" s="25">
        <f>+SUM(CQ14:CQ76)</f>
        <v>8431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2026-10-30T20:23:26Z</dcterms:modified>
</cp:coreProperties>
</file>