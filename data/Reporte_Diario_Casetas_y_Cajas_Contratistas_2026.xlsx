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C27E310-6B5E-4E02-AD6D-ECD27B1441B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C77" i="3"/>
  <c r="CB77" i="3"/>
  <c r="CA77" i="3"/>
  <c r="BZ77" i="3"/>
  <c r="BY77" i="3"/>
  <c r="BX77" i="3"/>
  <c r="BW77" i="3"/>
  <c r="BW13" i="3" s="1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F13" i="3" s="1"/>
  <c r="BE77" i="3"/>
  <c r="BD77" i="3"/>
  <c r="BC77" i="3"/>
  <c r="BB77" i="3"/>
  <c r="BB13" i="3" s="1"/>
  <c r="BA77" i="3"/>
  <c r="BA13" i="3" s="1"/>
  <c r="AZ77" i="3"/>
  <c r="AY77" i="3"/>
  <c r="AX77" i="3"/>
  <c r="AW77" i="3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D13" i="3"/>
  <c r="CC13" i="3"/>
  <c r="CB13" i="3"/>
  <c r="CA13" i="3"/>
  <c r="BZ13" i="3"/>
  <c r="BY13" i="3"/>
  <c r="BX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E13" i="3"/>
  <c r="BD13" i="3"/>
  <c r="BC13" i="3"/>
  <c r="AZ13" i="3"/>
  <c r="AY13" i="3"/>
  <c r="AX13" i="3"/>
  <c r="A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5" i="3" l="1"/>
  <c r="CQ75" i="3"/>
  <c r="CQ73" i="3"/>
  <c r="CQ71" i="3"/>
  <c r="CW57" i="2"/>
  <c r="CW52" i="2"/>
  <c r="CW51" i="2"/>
  <c r="CW50" i="2"/>
  <c r="CW49" i="2"/>
  <c r="CW48" i="2"/>
  <c r="CW47" i="2"/>
  <c r="CW46" i="2"/>
  <c r="CW43" i="2"/>
  <c r="CW18" i="2"/>
  <c r="CW17" i="2"/>
  <c r="CW39" i="2"/>
  <c r="CW38" i="2"/>
  <c r="CW33" i="2"/>
  <c r="CW28" i="2"/>
  <c r="CW27" i="2"/>
  <c r="CW26" i="2"/>
  <c r="CW25" i="2"/>
  <c r="E18" i="1"/>
  <c r="AO13" i="3"/>
  <c r="CW16" i="2"/>
  <c r="CR16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N13" i="3"/>
  <c r="E17" i="1"/>
  <c r="F17" i="1" s="1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E12" i="1"/>
  <c r="F12" i="1" s="1"/>
  <c r="AI13" i="3"/>
  <c r="AH13" i="3"/>
  <c r="E11" i="1"/>
  <c r="CP14" i="3"/>
  <c r="CO77" i="3"/>
  <c r="CH77" i="3"/>
  <c r="CJ14" i="3"/>
  <c r="D23" i="1"/>
  <c r="CV14" i="2"/>
  <c r="CU79" i="2"/>
  <c r="CN79" i="2"/>
  <c r="CP14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F18" i="1"/>
  <c r="CW45" i="2"/>
  <c r="CW44" i="2"/>
  <c r="CW40" i="2"/>
  <c r="CW32" i="2"/>
  <c r="CW31" i="2"/>
  <c r="CW30" i="2"/>
  <c r="CW29" i="2"/>
  <c r="CQ72" i="3"/>
  <c r="CQ69" i="3"/>
  <c r="CQ66" i="3"/>
  <c r="CQ64" i="3"/>
  <c r="CQ63" i="3"/>
  <c r="CQ62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42" i="2"/>
  <c r="CW41" i="2"/>
  <c r="CW37" i="2"/>
  <c r="CW36" i="2"/>
  <c r="CW35" i="2"/>
  <c r="CW34" i="2"/>
  <c r="CW24" i="2"/>
  <c r="CW23" i="2"/>
  <c r="CW22" i="2"/>
  <c r="CW21" i="2"/>
  <c r="CW20" i="2"/>
  <c r="CW19" i="2"/>
  <c r="CQ76" i="3"/>
  <c r="CQ74" i="3"/>
  <c r="CQ70" i="3"/>
  <c r="CQ68" i="3"/>
  <c r="CQ67" i="3"/>
  <c r="CW15" i="2"/>
  <c r="E23" i="1" l="1"/>
  <c r="F11" i="1"/>
  <c r="CQ14" i="3"/>
  <c r="CQ77" i="3" s="1"/>
  <c r="CP77" i="3"/>
  <c r="E6" i="1"/>
  <c r="D3" i="3"/>
  <c r="CH13" i="3"/>
  <c r="I3" i="2"/>
  <c r="CL14" i="3"/>
  <c r="CL77" i="3" s="1"/>
  <c r="CJ77" i="3"/>
  <c r="CV79" i="2"/>
  <c r="CW14" i="2"/>
  <c r="CW79" i="2" s="1"/>
  <c r="B6" i="1"/>
  <c r="I3" i="3"/>
  <c r="CN13" i="2"/>
  <c r="D3" i="2"/>
  <c r="CR14" i="2"/>
  <c r="CR79" i="2" s="1"/>
  <c r="CP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<sst xmlns="http://schemas.openxmlformats.org/spreadsheetml/2006/main" count="586" uniqueCount="174">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</sst>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624</v>
      </c>
      <c r="C6" s="89"/>
      <c r="E6" s="88">
        <f>'Programa CAJAS REPORTE DIARIO'!CH77</f>
        <v>1600</v>
      </c>
      <c r="F6" s="89"/>
      <c r="H6" s="101">
        <f>B6+E6</f>
        <v>2224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142</v>
      </c>
      <c r="E22" s="72">
        <f>'Programa CAJAS REPORTE DIARIO'!AS77</f>
        <v>275</v>
      </c>
      <c r="F22" s="72">
        <f t="shared" si="0"/>
        <v>417</v>
      </c>
      <c r="G22" s="72">
        <f t="shared" si="1"/>
        <v>2224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624</v>
      </c>
      <c r="E23" s="75">
        <f>SUM(E11:E22)</f>
        <v>1600</v>
      </c>
      <c r="F23" s="75">
        <f>SUM(F11:F22)</f>
        <v>2224</v>
      </c>
      <c r="G23" s="75">
        <f>F23</f>
        <v>2224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624</v>
      </c>
      <c r="F3" s="79" t="s">
        <v>1</v>
      </c>
      <c r="I3" s="80">
        <f>'Programa CAJAS REPORTE DIARIO'!CH77+CN79</f>
        <v>2224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142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180</v>
      </c>
      <c r="CP27" s="27">
        <f t="shared" si="4"/>
        <v>180</v>
      </c>
      <c r="CQ27" s="22">
        <v>0</v>
      </c>
      <c r="CR27" s="22">
        <f t="shared" si="5"/>
        <v>180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27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142</v>
      </c>
      <c r="CP28" s="27">
        <f t="shared" si="4"/>
        <v>142</v>
      </c>
      <c r="CQ28" s="22">
        <v>0</v>
      </c>
      <c r="CR28" s="22">
        <f t="shared" si="5"/>
        <v>142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63</v>
      </c>
      <c r="CP42" s="27">
        <f t="shared" si="4"/>
        <v>63</v>
      </c>
      <c r="CQ42" s="22">
        <v>0</v>
      </c>
      <c r="CR42" s="22">
        <f t="shared" si="5"/>
        <v>63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142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624</v>
      </c>
      <c r="CP79" s="25">
        <f>+SUM(CP14:CP78)</f>
        <v>624</v>
      </c>
      <c r="CQ79" s="25">
        <f>+SUM(CQ14:CQ78)</f>
        <v>0</v>
      </c>
      <c r="CR79" s="25">
        <f>+SUM(CR14:CR78)</f>
        <v>624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1600</v>
      </c>
      <c r="F3" s="79" t="s">
        <v>1</v>
      </c>
      <c r="I3" s="80">
        <f>'Programa CASETAS REPORTE DIARIO'!CN79+CH77</f>
        <v>2224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275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1600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363</v>
      </c>
      <c r="CJ27" s="27">
        <f t="shared" si="3"/>
        <v>363</v>
      </c>
      <c r="CK27" s="22">
        <v>0</v>
      </c>
      <c r="CL27" s="22">
        <f t="shared" si="4"/>
        <v>363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260</v>
      </c>
      <c r="CJ28" s="27">
        <f t="shared" si="3"/>
        <v>260</v>
      </c>
      <c r="CK28" s="22">
        <v>0</v>
      </c>
      <c r="CL28" s="22">
        <f t="shared" si="4"/>
        <v>260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44</v>
      </c>
      <c r="CJ36" s="27">
        <f t="shared" si="3"/>
        <v>44</v>
      </c>
      <c r="CK36" s="22">
        <v>0</v>
      </c>
      <c r="CL36" s="22">
        <f t="shared" si="4"/>
        <v>44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14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45</v>
      </c>
      <c r="CJ61" s="27">
        <f t="shared" si="11"/>
        <v>45</v>
      </c>
      <c r="CK61" s="22">
        <v>0</v>
      </c>
      <c r="CL61" s="22">
        <f t="shared" si="12"/>
        <v>45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275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1600</v>
      </c>
      <c r="CJ77" s="25">
        <f>+SUM(CJ14:CJ76)</f>
        <v>1600</v>
      </c>
      <c r="CK77" s="25">
        <f>+SUM(CK14:CK76)</f>
        <v>0</v>
      </c>
      <c r="CL77" s="25">
        <f>+SUM(CL14:CL76)</f>
        <v>1600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6907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2026-10-28T22:26:28Z</dcterms:modified>
</cp:coreProperties>
</file>