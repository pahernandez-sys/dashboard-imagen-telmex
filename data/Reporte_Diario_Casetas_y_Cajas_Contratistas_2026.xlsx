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3A52B0E-90C9-4DDB-BCD2-215E9BE14014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W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N14" i="2"/>
  <c r="AE13" i="2"/>
  <c r="AD13" i="2"/>
  <c r="AC13" i="2"/>
  <c r="AB13" i="2"/>
  <c r="AA13" i="2"/>
  <c r="Z13" i="2"/>
  <c r="Y13" i="2"/>
  <c r="X13" i="2"/>
  <c r="W13" i="2"/>
  <c r="CW68" i="2" l="1"/>
  <c r="CW19" i="2"/>
  <c r="CW16" i="2"/>
  <c r="CW53" i="2"/>
  <c r="CW44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AT13" i="3"/>
  <c r="E23" i="1"/>
  <c r="F23" i="1" s="1"/>
  <c r="AS13" i="3"/>
  <c r="E22" i="1"/>
  <c r="AR13" i="3"/>
  <c r="E21" i="1"/>
  <c r="F21" i="1" s="1"/>
  <c r="E20" i="1"/>
  <c r="F20" i="1" s="1"/>
  <c r="AQ13" i="3"/>
  <c r="AP13" i="3"/>
  <c r="E19" i="1"/>
  <c r="F19" i="1" s="1"/>
  <c r="E18" i="1"/>
  <c r="F18" i="1" s="1"/>
  <c r="AO13" i="3"/>
  <c r="E17" i="1"/>
  <c r="F17" i="1" s="1"/>
  <c r="AN13" i="3"/>
  <c r="E16" i="1"/>
  <c r="F16" i="1" s="1"/>
  <c r="AM13" i="3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AH13" i="3"/>
  <c r="E11" i="1"/>
  <c r="CJ47" i="3"/>
  <c r="CH77" i="3"/>
  <c r="CP32" i="3"/>
  <c r="CQ32" i="3" s="1"/>
  <c r="CO77" i="3"/>
  <c r="CQ14" i="3"/>
  <c r="CP77" i="3"/>
  <c r="CL14" i="3"/>
  <c r="CJ77" i="3"/>
  <c r="F11" i="1"/>
  <c r="D24" i="1"/>
  <c r="CV14" i="2"/>
  <c r="CU79" i="2"/>
  <c r="CP14" i="2"/>
  <c r="CN79" i="2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6" i="3"/>
  <c r="CQ45" i="3"/>
  <c r="CQ44" i="3"/>
  <c r="CQ43" i="3"/>
  <c r="CQ42" i="3"/>
  <c r="CQ41" i="3"/>
  <c r="CQ76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43" i="2"/>
  <c r="CW38" i="2"/>
  <c r="CW37" i="2"/>
  <c r="CW36" i="2"/>
  <c r="CW35" i="2"/>
  <c r="CW34" i="2"/>
  <c r="CW33" i="2"/>
  <c r="CW28" i="2"/>
  <c r="CW21" i="2"/>
  <c r="CW18" i="2"/>
  <c r="CW17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2" i="2"/>
  <c r="CW51" i="2"/>
  <c r="CW50" i="2"/>
  <c r="CW49" i="2"/>
  <c r="CW48" i="2"/>
  <c r="CW47" i="2"/>
  <c r="CW46" i="2"/>
  <c r="CW45" i="2"/>
  <c r="CW42" i="2"/>
  <c r="CW41" i="2"/>
  <c r="CW40" i="2"/>
  <c r="CW39" i="2"/>
  <c r="CW31" i="2"/>
  <c r="CW29" i="2"/>
  <c r="CW26" i="2"/>
  <c r="CW25" i="2"/>
  <c r="CW23" i="2"/>
  <c r="CW20" i="2"/>
  <c r="F22" i="1" l="1"/>
  <c r="E24" i="1"/>
  <c r="CQ47" i="3"/>
  <c r="CQ77" i="3" s="1"/>
  <c r="CL47" i="3"/>
  <c r="CL77" i="3" s="1"/>
  <c r="D3" i="3"/>
  <c r="E6" i="1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CN13" i="2"/>
  <c r="I3" i="3"/>
  <c r="B6" i="1"/>
  <c r="D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<sst xmlns="http://schemas.openxmlformats.org/spreadsheetml/2006/main" count="589" uniqueCount="175">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</sst>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2461</v>
      </c>
      <c r="F6" s="89"/>
      <c r="H6" s="101">
        <f>B6+E6</f>
        <v>3369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732</v>
      </c>
      <c r="F23" s="70">
        <f t="shared" si="0"/>
        <v>981</v>
      </c>
      <c r="G23" s="70">
        <f t="shared" si="1"/>
        <v>3369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2461</v>
      </c>
      <c r="F24" s="75">
        <f>SUM(F11:F23)</f>
        <v>3369</v>
      </c>
      <c r="G24" s="75">
        <f>F24</f>
        <v>3369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2461</v>
      </c>
      <c r="F3" s="79" t="s">
        <v>1</v>
      </c>
      <c r="I3" s="80">
        <f>'Programa CASETAS REPORTE DIARIO'!CN79+CH77</f>
        <v>3369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164</v>
      </c>
      <c r="CJ53" s="27">
        <f t="shared" si="11"/>
        <v>164</v>
      </c>
      <c r="CK53" s="22">
        <v>0</v>
      </c>
      <c r="CL53" s="22">
        <f t="shared" si="12"/>
        <v>164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2461</v>
      </c>
      <c r="CJ77" s="25">
        <f>+SUM(CJ14:CJ76)</f>
        <v>2461</v>
      </c>
      <c r="CK77" s="25">
        <f>+SUM(CK14:CK76)</f>
        <v>0</v>
      </c>
      <c r="CL77" s="25">
        <f>+SUM(CL14:CL76)</f>
        <v>2461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2026-10-30T02:36:14Z</dcterms:modified>
</cp:coreProperties>
</file>