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B300A25-6935-4F6C-B72A-DB58862A325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W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3" i="2" l="1"/>
  <c r="CW50" i="2"/>
  <c r="CW46" i="2"/>
  <c r="CW43" i="2"/>
  <c r="CW51" i="2"/>
  <c r="CW72" i="2"/>
  <c r="CW42" i="2"/>
  <c r="CW38" i="2"/>
  <c r="CW49" i="2"/>
  <c r="CW36" i="2"/>
  <c r="CW62" i="2"/>
  <c r="CW54" i="2"/>
  <c r="CW30" i="2"/>
  <c r="CW44" i="2"/>
  <c r="CW40" i="2"/>
  <c r="AS13" i="3"/>
  <c r="E22" i="1"/>
  <c r="F22" i="1" s="1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AH13" i="3"/>
  <c r="E11" i="1"/>
  <c r="CP32" i="3"/>
  <c r="CO77" i="3"/>
  <c r="CH77" i="3"/>
  <c r="CJ32" i="3"/>
  <c r="CL32" i="3" s="1"/>
  <c r="CQ14" i="3"/>
  <c r="CL14" i="3"/>
  <c r="CL77" i="3" s="1"/>
  <c r="CJ77" i="3"/>
  <c r="F11" i="1"/>
  <c r="D23" i="1"/>
  <c r="CV14" i="2"/>
  <c r="CU79" i="2"/>
  <c r="CN79" i="2"/>
  <c r="CP14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W69" i="2"/>
  <c r="CW67" i="2"/>
  <c r="CW64" i="2"/>
  <c r="CW63" i="2"/>
  <c r="CW37" i="2"/>
  <c r="CW33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7" i="2"/>
  <c r="CW76" i="2"/>
  <c r="CW75" i="2"/>
  <c r="CW68" i="2"/>
  <c r="CW61" i="2"/>
  <c r="CW58" i="2"/>
  <c r="CW55" i="2"/>
  <c r="CW45" i="2"/>
  <c r="CW31" i="2"/>
  <c r="CW65" i="2"/>
  <c r="CW59" i="2"/>
  <c r="CW57" i="2"/>
  <c r="CW56" i="2"/>
  <c r="CW48" i="2"/>
  <c r="CW39" i="2"/>
  <c r="CW35" i="2"/>
  <c r="CW4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E23" i="1" l="1"/>
  <c r="D3" i="3"/>
  <c r="I3" i="2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I3" i="3"/>
  <c r="CN13" i="2"/>
  <c r="B6" i="1"/>
  <c r="D3" i="2"/>
  <c r="CR14" i="2"/>
  <c r="CR79" i="2" s="1"/>
  <c r="CP79" i="2"/>
  <c r="CQ32" i="3"/>
  <c r="CQ77" i="3" s="1"/>
  <c r="CP77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<sst xmlns="http://schemas.openxmlformats.org/spreadsheetml/2006/main" count="586" uniqueCount="174">
  <si>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</si>
  <si>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</si>
  <si>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</si>
  <si>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</si>
  <si>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</si>
  <si>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</si>
  <si>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</si>
  <si>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</si>
  <si>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</si>
  <si>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</si>
  <si>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</si>
  <si>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</si>
  <si>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</si>
  <si>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</si>
  <si>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</si>
  <si>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</si>
  <si>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</si>
  <si>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</si>
  <si>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</si>
  <si>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</si>
  <si>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</si>
  <si>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</si>
  <si>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</si>
  <si>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</si>
  <si>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</si>
  <si>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</si>
  <si>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</si>
  <si>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</si>
  <si>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</si>
  <si>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</si>
  <si>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</si>
  <si>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</si>
  <si>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</si>
  <si>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</si>
  <si>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</si>
  <si>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</si>
  <si>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</si>
  <si>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</si>
  <si>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</si>
  <si>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</si>
  <si>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</si>
  <si>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</si>
  <si>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</si>
  <si>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</si>
  <si>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</si>
  <si>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</si>
  <si>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</si>
  <si>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</si>
  <si>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</si>
  <si>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</si>
  <si>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</si>
  <si>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</si>
  <si>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</si>
  <si>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</si>
  <si>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</si>
  <si>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</si>
  <si>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</si>
  <si>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</si>
  <si>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</si>
  <si>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</si>
  <si>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</si>
  <si>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</si>
  <si>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</si>
  <si>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</si>
  <si>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</si>
  <si>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</si>
  <si>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</si>
  <si>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</si>
  <si>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</si>
  <si>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</si>
  <si>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</si>
  <si>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</si>
  <si>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</si>
  <si>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</si>
  <si>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</si>
  <si>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</si>
  <si>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</si>
  <si>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</si>
  <si>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</si>
  <si>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</si>
  <si>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</si>
  <si>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</si>
  <si>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</si>
  <si>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</si>
  <si>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</si>
  <si>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</si>
  <si>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</si>
  <si>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</si>
  <si>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</si>
  <si>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</si>
  <si>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</si>
  <si>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</si>
  <si>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</si>
  <si>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</si>
  <si>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</si>
  <si>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</si>
  <si>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</si>
  <si>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</si>
  <si>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</si>
  <si>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</si>
  <si>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</si>
  <si>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</si>
  <si>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</si>
  <si>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</si>
  <si>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</si>
  <si>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</si>
  <si>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</si>
  <si>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</si>
  <si>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</si>
  <si>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</si>
  <si>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</si>
  <si>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</si>
  <si>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16:50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</si>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</sst>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628</v>
      </c>
      <c r="C6" s="89"/>
      <c r="E6" s="88">
        <f>'Programa CAJAS REPORTE DIARIO'!CH77</f>
        <v>1641</v>
      </c>
      <c r="F6" s="89"/>
      <c r="H6" s="101">
        <f>B6+E6</f>
        <v>2269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146</v>
      </c>
      <c r="E22" s="72">
        <f>'Programa CAJAS REPORTE DIARIO'!AS77</f>
        <v>316</v>
      </c>
      <c r="F22" s="72">
        <f t="shared" si="0"/>
        <v>462</v>
      </c>
      <c r="G22" s="72">
        <f t="shared" si="1"/>
        <v>2269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628</v>
      </c>
      <c r="E23" s="75">
        <f>SUM(E11:E22)</f>
        <v>1641</v>
      </c>
      <c r="F23" s="75">
        <f>SUM(F11:F22)</f>
        <v>2269</v>
      </c>
      <c r="G23" s="75">
        <f>F23</f>
        <v>2269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628</v>
      </c>
      <c r="F3" s="79" t="s">
        <v>1</v>
      </c>
      <c r="I3" s="80">
        <f>'Programa CAJAS REPORTE DIARIO'!CH77+CN79</f>
        <v>2269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146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628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21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64</v>
      </c>
      <c r="CP42" s="27">
        <f t="shared" si="4"/>
        <v>64</v>
      </c>
      <c r="CQ42" s="22">
        <v>0</v>
      </c>
      <c r="CR42" s="22">
        <f t="shared" si="5"/>
        <v>64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-64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146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628</v>
      </c>
      <c r="CP79" s="25">
        <f>+SUM(CP14:CP78)</f>
        <v>628</v>
      </c>
      <c r="CQ79" s="25">
        <f>+SUM(CQ14:CQ78)</f>
        <v>0</v>
      </c>
      <c r="CR79" s="25">
        <f>+SUM(CR14:CR78)</f>
        <v>628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1641</v>
      </c>
      <c r="F3" s="79" t="s">
        <v>1</v>
      </c>
      <c r="I3" s="80">
        <f>'Programa CASETAS REPORTE DIARIO'!CN79+CH77</f>
        <v>2269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316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1641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364</v>
      </c>
      <c r="CJ27" s="27">
        <f t="shared" si="3"/>
        <v>364</v>
      </c>
      <c r="CK27" s="22">
        <v>0</v>
      </c>
      <c r="CL27" s="22">
        <f t="shared" si="4"/>
        <v>364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262</v>
      </c>
      <c r="CJ28" s="27">
        <f t="shared" si="3"/>
        <v>262</v>
      </c>
      <c r="CK28" s="22">
        <v>0</v>
      </c>
      <c r="CL28" s="22">
        <f t="shared" si="4"/>
        <v>262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46</v>
      </c>
      <c r="CJ61" s="27">
        <f t="shared" si="11"/>
        <v>46</v>
      </c>
      <c r="CK61" s="22">
        <v>0</v>
      </c>
      <c r="CL61" s="22">
        <f t="shared" si="12"/>
        <v>46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316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1641</v>
      </c>
      <c r="CJ77" s="25">
        <f>+SUM(CJ14:CJ76)</f>
        <v>1641</v>
      </c>
      <c r="CK77" s="25">
        <f>+SUM(CK14:CK76)</f>
        <v>0</v>
      </c>
      <c r="CL77" s="25">
        <f>+SUM(CL14:CL76)</f>
        <v>1641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6866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2026-10-28T22:50:59Z</dcterms:modified>
</cp:coreProperties>
</file>