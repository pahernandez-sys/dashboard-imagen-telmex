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85EBBB5-B65F-427D-A2AE-92512733B1F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I13" i="3" s="1"/>
  <c r="BH77" i="3"/>
  <c r="BG77" i="3"/>
  <c r="BF77" i="3"/>
  <c r="BE77" i="3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Q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Q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Q26" i="3" s="1"/>
  <c r="CH26" i="3"/>
  <c r="CJ26" i="3" s="1"/>
  <c r="CL26" i="3" s="1"/>
  <c r="DC25" i="3"/>
  <c r="CO25" i="3" s="1"/>
  <c r="CP25" i="3" s="1"/>
  <c r="CQ25" i="3" s="1"/>
  <c r="CH25" i="3"/>
  <c r="CJ25" i="3" s="1"/>
  <c r="CL25" i="3" s="1"/>
  <c r="DC24" i="3"/>
  <c r="CO24" i="3" s="1"/>
  <c r="CP24" i="3" s="1"/>
  <c r="CQ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H13" i="3"/>
  <c r="BG13" i="3"/>
  <c r="BF13" i="3"/>
  <c r="B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9" i="3" l="1"/>
  <c r="CQ32" i="3"/>
  <c r="CQ51" i="3"/>
  <c r="CQ50" i="3"/>
  <c r="CQ37" i="3"/>
  <c r="CQ36" i="3"/>
  <c r="CQ34" i="3"/>
  <c r="CQ66" i="3"/>
  <c r="CQ65" i="3"/>
  <c r="CQ61" i="3"/>
  <c r="CQ59" i="3"/>
  <c r="CQ58" i="3"/>
  <c r="CQ56" i="3"/>
  <c r="CQ55" i="3"/>
  <c r="CQ49" i="3"/>
  <c r="CQ22" i="3"/>
  <c r="CQ21" i="3"/>
  <c r="CQ18" i="3"/>
  <c r="CW28" i="2"/>
  <c r="CW17" i="2"/>
  <c r="E22" i="1"/>
  <c r="AS13" i="3"/>
  <c r="E21" i="1"/>
  <c r="AR13" i="3"/>
  <c r="E20" i="1"/>
  <c r="AQ13" i="3"/>
  <c r="E19" i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P14" i="3"/>
  <c r="CO77" i="3"/>
  <c r="CH77" i="3"/>
  <c r="CJ14" i="3"/>
  <c r="F11" i="1"/>
  <c r="D23" i="1"/>
  <c r="CN79" i="2"/>
  <c r="CP44" i="2"/>
  <c r="CV30" i="2"/>
  <c r="CU79" i="2"/>
  <c r="CW14" i="2"/>
  <c r="CR14" i="2"/>
  <c r="CP79" i="2"/>
  <c r="CQ48" i="3"/>
  <c r="CQ47" i="3"/>
  <c r="CQ46" i="3"/>
  <c r="CQ45" i="3"/>
  <c r="CQ44" i="3"/>
  <c r="CQ43" i="3"/>
  <c r="CQ42" i="3"/>
  <c r="CQ41" i="3"/>
  <c r="CQ40" i="3"/>
  <c r="CQ39" i="3"/>
  <c r="F22" i="1"/>
  <c r="F21" i="1"/>
  <c r="F20" i="1"/>
  <c r="F19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7" i="2"/>
  <c r="CW26" i="2"/>
  <c r="CW25" i="2"/>
  <c r="CW24" i="2"/>
  <c r="CW23" i="2"/>
  <c r="CW22" i="2"/>
  <c r="CQ64" i="3"/>
  <c r="CQ57" i="3"/>
  <c r="CQ54" i="3"/>
  <c r="CQ53" i="3"/>
  <c r="CQ52" i="3"/>
  <c r="CQ38" i="3"/>
  <c r="CQ33" i="3"/>
  <c r="CQ31" i="3"/>
  <c r="CQ23" i="3"/>
  <c r="CQ16" i="3"/>
  <c r="CQ15" i="3"/>
  <c r="CQ60" i="3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3" i="3"/>
  <c r="CQ62" i="3"/>
  <c r="CQ35" i="3"/>
  <c r="CQ27" i="3"/>
  <c r="CQ20" i="3"/>
  <c r="CQ19" i="3"/>
  <c r="CQ17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B6" i="1"/>
  <c r="H6" i="1" s="1"/>
  <c r="I3" i="3"/>
  <c r="D3" i="2"/>
  <c r="CN13" i="2"/>
  <c r="CW44" i="2"/>
  <c r="CR44" i="2"/>
  <c r="CR79" i="2" s="1"/>
  <c r="CW30" i="2"/>
  <c r="CW79" i="2" s="1"/>
  <c r="CV79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<sst xmlns="http://schemas.openxmlformats.org/spreadsheetml/2006/main" count="586" uniqueCount="174">
  <si>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</si>
  <si>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</si>
  <si>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</si>
  <si>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</si>
  <si>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</si>
  <si>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</si>
  <si>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</si>
  <si>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</si>
  <si>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</si>
  <si>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</si>
  <si>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</si>
  <si>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</si>
  <si>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</si>
  <si>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</si>
  <si>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</si>
  <si>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</si>
  <si>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</si>
  <si>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</si>
  <si>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</si>
  <si>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</si>
  <si>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</si>
  <si>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</si>
  <si>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</si>
  <si>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</si>
  <si>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</si>
  <si>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</si>
  <si>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</si>
  <si>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</si>
  <si>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</si>
  <si>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</si>
  <si>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</si>
  <si>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</si>
  <si>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</si>
  <si>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</si>
  <si>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</si>
  <si>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</si>
  <si>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</si>
  <si>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</si>
  <si>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</si>
  <si>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</si>
  <si>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</si>
  <si>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</si>
  <si>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</si>
  <si>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</si>
  <si>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</si>
  <si>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</si>
  <si>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</si>
  <si>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</si>
  <si>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</si>
  <si>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</si>
  <si>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</si>
  <si>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</si>
  <si>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</si>
  <si>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</si>
  <si>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</si>
  <si>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</si>
  <si>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</si>
  <si>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</si>
  <si>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</si>
  <si>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</si>
  <si>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</si>
  <si>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</si>
  <si>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</si>
  <si>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</si>
  <si>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</si>
  <si>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</si>
  <si>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</si>
  <si>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</si>
  <si>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</si>
  <si>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</si>
  <si>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</si>
  <si>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</si>
  <si>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</si>
  <si>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</si>
  <si>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</si>
  <si>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</si>
  <si>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</si>
  <si>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</si>
  <si>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</si>
  <si>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</si>
  <si>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</si>
  <si>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</si>
  <si>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</si>
  <si>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</si>
  <si>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</si>
  <si>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</si>
  <si>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</si>
  <si>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</si>
  <si>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</si>
  <si>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</si>
  <si>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</si>
  <si>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</si>
  <si>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</si>
  <si>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</si>
  <si>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</si>
  <si>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</si>
  <si>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</si>
  <si>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</si>
  <si>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</si>
  <si>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</si>
  <si>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</si>
  <si>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</si>
  <si>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</si>
  <si>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</si>
  <si>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</si>
  <si>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</si>
  <si>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</si>
  <si>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</si>
  <si>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</si>
  <si>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</si>
  <si>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</si>
  <si>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</si>
  <si>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15:12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</si>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</sst>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609</v>
      </c>
      <c r="C6" s="89"/>
      <c r="E6" s="88">
        <f>'Programa CAJAS REPORTE DIARIO'!CH77</f>
        <v>1527</v>
      </c>
      <c r="F6" s="89"/>
      <c r="H6" s="101">
        <f>B6+E6</f>
        <v>2136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127</v>
      </c>
      <c r="E22" s="72">
        <f>'Programa CAJAS REPORTE DIARIO'!AS77</f>
        <v>202</v>
      </c>
      <c r="F22" s="72">
        <f t="shared" si="0"/>
        <v>329</v>
      </c>
      <c r="G22" s="72">
        <f t="shared" si="1"/>
        <v>2136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609</v>
      </c>
      <c r="E23" s="75">
        <f>SUM(E11:E22)</f>
        <v>1527</v>
      </c>
      <c r="F23" s="75">
        <f>SUM(F11:F22)</f>
        <v>2136</v>
      </c>
      <c r="G23" s="75">
        <f>F23</f>
        <v>2136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609</v>
      </c>
      <c r="F3" s="79" t="s">
        <v>1</v>
      </c>
      <c r="I3" s="80">
        <f>'Programa CAJAS REPORTE DIARIO'!CH77+CN79</f>
        <v>2136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127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609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26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176</v>
      </c>
      <c r="CP27" s="27">
        <f t="shared" si="4"/>
        <v>176</v>
      </c>
      <c r="CQ27" s="22">
        <v>0</v>
      </c>
      <c r="CR27" s="22">
        <f t="shared" si="5"/>
        <v>176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194.5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141</v>
      </c>
      <c r="CP28" s="27">
        <f t="shared" si="4"/>
        <v>141</v>
      </c>
      <c r="CQ28" s="22">
        <v>0</v>
      </c>
      <c r="CR28" s="22">
        <f t="shared" si="5"/>
        <v>141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14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57</v>
      </c>
      <c r="CP42" s="27">
        <f t="shared" si="4"/>
        <v>57</v>
      </c>
      <c r="CQ42" s="22">
        <v>0</v>
      </c>
      <c r="CR42" s="22">
        <f t="shared" si="5"/>
        <v>57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31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33</v>
      </c>
      <c r="CP58" s="27">
        <f t="shared" si="11"/>
        <v>33</v>
      </c>
      <c r="CQ58" s="22">
        <v>0</v>
      </c>
      <c r="CR58" s="22">
        <f t="shared" si="12"/>
        <v>33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1646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127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609</v>
      </c>
      <c r="CP79" s="25">
        <f>+SUM(CP14:CP78)</f>
        <v>609</v>
      </c>
      <c r="CQ79" s="25">
        <f>+SUM(CQ14:CQ78)</f>
        <v>0</v>
      </c>
      <c r="CR79" s="25">
        <f>+SUM(CR14:CR78)</f>
        <v>609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6473.5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1527</v>
      </c>
      <c r="F3" s="79" t="s">
        <v>1</v>
      </c>
      <c r="I3" s="80">
        <f>'Programa CASETAS REPORTE DIARIO'!CN79+CH77</f>
        <v>2136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202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1527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27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359</v>
      </c>
      <c r="CJ27" s="27">
        <f t="shared" si="3"/>
        <v>359</v>
      </c>
      <c r="CK27" s="22">
        <v>0</v>
      </c>
      <c r="CL27" s="22">
        <f t="shared" si="4"/>
        <v>359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427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40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252</v>
      </c>
      <c r="CJ28" s="27">
        <f t="shared" si="3"/>
        <v>252</v>
      </c>
      <c r="CK28" s="22">
        <v>0</v>
      </c>
      <c r="CL28" s="22">
        <f t="shared" si="4"/>
        <v>252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-74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5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87</v>
      </c>
      <c r="CJ35" s="27">
        <f t="shared" si="3"/>
        <v>87</v>
      </c>
      <c r="CK35" s="22">
        <v>0</v>
      </c>
      <c r="CL35" s="22">
        <f t="shared" si="4"/>
        <v>87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12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11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41</v>
      </c>
      <c r="CJ36" s="27">
        <f t="shared" si="3"/>
        <v>41</v>
      </c>
      <c r="CK36" s="22">
        <v>0</v>
      </c>
      <c r="CL36" s="22">
        <f t="shared" si="4"/>
        <v>41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-41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13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73</v>
      </c>
      <c r="CJ43" s="27">
        <f t="shared" si="3"/>
        <v>73</v>
      </c>
      <c r="CK43" s="22">
        <v>0</v>
      </c>
      <c r="CL43" s="22">
        <f t="shared" si="4"/>
        <v>73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30</v>
      </c>
      <c r="CJ50" s="27">
        <f t="shared" si="11"/>
        <v>30</v>
      </c>
      <c r="CK50" s="22">
        <v>0</v>
      </c>
      <c r="CL50" s="22">
        <f t="shared" si="12"/>
        <v>30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172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19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60</v>
      </c>
      <c r="CJ57" s="27">
        <f t="shared" si="11"/>
        <v>60</v>
      </c>
      <c r="CK57" s="22">
        <v>0</v>
      </c>
      <c r="CL57" s="22">
        <f t="shared" si="12"/>
        <v>60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193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12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43</v>
      </c>
      <c r="CJ61" s="27">
        <f t="shared" si="11"/>
        <v>43</v>
      </c>
      <c r="CK61" s="22">
        <v>0</v>
      </c>
      <c r="CL61" s="22">
        <f t="shared" si="12"/>
        <v>43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18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63</v>
      </c>
      <c r="CJ70" s="27">
        <f t="shared" si="11"/>
        <v>63</v>
      </c>
      <c r="CK70" s="22">
        <v>0</v>
      </c>
      <c r="CL70" s="22">
        <f t="shared" si="12"/>
        <v>63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-49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202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1527</v>
      </c>
      <c r="CJ77" s="25">
        <f>+SUM(CJ14:CJ76)</f>
        <v>1527</v>
      </c>
      <c r="CK77" s="25">
        <f>+SUM(CK14:CK76)</f>
        <v>0</v>
      </c>
      <c r="CL77" s="25">
        <f>+SUM(CL14:CL76)</f>
        <v>1527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6980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2026-10-28T21:12:57Z</dcterms:modified>
</cp:coreProperties>
</file>