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3FA30BA-329E-4A66-8875-993AFB5CAD3D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25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W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W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W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CW76" i="2" l="1"/>
  <c r="CW59" i="2"/>
  <c r="CW52" i="2"/>
  <c r="CW38" i="2"/>
  <c r="CW44" i="2"/>
  <c r="CW75" i="2"/>
  <c r="CW67" i="2"/>
  <c r="CW65" i="2"/>
  <c r="CW58" i="2"/>
  <c r="CW41" i="2"/>
  <c r="CW73" i="2"/>
  <c r="CW39" i="2"/>
  <c r="CW78" i="2"/>
  <c r="CQ38" i="3"/>
  <c r="CQ37" i="3"/>
  <c r="CQ36" i="3"/>
  <c r="CQ30" i="3"/>
  <c r="CQ22" i="3"/>
  <c r="CQ21" i="3"/>
  <c r="CQ15" i="3"/>
  <c r="CW42" i="2"/>
  <c r="CW56" i="2"/>
  <c r="CW36" i="2"/>
  <c r="AO13" i="2"/>
  <c r="D24" i="1"/>
  <c r="F24" i="1" s="1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AD13" i="2"/>
  <c r="D13" i="1"/>
  <c r="F13" i="1" s="1"/>
  <c r="AC13" i="2"/>
  <c r="D12" i="1"/>
  <c r="F12" i="1" s="1"/>
  <c r="AB13" i="2"/>
  <c r="D11" i="1"/>
  <c r="CP14" i="3"/>
  <c r="CO77" i="3"/>
  <c r="CJ14" i="3"/>
  <c r="CH77" i="3"/>
  <c r="F11" i="1"/>
  <c r="CU79" i="2"/>
  <c r="CV14" i="2"/>
  <c r="CN79" i="2"/>
  <c r="CP14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32" i="3"/>
  <c r="CQ31" i="3"/>
  <c r="CQ20" i="3"/>
  <c r="CW72" i="2"/>
  <c r="CW70" i="2"/>
  <c r="CW69" i="2"/>
  <c r="CW61" i="2"/>
  <c r="CW60" i="2"/>
  <c r="CW51" i="2"/>
  <c r="CW50" i="2"/>
  <c r="CW43" i="2"/>
  <c r="CW40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5" i="3"/>
  <c r="CQ34" i="3"/>
  <c r="CQ33" i="3"/>
  <c r="CQ29" i="3"/>
  <c r="CQ28" i="3"/>
  <c r="CQ27" i="3"/>
  <c r="CQ26" i="3"/>
  <c r="CQ25" i="3"/>
  <c r="CQ24" i="3"/>
  <c r="CQ23" i="3"/>
  <c r="CQ19" i="3"/>
  <c r="CQ18" i="3"/>
  <c r="CQ17" i="3"/>
  <c r="CQ16" i="3"/>
  <c r="CW77" i="2"/>
  <c r="CW71" i="2"/>
  <c r="CW64" i="2"/>
  <c r="CW63" i="2"/>
  <c r="CW57" i="2"/>
  <c r="CW54" i="2"/>
  <c r="CW49" i="2"/>
  <c r="CW48" i="2"/>
  <c r="CW45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F14" i="1" l="1"/>
  <c r="F25" i="1" s="1"/>
  <c r="G25" i="1" s="1"/>
  <c r="D25" i="1"/>
  <c r="CP77" i="3"/>
  <c r="CQ14" i="3"/>
  <c r="CQ77" i="3" s="1"/>
  <c r="CJ77" i="3"/>
  <c r="CL14" i="3"/>
  <c r="CL77" i="3" s="1"/>
  <c r="CH13" i="3"/>
  <c r="I3" i="2"/>
  <c r="D3" i="3"/>
  <c r="E6" i="1"/>
  <c r="G11" i="1"/>
  <c r="G12" i="1" s="1"/>
  <c r="G13" i="1" s="1"/>
  <c r="CW14" i="2"/>
  <c r="CW79" i="2" s="1"/>
  <c r="CV79" i="2"/>
  <c r="B6" i="1"/>
  <c r="I3" i="3"/>
  <c r="D3" i="2"/>
  <c r="CN13" i="2"/>
  <c r="CR14" i="2"/>
  <c r="CR79" i="2" s="1"/>
  <c r="CP79" i="2"/>
  <c r="G14" i="1" l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H6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<sst xmlns="http://schemas.openxmlformats.org/spreadsheetml/2006/main" count="592" uniqueCount="176">
  <si>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</si>
  <si>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</si>
  <si>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</si>
  <si>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</si>
  <si>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</si>
  <si>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</si>
  <si>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</si>
  <si>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</si>
  <si>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</si>
  <si>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</si>
  <si>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</si>
  <si>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</si>
  <si>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</si>
  <si>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</si>
  <si>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</si>
  <si>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</si>
  <si>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</si>
  <si>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</si>
  <si>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</si>
  <si>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</si>
  <si>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</si>
  <si>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</si>
  <si>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</si>
  <si>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</si>
  <si>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</si>
  <si>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</si>
  <si>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</si>
  <si>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</si>
  <si>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</si>
  <si>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</si>
  <si>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</si>
  <si>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</si>
  <si>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</si>
  <si>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</si>
  <si>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</si>
  <si>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</si>
  <si>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</si>
  <si>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</si>
  <si>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</si>
  <si>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</si>
  <si>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</si>
  <si>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</si>
  <si>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</si>
  <si>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</si>
  <si>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</si>
  <si>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</si>
  <si>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</si>
  <si>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</si>
  <si>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</si>
  <si>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</si>
  <si>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</si>
  <si>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</si>
  <si>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</si>
  <si>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</si>
  <si>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</si>
  <si>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</si>
  <si>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</si>
  <si>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</si>
  <si>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</si>
  <si>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</si>
  <si>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</si>
  <si>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</si>
  <si>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</si>
  <si>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</si>
  <si>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</si>
  <si>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</si>
  <si>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</si>
  <si>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</si>
  <si>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</si>
  <si>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</si>
  <si>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</si>
  <si>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</si>
  <si>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</si>
  <si>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</si>
  <si>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</si>
  <si>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</si>
  <si>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</si>
  <si>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</si>
  <si>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</si>
  <si>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</si>
  <si>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</si>
  <si>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</si>
  <si>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</si>
  <si>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</si>
  <si>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</si>
  <si>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</si>
  <si>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</si>
  <si>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</si>
  <si>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</si>
  <si>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</si>
  <si>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</si>
  <si>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</si>
  <si>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</si>
  <si>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</si>
  <si>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</si>
  <si>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</si>
  <si>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</si>
  <si>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</si>
  <si>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</si>
  <si>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</si>
  <si>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</si>
  <si>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</si>
  <si>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</si>
  <si>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</si>
  <si>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</si>
  <si>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</si>
  <si>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</si>
  <si>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</si>
  <si>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</si>
  <si>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</si>
  <si>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</si>
  <si>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</si>
  <si>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14:00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</si>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</sst>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1009</v>
      </c>
      <c r="C6" s="89"/>
      <c r="E6" s="88">
        <f>'Programa CAJAS REPORTE DIARIO'!CH77</f>
        <v>2934</v>
      </c>
      <c r="F6" s="89"/>
      <c r="H6" s="101">
        <f>B6+E6</f>
        <v>3943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101</v>
      </c>
      <c r="E24" s="72">
        <f>'Programa CAJAS REPORTE DIARIO'!AU77</f>
        <v>459</v>
      </c>
      <c r="F24" s="72">
        <f t="shared" si="0"/>
        <v>560</v>
      </c>
      <c r="G24" s="72">
        <f t="shared" si="1"/>
        <v>3943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1009</v>
      </c>
      <c r="E25" s="75">
        <f>SUM(E11:E24)</f>
        <v>2934</v>
      </c>
      <c r="F25" s="75">
        <f>SUM(F11:F24)</f>
        <v>3943</v>
      </c>
      <c r="G25" s="75">
        <f>F25</f>
        <v>3943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1009</v>
      </c>
      <c r="F3" s="79" t="s">
        <v>1</v>
      </c>
      <c r="I3" s="80">
        <f>'Programa CAJAS REPORTE DIARIO'!CH77+CN79</f>
        <v>3943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101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1009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12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212</v>
      </c>
      <c r="CP27" s="27">
        <f t="shared" si="4"/>
        <v>212</v>
      </c>
      <c r="CQ27" s="22">
        <v>0</v>
      </c>
      <c r="CR27" s="22">
        <f t="shared" si="5"/>
        <v>212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12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125</v>
      </c>
      <c r="CP29" s="27">
        <f t="shared" si="4"/>
        <v>125</v>
      </c>
      <c r="CQ29" s="22">
        <v>0</v>
      </c>
      <c r="CR29" s="22">
        <f t="shared" si="5"/>
        <v>125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31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164</v>
      </c>
      <c r="CP42" s="27">
        <f t="shared" si="4"/>
        <v>164</v>
      </c>
      <c r="CQ42" s="22">
        <v>0</v>
      </c>
      <c r="CR42" s="22">
        <f t="shared" si="5"/>
        <v>164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-164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39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101</v>
      </c>
      <c r="CP56" s="27">
        <f t="shared" si="11"/>
        <v>101</v>
      </c>
      <c r="CQ56" s="22">
        <v>0</v>
      </c>
      <c r="CR56" s="22">
        <f t="shared" si="12"/>
        <v>101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-101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101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1009</v>
      </c>
      <c r="CP79" s="25">
        <f>+SUM(CP14:CP78)</f>
        <v>1009</v>
      </c>
      <c r="CQ79" s="25">
        <f>+SUM(CQ14:CQ78)</f>
        <v>0</v>
      </c>
      <c r="CR79" s="25">
        <f>+SUM(CR14:CR78)</f>
        <v>1009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6257.5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2934</v>
      </c>
      <c r="F3" s="79" t="s">
        <v>1</v>
      </c>
      <c r="I3" s="80">
        <f>'Programa CASETAS REPORTE DIARIO'!CN79+CH77</f>
        <v>3943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459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2934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38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475</v>
      </c>
      <c r="CJ27" s="27">
        <f t="shared" si="3"/>
        <v>475</v>
      </c>
      <c r="CK27" s="22">
        <v>0</v>
      </c>
      <c r="CL27" s="22">
        <f t="shared" si="4"/>
        <v>475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311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19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346</v>
      </c>
      <c r="CJ28" s="27">
        <f t="shared" si="3"/>
        <v>346</v>
      </c>
      <c r="CK28" s="22">
        <v>0</v>
      </c>
      <c r="CL28" s="22">
        <f t="shared" si="4"/>
        <v>346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-166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20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125</v>
      </c>
      <c r="CJ29" s="27">
        <f t="shared" si="3"/>
        <v>125</v>
      </c>
      <c r="CK29" s="22">
        <v>0</v>
      </c>
      <c r="CL29" s="22">
        <f t="shared" si="4"/>
        <v>125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151</v>
      </c>
      <c r="CJ37" s="27">
        <f t="shared" si="3"/>
        <v>151</v>
      </c>
      <c r="CK37" s="22">
        <v>0</v>
      </c>
      <c r="CL37" s="22">
        <f t="shared" si="4"/>
        <v>151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25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84</v>
      </c>
      <c r="CJ41" s="27">
        <f t="shared" si="3"/>
        <v>84</v>
      </c>
      <c r="CK41" s="22">
        <v>0</v>
      </c>
      <c r="CL41" s="22">
        <f t="shared" si="4"/>
        <v>84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496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8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339</v>
      </c>
      <c r="CJ46" s="27">
        <f t="shared" ref="CJ46:CJ76" si="11">CH46</f>
        <v>339</v>
      </c>
      <c r="CK46" s="22">
        <v>0</v>
      </c>
      <c r="CL46" s="22">
        <f t="shared" ref="CL46:CL77" si="12">CJ46+CK46</f>
        <v>339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1189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193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366</v>
      </c>
      <c r="CJ53" s="27">
        <f t="shared" si="11"/>
        <v>366</v>
      </c>
      <c r="CK53" s="22">
        <v>0</v>
      </c>
      <c r="CL53" s="22">
        <f t="shared" si="12"/>
        <v>366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-298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14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97</v>
      </c>
      <c r="CJ55" s="27">
        <f t="shared" si="11"/>
        <v>97</v>
      </c>
      <c r="CK55" s="22">
        <v>0</v>
      </c>
      <c r="CL55" s="22">
        <f t="shared" si="12"/>
        <v>97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-67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459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2934</v>
      </c>
      <c r="CJ77" s="25">
        <f>+SUM(CJ14:CJ76)</f>
        <v>2934</v>
      </c>
      <c r="CK77" s="25">
        <f>+SUM(CK14:CK76)</f>
        <v>0</v>
      </c>
      <c r="CL77" s="25">
        <f>+SUM(CL14:CL76)</f>
        <v>2934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8460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2026-10-30T20:00:43Z</dcterms:modified>
</cp:coreProperties>
</file>