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A8C6768-6336-40C7-B464-15ADBCD9CDEA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DC18" i="3"/>
  <c r="CO18" i="3"/>
  <c r="CP18" i="3" s="1"/>
  <c r="CH18" i="3"/>
  <c r="CJ18" i="3" s="1"/>
  <c r="CL18" i="3" s="1"/>
  <c r="DC17" i="3"/>
  <c r="CO17" i="3" s="1"/>
  <c r="CP17" i="3" s="1"/>
  <c r="CQ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W20" i="2" l="1"/>
  <c r="CW18" i="2"/>
  <c r="CW77" i="2"/>
  <c r="CW40" i="2"/>
  <c r="CW37" i="2"/>
  <c r="CW34" i="2"/>
  <c r="CW33" i="2"/>
  <c r="CW32" i="2"/>
  <c r="CW31" i="2"/>
  <c r="CW21" i="2"/>
  <c r="CW17" i="2"/>
  <c r="CW71" i="2"/>
  <c r="CW30" i="2"/>
  <c r="CW28" i="2"/>
  <c r="CW26" i="2"/>
  <c r="CW19" i="2"/>
  <c r="CW16" i="2"/>
  <c r="CW75" i="2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W76" i="2"/>
  <c r="AT13" i="3"/>
  <c r="E23" i="1"/>
  <c r="F23" i="1" s="1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E12" i="1"/>
  <c r="F12" i="1" s="1"/>
  <c r="AI13" i="3"/>
  <c r="AH13" i="3"/>
  <c r="E11" i="1"/>
  <c r="F11" i="1" s="1"/>
  <c r="CP32" i="3"/>
  <c r="CO77" i="3"/>
  <c r="CJ19" i="3"/>
  <c r="CH77" i="3"/>
  <c r="CQ14" i="3"/>
  <c r="CL14" i="3"/>
  <c r="CJ77" i="3"/>
  <c r="D24" i="1"/>
  <c r="CV14" i="2"/>
  <c r="CU79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W15" i="2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6" i="3"/>
  <c r="CQ15" i="3"/>
  <c r="CW74" i="2"/>
  <c r="CW73" i="2"/>
  <c r="CW72" i="2"/>
  <c r="CW24" i="2"/>
  <c r="CW38" i="2"/>
  <c r="CW35" i="2"/>
  <c r="CW22" i="2"/>
  <c r="CW27" i="2"/>
  <c r="CW25" i="2"/>
  <c r="CW23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39" i="2"/>
  <c r="CW36" i="2"/>
  <c r="CW29" i="2"/>
  <c r="CQ32" i="3" l="1"/>
  <c r="CP77" i="3"/>
  <c r="CQ19" i="3"/>
  <c r="CQ77" i="3" s="1"/>
  <c r="CL19" i="3"/>
  <c r="CL77" i="3" s="1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B6" i="1"/>
  <c r="I3" i="3"/>
  <c r="D3" i="2"/>
  <c r="CN13" i="2"/>
  <c r="CR14" i="2"/>
  <c r="CR79" i="2" s="1"/>
  <c r="CP79" i="2"/>
  <c r="E24" i="1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<sst xmlns="http://schemas.openxmlformats.org/spreadsheetml/2006/main" count="589" uniqueCount="175">
  <si>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</si>
  <si>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</si>
  <si>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</si>
  <si>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</si>
  <si>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</si>
  <si>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</si>
  <si>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</si>
  <si>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</si>
  <si>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</si>
  <si>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</si>
  <si>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</si>
  <si>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</si>
  <si>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</si>
  <si>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</si>
  <si>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</si>
  <si>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</si>
  <si>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</si>
  <si>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</si>
  <si>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</si>
  <si>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</si>
  <si>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</si>
  <si>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</si>
  <si>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</si>
  <si>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</si>
  <si>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</si>
  <si>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</si>
  <si>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</si>
  <si>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</si>
  <si>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</si>
  <si>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</si>
  <si>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</si>
  <si>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</si>
  <si>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</si>
  <si>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</si>
  <si>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</si>
  <si>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</si>
  <si>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</si>
  <si>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</si>
  <si>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</si>
  <si>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</si>
  <si>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</si>
  <si>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</si>
  <si>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</si>
  <si>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</si>
  <si>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</si>
  <si>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</si>
  <si>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</si>
  <si>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</si>
  <si>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</si>
  <si>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</si>
  <si>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</si>
  <si>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</si>
  <si>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</si>
  <si>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</si>
  <si>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</si>
  <si>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</si>
  <si>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</si>
  <si>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</si>
  <si>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</si>
  <si>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</si>
  <si>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</si>
  <si>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</si>
  <si>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</si>
  <si>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</si>
  <si>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</si>
  <si>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</si>
  <si>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</si>
  <si>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</si>
  <si>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</si>
  <si>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</si>
  <si>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</si>
  <si>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</si>
  <si>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</si>
  <si>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</si>
  <si>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</si>
  <si>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</si>
  <si>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</si>
  <si>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</si>
  <si>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</si>
  <si>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</si>
  <si>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</si>
  <si>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</si>
  <si>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</si>
  <si>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</si>
  <si>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</si>
  <si>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</si>
  <si>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</si>
  <si>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</si>
  <si>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</si>
  <si>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</si>
  <si>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</si>
  <si>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</si>
  <si>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</si>
  <si>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</si>
  <si>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</si>
  <si>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</si>
  <si>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</si>
  <si>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</si>
  <si>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</si>
  <si>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</si>
  <si>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</si>
  <si>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</si>
  <si>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</si>
  <si>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</si>
  <si>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</si>
  <si>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</si>
  <si>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</si>
  <si>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</si>
  <si>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</si>
  <si>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</si>
  <si>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</si>
  <si>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</si>
  <si>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20:16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</si>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</sst>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908</v>
      </c>
      <c r="C6" s="89"/>
      <c r="E6" s="88">
        <f>'Programa CAJAS REPORTE DIARIO'!CH77</f>
        <v>2461</v>
      </c>
      <c r="F6" s="89"/>
      <c r="H6" s="101">
        <f>B6+E6</f>
        <v>3369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732</v>
      </c>
      <c r="F23" s="70">
        <f t="shared" si="0"/>
        <v>981</v>
      </c>
      <c r="G23" s="70">
        <f t="shared" si="1"/>
        <v>3369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908</v>
      </c>
      <c r="E24" s="75">
        <f>SUM(E11:E23)</f>
        <v>2461</v>
      </c>
      <c r="F24" s="75">
        <f>SUM(F11:F23)</f>
        <v>3369</v>
      </c>
      <c r="G24" s="75">
        <f>F24</f>
        <v>3369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908</v>
      </c>
      <c r="F3" s="79" t="s">
        <v>1</v>
      </c>
      <c r="I3" s="80">
        <f>'Programa CAJAS REPORTE DIARIO'!CH77+CN79</f>
        <v>3369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908</v>
      </c>
      <c r="CP79" s="25">
        <f>+SUM(CP14:CP78)</f>
        <v>908</v>
      </c>
      <c r="CQ79" s="25">
        <f>+SUM(CQ14:CQ78)</f>
        <v>0</v>
      </c>
      <c r="CR79" s="25">
        <f>+SUM(CR14:CR78)</f>
        <v>908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6358.5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2461</v>
      </c>
      <c r="F3" s="79" t="s">
        <v>1</v>
      </c>
      <c r="I3" s="80">
        <f>'Programa CASETAS REPORTE DIARIO'!CN79+CH77</f>
        <v>3369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732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2461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437</v>
      </c>
      <c r="CJ27" s="27">
        <f t="shared" si="3"/>
        <v>437</v>
      </c>
      <c r="CK27" s="22">
        <v>0</v>
      </c>
      <c r="CL27" s="22">
        <f t="shared" si="4"/>
        <v>437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159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164</v>
      </c>
      <c r="CJ53" s="27">
        <f t="shared" si="11"/>
        <v>164</v>
      </c>
      <c r="CK53" s="22">
        <v>0</v>
      </c>
      <c r="CL53" s="22">
        <f t="shared" si="12"/>
        <v>164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-96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732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2461</v>
      </c>
      <c r="CJ77" s="25">
        <f>+SUM(CJ14:CJ76)</f>
        <v>2461</v>
      </c>
      <c r="CK77" s="25">
        <f>+SUM(CK14:CK76)</f>
        <v>0</v>
      </c>
      <c r="CL77" s="25">
        <f>+SUM(CL14:CL76)</f>
        <v>2461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8771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2026-10-30T02:17:00Z</dcterms:modified>
</cp:coreProperties>
</file>