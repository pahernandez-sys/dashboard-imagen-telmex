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C6C6308E-7147-4370-B1F7-4C10CAD5877F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DD16" i="2"/>
  <c r="CU16" i="2" s="1"/>
  <c r="CV16" i="2" s="1"/>
  <c r="CW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W22" i="2" l="1"/>
  <c r="CQ45" i="3"/>
  <c r="CQ44" i="3"/>
  <c r="CQ34" i="3"/>
  <c r="CW66" i="2"/>
  <c r="CW15" i="2"/>
  <c r="CW20" i="2"/>
  <c r="CW62" i="2"/>
  <c r="CW60" i="2"/>
  <c r="CW55" i="2"/>
  <c r="CW53" i="2"/>
  <c r="CW52" i="2"/>
  <c r="CW51" i="2"/>
  <c r="CW48" i="2"/>
  <c r="CW47" i="2"/>
  <c r="CW45" i="2"/>
  <c r="CW43" i="2"/>
  <c r="CW41" i="2"/>
  <c r="CW38" i="2"/>
  <c r="CW37" i="2"/>
  <c r="CW36" i="2"/>
  <c r="CW35" i="2"/>
  <c r="CW33" i="2"/>
  <c r="CW32" i="2"/>
  <c r="CW27" i="2"/>
  <c r="CW24" i="2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AJ13" i="3"/>
  <c r="E13" i="1"/>
  <c r="E12" i="1"/>
  <c r="AI13" i="3"/>
  <c r="E11" i="1"/>
  <c r="AH13" i="3"/>
  <c r="CP32" i="3"/>
  <c r="CO77" i="3"/>
  <c r="CH77" i="3"/>
  <c r="CJ32" i="3"/>
  <c r="CL32" i="3" s="1"/>
  <c r="CQ14" i="3"/>
  <c r="CP77" i="3"/>
  <c r="CL14" i="3"/>
  <c r="CL77" i="3" s="1"/>
  <c r="CJ77" i="3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F16" i="1" s="1"/>
  <c r="AG13" i="2"/>
  <c r="D15" i="1"/>
  <c r="F15" i="1" s="1"/>
  <c r="AF13" i="2"/>
  <c r="D14" i="1"/>
  <c r="F14" i="1" s="1"/>
  <c r="AE13" i="2"/>
  <c r="D13" i="1"/>
  <c r="F13" i="1" s="1"/>
  <c r="AD13" i="2"/>
  <c r="AC13" i="2"/>
  <c r="D12" i="1"/>
  <c r="D11" i="1"/>
  <c r="AB13" i="2"/>
  <c r="CU79" i="2"/>
  <c r="CV30" i="2"/>
  <c r="CW30" i="2" s="1"/>
  <c r="CN79" i="2"/>
  <c r="CP17" i="2"/>
  <c r="CP79" i="2" s="1"/>
  <c r="CW14" i="2"/>
  <c r="CV79" i="2"/>
  <c r="CR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43" i="3"/>
  <c r="CQ41" i="3"/>
  <c r="CQ39" i="3"/>
  <c r="CQ38" i="3"/>
  <c r="CQ37" i="3"/>
  <c r="CQ36" i="3"/>
  <c r="CQ35" i="3"/>
  <c r="CQ33" i="3"/>
  <c r="CQ31" i="3"/>
  <c r="CQ25" i="3"/>
  <c r="CQ24" i="3"/>
  <c r="CQ15" i="3"/>
  <c r="CQ29" i="3"/>
  <c r="CQ16" i="3"/>
  <c r="CQ54" i="3"/>
  <c r="CQ53" i="3"/>
  <c r="CQ52" i="3"/>
  <c r="CQ51" i="3"/>
  <c r="CQ50" i="3"/>
  <c r="CQ49" i="3"/>
  <c r="CQ48" i="3"/>
  <c r="CQ47" i="3"/>
  <c r="CQ46" i="3"/>
  <c r="CQ30" i="3"/>
  <c r="CQ26" i="3"/>
  <c r="CQ23" i="3"/>
  <c r="CQ22" i="3"/>
  <c r="CQ21" i="3"/>
  <c r="CQ17" i="3"/>
  <c r="CW21" i="2"/>
  <c r="CW18" i="2"/>
  <c r="CQ42" i="3"/>
  <c r="CQ40" i="3"/>
  <c r="CQ28" i="3"/>
  <c r="CQ27" i="3"/>
  <c r="CQ20" i="3"/>
  <c r="CQ19" i="3"/>
  <c r="CQ18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5" i="2"/>
  <c r="CW64" i="2"/>
  <c r="CW63" i="2"/>
  <c r="CW61" i="2"/>
  <c r="CW58" i="2"/>
  <c r="CW54" i="2"/>
  <c r="CW19" i="2"/>
  <c r="CW50" i="2"/>
  <c r="CW46" i="2"/>
  <c r="CW40" i="2"/>
  <c r="CW39" i="2"/>
  <c r="CW31" i="2"/>
  <c r="CW25" i="2"/>
  <c r="CW23" i="2"/>
  <c r="CW59" i="2"/>
  <c r="CW57" i="2"/>
  <c r="CW56" i="2"/>
  <c r="CW49" i="2"/>
  <c r="CW44" i="2"/>
  <c r="CW42" i="2"/>
  <c r="CW34" i="2"/>
  <c r="CW28" i="2"/>
  <c r="CW29" i="2"/>
  <c r="CW26" i="2"/>
  <c r="F12" i="1" l="1"/>
  <c r="I3" i="2"/>
  <c r="D3" i="3"/>
  <c r="E6" i="1"/>
  <c r="CH13" i="3"/>
  <c r="F11" i="1"/>
  <c r="D23" i="1"/>
  <c r="B6" i="1"/>
  <c r="D3" i="2"/>
  <c r="CN13" i="2"/>
  <c r="I3" i="3"/>
  <c r="CW17" i="2"/>
  <c r="CW79" i="2" s="1"/>
  <c r="CR17" i="2"/>
  <c r="CR79" i="2" s="1"/>
  <c r="E23" i="1"/>
  <c r="CQ32" i="3"/>
  <c r="CQ77" i="3" s="1"/>
  <c r="F22" i="1"/>
  <c r="F21" i="1"/>
  <c r="F20" i="1"/>
  <c r="F19" i="1"/>
  <c r="F18" i="1"/>
  <c r="F17" i="1"/>
  <c r="H6" i="1" l="1"/>
  <c r="F23" i="1"/>
  <c r="G23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<sst xmlns="http://schemas.openxmlformats.org/spreadsheetml/2006/main" count="586" uniqueCount="174">
  <si>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</si>
  <si>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</si>
  <si>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</si>
  <si>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</si>
  <si>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</si>
  <si>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</si>
  <si>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</si>
  <si>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</si>
  <si>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</si>
  <si>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</si>
  <si>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</si>
  <si>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</si>
  <si>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</si>
  <si>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</si>
  <si>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</si>
  <si>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</si>
  <si>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</si>
  <si>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</si>
  <si>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</si>
  <si>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</si>
  <si>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</si>
  <si>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</si>
  <si>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</si>
  <si>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</si>
  <si>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</si>
  <si>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</si>
  <si>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</si>
  <si>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</si>
  <si>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</si>
  <si>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</si>
  <si>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</si>
  <si>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</si>
  <si>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</si>
  <si>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</si>
  <si>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</si>
  <si>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</si>
  <si>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</si>
  <si>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</si>
  <si>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</si>
  <si>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</si>
  <si>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</si>
  <si>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</si>
  <si>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</si>
  <si>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</si>
  <si>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</si>
  <si>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</si>
  <si>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</si>
  <si>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</si>
  <si>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</si>
  <si>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</si>
  <si>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</si>
  <si>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</si>
  <si>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</si>
  <si>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</si>
  <si>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</si>
  <si>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</si>
  <si>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</si>
  <si>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</si>
  <si>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</si>
  <si>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</si>
  <si>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</si>
  <si>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</si>
  <si>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</si>
  <si>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</si>
  <si>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</si>
  <si>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</si>
  <si>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</si>
  <si>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</si>
  <si>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</si>
  <si>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</si>
  <si>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</si>
  <si>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</si>
  <si>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</si>
  <si>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</si>
  <si>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</si>
  <si>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</si>
  <si>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</si>
  <si>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</si>
  <si>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</si>
  <si>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</si>
  <si>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</si>
  <si>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</si>
  <si>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</si>
  <si>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</si>
  <si>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</si>
  <si>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</si>
  <si>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</si>
  <si>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</si>
  <si>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</si>
  <si>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</si>
  <si>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</si>
  <si>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</si>
  <si>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</si>
  <si>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</si>
  <si>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</si>
  <si>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</si>
  <si>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</si>
  <si>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</si>
  <si>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</si>
  <si>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</si>
  <si>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</si>
  <si>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</si>
  <si>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</si>
  <si>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</si>
  <si>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</si>
  <si>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</si>
  <si>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</si>
  <si>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</si>
  <si>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</si>
  <si>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</si>
  <si>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</si>
  <si>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</si>
  <si>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18:42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</si>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</sst>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632</v>
      </c>
      <c r="C6" s="89"/>
      <c r="E6" s="88">
        <f>'Programa CAJAS REPORTE DIARIO'!CH77</f>
        <v>1658</v>
      </c>
      <c r="F6" s="89"/>
      <c r="H6" s="101">
        <f>B6+E6</f>
        <v>2290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150</v>
      </c>
      <c r="E22" s="72">
        <f>'Programa CAJAS REPORTE DIARIO'!AS77</f>
        <v>333</v>
      </c>
      <c r="F22" s="72">
        <f t="shared" si="0"/>
        <v>483</v>
      </c>
      <c r="G22" s="72">
        <f t="shared" si="1"/>
        <v>2290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632</v>
      </c>
      <c r="E23" s="75">
        <f>SUM(E11:E22)</f>
        <v>1658</v>
      </c>
      <c r="F23" s="75">
        <f>SUM(F11:F22)</f>
        <v>2290</v>
      </c>
      <c r="G23" s="75">
        <f>F23</f>
        <v>2290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632</v>
      </c>
      <c r="F3" s="79" t="s">
        <v>1</v>
      </c>
      <c r="I3" s="80">
        <f>'Programa CAJAS REPORTE DIARIO'!CH77+CN79</f>
        <v>2290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150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68</v>
      </c>
      <c r="CP42" s="27">
        <f t="shared" si="4"/>
        <v>68</v>
      </c>
      <c r="CQ42" s="22">
        <v>0</v>
      </c>
      <c r="CR42" s="22">
        <f t="shared" si="5"/>
        <v>68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150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632</v>
      </c>
      <c r="CP79" s="25">
        <f>+SUM(CP14:CP78)</f>
        <v>632</v>
      </c>
      <c r="CQ79" s="25">
        <f>+SUM(CQ14:CQ78)</f>
        <v>0</v>
      </c>
      <c r="CR79" s="25">
        <f>+SUM(CR14:CR78)</f>
        <v>632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1658</v>
      </c>
      <c r="F3" s="79" t="s">
        <v>1</v>
      </c>
      <c r="I3" s="80">
        <f>'Programa CASETAS REPORTE DIARIO'!CN79+CH77</f>
        <v>2290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333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1658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52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264</v>
      </c>
      <c r="CJ28" s="27">
        <f t="shared" si="3"/>
        <v>264</v>
      </c>
      <c r="CK28" s="22">
        <v>0</v>
      </c>
      <c r="CL28" s="22">
        <f t="shared" si="4"/>
        <v>264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6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19</v>
      </c>
      <c r="CJ41" s="27">
        <f t="shared" si="3"/>
        <v>19</v>
      </c>
      <c r="CK41" s="22">
        <v>0</v>
      </c>
      <c r="CL41" s="22">
        <f t="shared" si="4"/>
        <v>19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-6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333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1658</v>
      </c>
      <c r="CJ77" s="25">
        <f>+SUM(CJ14:CJ76)</f>
        <v>1658</v>
      </c>
      <c r="CK77" s="25">
        <f>+SUM(CK14:CK76)</f>
        <v>0</v>
      </c>
      <c r="CL77" s="25">
        <f>+SUM(CL14:CL76)</f>
        <v>1658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6849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2026-10-29T00:42:20Z</dcterms:modified>
</cp:coreProperties>
</file>