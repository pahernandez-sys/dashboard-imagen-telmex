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22DC187-F342-463A-B6F2-EE7E9F96EA1F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D24" i="1" s="1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W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W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W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57" i="2" l="1"/>
  <c r="CW69" i="2"/>
  <c r="CW56" i="2"/>
  <c r="CW51" i="2"/>
  <c r="CW54" i="2"/>
  <c r="CW42" i="2"/>
  <c r="CW50" i="2"/>
  <c r="E24" i="1"/>
  <c r="F24" i="1" s="1"/>
  <c r="AU13" i="3"/>
  <c r="E23" i="1"/>
  <c r="F23" i="1" s="1"/>
  <c r="AT13" i="3"/>
  <c r="E22" i="1"/>
  <c r="F22" i="1" s="1"/>
  <c r="AS13" i="3"/>
  <c r="AR13" i="3"/>
  <c r="E21" i="1"/>
  <c r="F21" i="1" s="1"/>
  <c r="E20" i="1"/>
  <c r="F20" i="1" s="1"/>
  <c r="AQ13" i="3"/>
  <c r="AP13" i="3"/>
  <c r="E19" i="1"/>
  <c r="F19" i="1" s="1"/>
  <c r="E18" i="1"/>
  <c r="F18" i="1" s="1"/>
  <c r="AO13" i="3"/>
  <c r="AN13" i="3"/>
  <c r="E17" i="1"/>
  <c r="F17" i="1" s="1"/>
  <c r="E16" i="1"/>
  <c r="F16" i="1" s="1"/>
  <c r="AM13" i="3"/>
  <c r="AL13" i="3"/>
  <c r="E15" i="1"/>
  <c r="F15" i="1" s="1"/>
  <c r="E14" i="1"/>
  <c r="F14" i="1" s="1"/>
  <c r="AK13" i="3"/>
  <c r="AJ13" i="3"/>
  <c r="E13" i="1"/>
  <c r="F13" i="1" s="1"/>
  <c r="E12" i="1"/>
  <c r="F12" i="1" s="1"/>
  <c r="AI13" i="3"/>
  <c r="E11" i="1"/>
  <c r="AH13" i="3"/>
  <c r="CP32" i="3"/>
  <c r="CQ32" i="3" s="1"/>
  <c r="CO77" i="3"/>
  <c r="CJ19" i="3"/>
  <c r="CH77" i="3"/>
  <c r="CP77" i="3"/>
  <c r="CQ14" i="3"/>
  <c r="CL14" i="3"/>
  <c r="CJ77" i="3"/>
  <c r="F11" i="1"/>
  <c r="D25" i="1"/>
  <c r="CV79" i="2"/>
  <c r="CN79" i="2"/>
  <c r="CP14" i="2"/>
  <c r="CW14" i="2" s="1"/>
  <c r="CW76" i="2"/>
  <c r="CW71" i="2"/>
  <c r="CW53" i="2"/>
  <c r="CW49" i="2"/>
  <c r="CW4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1" i="3"/>
  <c r="CQ30" i="3"/>
  <c r="CQ29" i="3"/>
  <c r="CQ28" i="3"/>
  <c r="CW78" i="2"/>
  <c r="CW77" i="2"/>
  <c r="CW75" i="2"/>
  <c r="CW74" i="2"/>
  <c r="CW72" i="2"/>
  <c r="CW68" i="2"/>
  <c r="CW67" i="2"/>
  <c r="CW66" i="2"/>
  <c r="CW65" i="2"/>
  <c r="CW64" i="2"/>
  <c r="CW63" i="2"/>
  <c r="CW62" i="2"/>
  <c r="CW61" i="2"/>
  <c r="CW60" i="2"/>
  <c r="CW59" i="2"/>
  <c r="CW55" i="2"/>
  <c r="CW52" i="2"/>
  <c r="CW47" i="2"/>
  <c r="CW46" i="2"/>
  <c r="CW43" i="2"/>
  <c r="CQ27" i="3"/>
  <c r="CQ26" i="3"/>
  <c r="CQ25" i="3"/>
  <c r="CQ24" i="3"/>
  <c r="CQ23" i="3"/>
  <c r="CQ22" i="3"/>
  <c r="CQ21" i="3"/>
  <c r="CQ20" i="3"/>
  <c r="CQ18" i="3"/>
  <c r="CQ17" i="3"/>
  <c r="CQ16" i="3"/>
  <c r="CQ15" i="3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U79" i="2"/>
  <c r="CW79" i="2" l="1"/>
  <c r="CQ19" i="3"/>
  <c r="CQ77" i="3" s="1"/>
  <c r="CL19" i="3"/>
  <c r="CL77" i="3" s="1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CN13" i="2"/>
  <c r="B6" i="1"/>
  <c r="I3" i="3"/>
  <c r="D3" i="2"/>
  <c r="CR14" i="2"/>
  <c r="CR79" i="2" s="1"/>
  <c r="CP79" i="2"/>
  <c r="E25" i="1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<sst xmlns="http://schemas.openxmlformats.org/spreadsheetml/2006/main" count="592" uniqueCount="176">
  <si>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</si>
  <si>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</si>
  <si>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</si>
  <si>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</si>
  <si>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</si>
  <si>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</si>
  <si>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</si>
  <si>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</si>
  <si>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</si>
  <si>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</si>
  <si>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</si>
  <si>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</si>
  <si>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</si>
  <si>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</si>
  <si>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</si>
  <si>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</si>
  <si>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</si>
  <si>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</si>
  <si>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</si>
  <si>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</si>
  <si>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</si>
  <si>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</si>
  <si>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</si>
  <si>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</si>
  <si>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</si>
  <si>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</si>
  <si>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</si>
  <si>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</si>
  <si>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</si>
  <si>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</si>
  <si>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</si>
  <si>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</si>
  <si>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</si>
  <si>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</si>
  <si>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</si>
  <si>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</si>
  <si>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</si>
  <si>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</si>
  <si>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</si>
  <si>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</si>
  <si>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</si>
  <si>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</si>
  <si>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</si>
  <si>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</si>
  <si>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</si>
  <si>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</si>
  <si>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</si>
  <si>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</si>
  <si>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</si>
  <si>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</si>
  <si>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</si>
  <si>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</si>
  <si>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</si>
  <si>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</si>
  <si>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</si>
  <si>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</si>
  <si>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</si>
  <si>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</si>
  <si>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</si>
  <si>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</si>
  <si>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</si>
  <si>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</si>
  <si>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</si>
  <si>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</si>
  <si>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</si>
  <si>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</si>
  <si>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</si>
  <si>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</si>
  <si>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</si>
  <si>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</si>
  <si>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</si>
  <si>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</si>
  <si>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</si>
  <si>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</si>
  <si>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</si>
  <si>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</si>
  <si>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</si>
  <si>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</si>
  <si>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</si>
  <si>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</si>
  <si>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</si>
  <si>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</si>
  <si>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</si>
  <si>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</si>
  <si>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</si>
  <si>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</si>
  <si>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</si>
  <si>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</si>
  <si>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</si>
  <si>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</si>
  <si>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</si>
  <si>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</si>
  <si>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</si>
  <si>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</si>
  <si>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</si>
  <si>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</si>
  <si>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</si>
  <si>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</si>
  <si>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</si>
  <si>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</si>
  <si>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</si>
  <si>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</si>
  <si>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</si>
  <si>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</si>
  <si>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</si>
  <si>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</si>
  <si>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</si>
  <si>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</si>
  <si>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</si>
  <si>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</si>
  <si>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</si>
  <si>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</si>
  <si>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16:07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</si>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</sst>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1052</v>
      </c>
      <c r="C6" s="89"/>
      <c r="E6" s="88">
        <f>'Programa CAJAS REPORTE DIARIO'!CH77</f>
        <v>3099</v>
      </c>
      <c r="F6" s="89"/>
      <c r="H6" s="101">
        <f>B6+E6</f>
        <v>4151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144</v>
      </c>
      <c r="E24" s="72">
        <f>'Programa CAJAS REPORTE DIARIO'!AU77</f>
        <v>624</v>
      </c>
      <c r="F24" s="72">
        <f t="shared" si="0"/>
        <v>768</v>
      </c>
      <c r="G24" s="72">
        <f t="shared" si="1"/>
        <v>4151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1052</v>
      </c>
      <c r="E25" s="75">
        <f>SUM(E11:E24)</f>
        <v>3099</v>
      </c>
      <c r="F25" s="75">
        <f>SUM(F11:F24)</f>
        <v>4151</v>
      </c>
      <c r="G25" s="75">
        <f>F25</f>
        <v>4151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1052</v>
      </c>
      <c r="F3" s="79" t="s">
        <v>1</v>
      </c>
      <c r="I3" s="80">
        <f>'Programa CAJAS REPORTE DIARIO'!CH77+CN79</f>
        <v>4151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144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1052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18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218</v>
      </c>
      <c r="CP27" s="27">
        <f t="shared" si="4"/>
        <v>218</v>
      </c>
      <c r="CQ27" s="22">
        <v>0</v>
      </c>
      <c r="CR27" s="22">
        <f t="shared" si="5"/>
        <v>218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20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133</v>
      </c>
      <c r="CP29" s="27">
        <f t="shared" si="4"/>
        <v>133</v>
      </c>
      <c r="CQ29" s="22">
        <v>0</v>
      </c>
      <c r="CR29" s="22">
        <f t="shared" si="5"/>
        <v>133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273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43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176</v>
      </c>
      <c r="CP42" s="27">
        <f t="shared" si="4"/>
        <v>176</v>
      </c>
      <c r="CQ42" s="22">
        <v>0</v>
      </c>
      <c r="CR42" s="22">
        <f t="shared" si="5"/>
        <v>176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-176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>
        <v>1</v>
      </c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1</v>
      </c>
      <c r="CP54" s="27">
        <f t="shared" si="11"/>
        <v>1</v>
      </c>
      <c r="CQ54" s="22">
        <v>0</v>
      </c>
      <c r="CR54" s="22">
        <f t="shared" si="12"/>
        <v>1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-1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55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117</v>
      </c>
      <c r="CP56" s="27">
        <f t="shared" si="11"/>
        <v>117</v>
      </c>
      <c r="CQ56" s="22">
        <v>0</v>
      </c>
      <c r="CR56" s="22">
        <f t="shared" si="12"/>
        <v>117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-117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144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1052</v>
      </c>
      <c r="CP79" s="25">
        <f>+SUM(CP14:CP78)</f>
        <v>1052</v>
      </c>
      <c r="CQ79" s="25">
        <f>+SUM(CQ14:CQ78)</f>
        <v>0</v>
      </c>
      <c r="CR79" s="25">
        <f>+SUM(CR14:CR78)</f>
        <v>1052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6214.5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3099</v>
      </c>
      <c r="F3" s="79" t="s">
        <v>1</v>
      </c>
      <c r="I3" s="80">
        <f>'Programa CASETAS REPORTE DIARIO'!CN79+CH77</f>
        <v>4151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624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3099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55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492</v>
      </c>
      <c r="CJ27" s="27">
        <f t="shared" si="3"/>
        <v>492</v>
      </c>
      <c r="CK27" s="22">
        <v>0</v>
      </c>
      <c r="CL27" s="22">
        <f t="shared" si="4"/>
        <v>492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294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24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351</v>
      </c>
      <c r="CJ28" s="27">
        <f t="shared" si="3"/>
        <v>351</v>
      </c>
      <c r="CK28" s="22">
        <v>0</v>
      </c>
      <c r="CL28" s="22">
        <f t="shared" si="4"/>
        <v>351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-171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37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142</v>
      </c>
      <c r="CJ29" s="27">
        <f t="shared" si="3"/>
        <v>142</v>
      </c>
      <c r="CK29" s="22">
        <v>0</v>
      </c>
      <c r="CL29" s="22">
        <f t="shared" si="4"/>
        <v>142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1194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7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57</v>
      </c>
      <c r="CJ36" s="27">
        <f t="shared" si="3"/>
        <v>57</v>
      </c>
      <c r="CK36" s="22">
        <v>0</v>
      </c>
      <c r="CL36" s="22">
        <f t="shared" si="4"/>
        <v>57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116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202</v>
      </c>
      <c r="CJ37" s="27">
        <f t="shared" si="3"/>
        <v>202</v>
      </c>
      <c r="CK37" s="22">
        <v>0</v>
      </c>
      <c r="CL37" s="22">
        <f t="shared" si="4"/>
        <v>202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373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43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102</v>
      </c>
      <c r="CJ41" s="27">
        <f t="shared" si="3"/>
        <v>102</v>
      </c>
      <c r="CK41" s="22">
        <v>0</v>
      </c>
      <c r="CL41" s="22">
        <f t="shared" si="4"/>
        <v>102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478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231</v>
      </c>
      <c r="CJ43" s="27">
        <f t="shared" si="3"/>
        <v>231</v>
      </c>
      <c r="CK43" s="22">
        <v>0</v>
      </c>
      <c r="CL43" s="22">
        <f t="shared" si="4"/>
        <v>231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-211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12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343</v>
      </c>
      <c r="CJ46" s="27">
        <f t="shared" ref="CJ46:CJ76" si="11">CH46</f>
        <v>343</v>
      </c>
      <c r="CK46" s="22">
        <v>0</v>
      </c>
      <c r="CL46" s="22">
        <f t="shared" ref="CL46:CL77" si="12">CJ46+CK46</f>
        <v>343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1185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236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409</v>
      </c>
      <c r="CJ53" s="27">
        <f t="shared" si="11"/>
        <v>409</v>
      </c>
      <c r="CK53" s="22">
        <v>0</v>
      </c>
      <c r="CL53" s="22">
        <f t="shared" si="12"/>
        <v>409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-341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20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103</v>
      </c>
      <c r="CJ55" s="27">
        <f t="shared" si="11"/>
        <v>103</v>
      </c>
      <c r="CK55" s="22">
        <v>0</v>
      </c>
      <c r="CL55" s="22">
        <f t="shared" si="12"/>
        <v>103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-73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>
        <v>2</v>
      </c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70</v>
      </c>
      <c r="CJ61" s="27">
        <f t="shared" si="11"/>
        <v>70</v>
      </c>
      <c r="CK61" s="22">
        <v>0</v>
      </c>
      <c r="CL61" s="22">
        <f t="shared" si="12"/>
        <v>70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-38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624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3099</v>
      </c>
      <c r="CJ77" s="25">
        <f>+SUM(CJ14:CJ76)</f>
        <v>3099</v>
      </c>
      <c r="CK77" s="25">
        <f>+SUM(CK14:CK76)</f>
        <v>0</v>
      </c>
      <c r="CL77" s="25">
        <f>+SUM(CL14:CL76)</f>
        <v>3099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8295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2026-10-30T22:07:51Z</dcterms:modified>
</cp:coreProperties>
</file>