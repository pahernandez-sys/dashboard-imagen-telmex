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B40431A-A732-4100-A379-F5E38CB0867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W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V13" i="2"/>
  <c r="CQ24" i="3" l="1"/>
  <c r="CW36" i="2"/>
  <c r="CW34" i="2"/>
  <c r="CW32" i="2"/>
  <c r="AT13" i="3"/>
  <c r="E23" i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Q74" i="3"/>
  <c r="CQ73" i="3"/>
  <c r="CW33" i="2"/>
  <c r="CQ21" i="3"/>
  <c r="CQ30" i="3"/>
  <c r="CQ18" i="3"/>
  <c r="CQ16" i="3"/>
  <c r="CW77" i="2"/>
  <c r="CW71" i="2"/>
  <c r="CW44" i="2"/>
  <c r="CW42" i="2"/>
  <c r="CP14" i="3"/>
  <c r="CO77" i="3"/>
  <c r="CH77" i="3"/>
  <c r="CJ14" i="3"/>
  <c r="AN13" i="2"/>
  <c r="D23" i="1"/>
  <c r="F23" i="1" s="1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AG13" i="2"/>
  <c r="D16" i="1"/>
  <c r="F16" i="1" s="1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AB13" i="2"/>
  <c r="D11" i="1"/>
  <c r="CN79" i="2"/>
  <c r="CP45" i="2"/>
  <c r="CV30" i="2"/>
  <c r="CW30" i="2" s="1"/>
  <c r="CU79" i="2"/>
  <c r="CW14" i="2"/>
  <c r="CV79" i="2"/>
  <c r="CR14" i="2"/>
  <c r="CP79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29" i="3"/>
  <c r="CQ28" i="3"/>
  <c r="CQ26" i="3"/>
  <c r="CQ25" i="3"/>
  <c r="CQ23" i="3"/>
  <c r="CQ22" i="3"/>
  <c r="CQ20" i="3"/>
  <c r="CQ19" i="3"/>
  <c r="CQ17" i="3"/>
  <c r="CQ27" i="3"/>
  <c r="CW78" i="2"/>
  <c r="CW39" i="2"/>
  <c r="CW38" i="2"/>
  <c r="CW37" i="2"/>
  <c r="CW31" i="2"/>
  <c r="CW29" i="2"/>
  <c r="CW28" i="2"/>
  <c r="CW2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3" i="2"/>
  <c r="CW41" i="2"/>
  <c r="CW35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15" i="3"/>
  <c r="E24" i="1" l="1"/>
  <c r="CQ14" i="3"/>
  <c r="CQ77" i="3" s="1"/>
  <c r="CP77" i="3"/>
  <c r="I3" i="2"/>
  <c r="E6" i="1"/>
  <c r="D3" i="3"/>
  <c r="CH13" i="3"/>
  <c r="CL14" i="3"/>
  <c r="CL77" i="3" s="1"/>
  <c r="CJ77" i="3"/>
  <c r="F11" i="1"/>
  <c r="D24" i="1"/>
  <c r="B6" i="1"/>
  <c r="H6" i="1" s="1"/>
  <c r="I3" i="3"/>
  <c r="D3" i="2"/>
  <c r="CN13" i="2"/>
  <c r="CW45" i="2"/>
  <c r="CR45" i="2"/>
  <c r="CR79" i="2" s="1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<sst xmlns="http://schemas.openxmlformats.org/spreadsheetml/2006/main" count="589" uniqueCount="175">
  <si>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</si>
  <si>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</si>
  <si>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</si>
  <si>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</si>
  <si>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</si>
  <si>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</si>
  <si>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</si>
  <si>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</si>
  <si>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</si>
  <si>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</si>
  <si>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</si>
  <si>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</si>
  <si>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</si>
  <si>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</si>
  <si>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</si>
  <si>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</si>
  <si>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</si>
  <si>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</si>
  <si>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</si>
  <si>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</si>
  <si>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</si>
  <si>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</si>
  <si>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</si>
  <si>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</si>
  <si>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</si>
  <si>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</si>
  <si>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</si>
  <si>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</si>
  <si>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</si>
  <si>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</si>
  <si>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</si>
  <si>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</si>
  <si>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</si>
  <si>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</si>
  <si>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</si>
  <si>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</si>
  <si>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</si>
  <si>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</si>
  <si>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</si>
  <si>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</si>
  <si>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</si>
  <si>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</si>
  <si>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</si>
  <si>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</si>
  <si>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</si>
  <si>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</si>
  <si>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</si>
  <si>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</si>
  <si>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</si>
  <si>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</si>
  <si>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</si>
  <si>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</si>
  <si>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</si>
  <si>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</si>
  <si>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</si>
  <si>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</si>
  <si>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</si>
  <si>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</si>
  <si>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</si>
  <si>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</si>
  <si>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</si>
  <si>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</si>
  <si>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</si>
  <si>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</si>
  <si>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</si>
  <si>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</si>
  <si>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</si>
  <si>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</si>
  <si>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</si>
  <si>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</si>
  <si>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</si>
  <si>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</si>
  <si>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</si>
  <si>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</si>
  <si>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</si>
  <si>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</si>
  <si>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</si>
  <si>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</si>
  <si>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</si>
  <si>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</si>
  <si>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</si>
  <si>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</si>
  <si>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</si>
  <si>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</si>
  <si>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</si>
  <si>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</si>
  <si>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</si>
  <si>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</si>
  <si>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</si>
  <si>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</si>
  <si>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</si>
  <si>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</si>
  <si>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</si>
  <si>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</si>
  <si>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</si>
  <si>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</si>
  <si>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</si>
  <si>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</si>
  <si>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</si>
  <si>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</si>
  <si>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</si>
  <si>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</si>
  <si>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</si>
  <si>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</si>
  <si>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</si>
  <si>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</si>
  <si>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</si>
  <si>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</si>
  <si>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</si>
  <si>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</si>
  <si>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</si>
  <si>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</si>
  <si>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15:16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</si>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</sst>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784</v>
      </c>
      <c r="C6" s="89"/>
      <c r="E6" s="88">
        <f>'Programa CAJAS REPORTE DIARIO'!CH77</f>
        <v>2107</v>
      </c>
      <c r="F6" s="89"/>
      <c r="H6" s="101">
        <f>B6+E6</f>
        <v>2891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125</v>
      </c>
      <c r="E23" s="70">
        <f>'Programa CAJAS REPORTE DIARIO'!AT77</f>
        <v>378</v>
      </c>
      <c r="F23" s="70">
        <f t="shared" si="0"/>
        <v>503</v>
      </c>
      <c r="G23" s="70">
        <f t="shared" si="1"/>
        <v>2891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784</v>
      </c>
      <c r="E24" s="75">
        <f>SUM(E11:E23)</f>
        <v>2107</v>
      </c>
      <c r="F24" s="75">
        <f>SUM(F11:F23)</f>
        <v>2891</v>
      </c>
      <c r="G24" s="75">
        <f>F24</f>
        <v>2891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784</v>
      </c>
      <c r="F3" s="79" t="s">
        <v>1</v>
      </c>
      <c r="I3" s="80">
        <f>'Programa CAJAS REPORTE DIARIO'!CH77+CN79</f>
        <v>2891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125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784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190</v>
      </c>
      <c r="CP27" s="27">
        <f t="shared" si="4"/>
        <v>190</v>
      </c>
      <c r="CQ27" s="22">
        <v>0</v>
      </c>
      <c r="CR27" s="22">
        <f t="shared" si="5"/>
        <v>190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25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170</v>
      </c>
      <c r="CP28" s="27">
        <f t="shared" si="4"/>
        <v>170</v>
      </c>
      <c r="CQ28" s="22">
        <v>0</v>
      </c>
      <c r="CR28" s="22">
        <f t="shared" si="5"/>
        <v>170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83</v>
      </c>
      <c r="CP42" s="27">
        <f t="shared" si="4"/>
        <v>83</v>
      </c>
      <c r="CQ42" s="22">
        <v>0</v>
      </c>
      <c r="CR42" s="22">
        <f t="shared" si="5"/>
        <v>83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39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39</v>
      </c>
      <c r="CP56" s="27">
        <f t="shared" si="11"/>
        <v>39</v>
      </c>
      <c r="CQ56" s="22">
        <v>0</v>
      </c>
      <c r="CR56" s="22">
        <f t="shared" si="12"/>
        <v>39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125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784</v>
      </c>
      <c r="CP79" s="25">
        <f>+SUM(CP14:CP78)</f>
        <v>784</v>
      </c>
      <c r="CQ79" s="25">
        <f>+SUM(CQ14:CQ78)</f>
        <v>0</v>
      </c>
      <c r="CR79" s="25">
        <f>+SUM(CR14:CR78)</f>
        <v>784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6482.5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2107</v>
      </c>
      <c r="F3" s="79" t="s">
        <v>1</v>
      </c>
      <c r="I3" s="80">
        <f>'Programa CASETAS REPORTE DIARIO'!CN79+CH77</f>
        <v>2891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378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2107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405</v>
      </c>
      <c r="CJ27" s="27">
        <f t="shared" si="3"/>
        <v>405</v>
      </c>
      <c r="CK27" s="22">
        <v>0</v>
      </c>
      <c r="CL27" s="22">
        <f t="shared" si="4"/>
        <v>405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55</v>
      </c>
      <c r="CJ29" s="27">
        <f t="shared" si="3"/>
        <v>55</v>
      </c>
      <c r="CK29" s="22">
        <v>0</v>
      </c>
      <c r="CL29" s="22">
        <f t="shared" si="4"/>
        <v>55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12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55</v>
      </c>
      <c r="CJ37" s="27">
        <f t="shared" si="3"/>
        <v>55</v>
      </c>
      <c r="CK37" s="22">
        <v>0</v>
      </c>
      <c r="CL37" s="22">
        <f t="shared" si="4"/>
        <v>55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96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101</v>
      </c>
      <c r="CJ53" s="27">
        <f t="shared" si="11"/>
        <v>101</v>
      </c>
      <c r="CK53" s="22">
        <v>0</v>
      </c>
      <c r="CL53" s="22">
        <f t="shared" si="12"/>
        <v>101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16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63</v>
      </c>
      <c r="CJ61" s="27">
        <f t="shared" si="11"/>
        <v>63</v>
      </c>
      <c r="CK61" s="22">
        <v>0</v>
      </c>
      <c r="CL61" s="22">
        <f t="shared" si="12"/>
        <v>63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378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2107</v>
      </c>
      <c r="CJ77" s="25">
        <f>+SUM(CJ14:CJ76)</f>
        <v>2107</v>
      </c>
      <c r="CK77" s="25">
        <f>+SUM(CK14:CK76)</f>
        <v>0</v>
      </c>
      <c r="CL77" s="25">
        <f>+SUM(CL14:CL76)</f>
        <v>2107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9125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2026-10-29T21:16:54Z</dcterms:modified>
</cp:coreProperties>
</file>