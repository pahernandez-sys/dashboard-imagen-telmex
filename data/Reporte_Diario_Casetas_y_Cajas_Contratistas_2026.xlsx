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114F3836-3B07-4A4C-8C15-175EA69819F0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G13" i="2" s="1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W78" i="2" s="1"/>
  <c r="CN78" i="2"/>
  <c r="CP78" i="2" s="1"/>
  <c r="CR78" i="2" s="1"/>
  <c r="DD77" i="2"/>
  <c r="CU77" i="2" s="1"/>
  <c r="CV77" i="2" s="1"/>
  <c r="CW77" i="2" s="1"/>
  <c r="CN77" i="2"/>
  <c r="CP77" i="2" s="1"/>
  <c r="CR77" i="2" s="1"/>
  <c r="DD76" i="2"/>
  <c r="CU76" i="2" s="1"/>
  <c r="CV76" i="2" s="1"/>
  <c r="CW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W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P14" i="2" s="1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36" i="2" l="1"/>
  <c r="CW35" i="2"/>
  <c r="CW32" i="2"/>
  <c r="CW29" i="2"/>
  <c r="CW27" i="2"/>
  <c r="CW22" i="2"/>
  <c r="CW20" i="2"/>
  <c r="CW33" i="2"/>
  <c r="CW30" i="2"/>
  <c r="CW59" i="2"/>
  <c r="CW58" i="2"/>
  <c r="CW49" i="2"/>
  <c r="CW48" i="2"/>
  <c r="CW47" i="2"/>
  <c r="CW45" i="2"/>
  <c r="CW42" i="2"/>
  <c r="CW41" i="2"/>
  <c r="CW39" i="2"/>
  <c r="CW37" i="2"/>
  <c r="CW56" i="2"/>
  <c r="CW55" i="2"/>
  <c r="CW54" i="2"/>
  <c r="CW53" i="2"/>
  <c r="CW52" i="2"/>
  <c r="CW51" i="2"/>
  <c r="CW50" i="2"/>
  <c r="CW44" i="2"/>
  <c r="CW43" i="2"/>
  <c r="CW31" i="2"/>
  <c r="AS13" i="3"/>
  <c r="E22" i="1"/>
  <c r="F22" i="1" s="1"/>
  <c r="E21" i="1"/>
  <c r="F21" i="1" s="1"/>
  <c r="AR13" i="3"/>
  <c r="E20" i="1"/>
  <c r="F20" i="1" s="1"/>
  <c r="AQ13" i="3"/>
  <c r="AP13" i="3"/>
  <c r="E19" i="1"/>
  <c r="F19" i="1" s="1"/>
  <c r="AO13" i="3"/>
  <c r="E18" i="1"/>
  <c r="F18" i="1" s="1"/>
  <c r="AN13" i="3"/>
  <c r="E17" i="1"/>
  <c r="F17" i="1" s="1"/>
  <c r="E16" i="1"/>
  <c r="F16" i="1" s="1"/>
  <c r="AM13" i="3"/>
  <c r="AL13" i="3"/>
  <c r="E15" i="1"/>
  <c r="F15" i="1" s="1"/>
  <c r="AK13" i="3"/>
  <c r="E14" i="1"/>
  <c r="F14" i="1" s="1"/>
  <c r="AJ13" i="3"/>
  <c r="E13" i="1"/>
  <c r="F13" i="1" s="1"/>
  <c r="E12" i="1"/>
  <c r="F12" i="1" s="1"/>
  <c r="AI13" i="3"/>
  <c r="AH13" i="3"/>
  <c r="E11" i="1"/>
  <c r="CP14" i="3"/>
  <c r="CO77" i="3"/>
  <c r="CJ14" i="3"/>
  <c r="CH77" i="3"/>
  <c r="F11" i="1"/>
  <c r="D23" i="1"/>
  <c r="CN79" i="2"/>
  <c r="CP17" i="2"/>
  <c r="CV14" i="2"/>
  <c r="CU79" i="2"/>
  <c r="CR14" i="2"/>
  <c r="CP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5" i="3"/>
  <c r="CQ54" i="3"/>
  <c r="CQ52" i="3"/>
  <c r="CQ48" i="3"/>
  <c r="CQ47" i="3"/>
  <c r="CW28" i="2"/>
  <c r="CW21" i="2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W75" i="2"/>
  <c r="CW74" i="2"/>
  <c r="CW72" i="2"/>
  <c r="CW34" i="2"/>
  <c r="CW25" i="2"/>
  <c r="CW23" i="2"/>
  <c r="CQ20" i="3"/>
  <c r="CQ19" i="3"/>
  <c r="CQ18" i="3"/>
  <c r="CQ17" i="3"/>
  <c r="CQ16" i="3"/>
  <c r="CQ15" i="3"/>
  <c r="CW46" i="2"/>
  <c r="CW40" i="2"/>
  <c r="CW24" i="2"/>
  <c r="CW38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7" i="2"/>
  <c r="CW19" i="2"/>
  <c r="CW18" i="2"/>
  <c r="CW16" i="2"/>
  <c r="CW15" i="2"/>
  <c r="CQ56" i="3"/>
  <c r="CQ53" i="3"/>
  <c r="CQ51" i="3"/>
  <c r="CQ50" i="3"/>
  <c r="CQ49" i="3"/>
  <c r="CW26" i="2"/>
  <c r="E23" i="1" l="1"/>
  <c r="CQ14" i="3"/>
  <c r="CQ77" i="3" s="1"/>
  <c r="CP77" i="3"/>
  <c r="CL14" i="3"/>
  <c r="CL77" i="3" s="1"/>
  <c r="CJ77" i="3"/>
  <c r="I3" i="2"/>
  <c r="D3" i="3"/>
  <c r="E6" i="1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I3" i="3"/>
  <c r="B6" i="1"/>
  <c r="H6" i="1" s="1"/>
  <c r="D3" i="2"/>
  <c r="CN13" i="2"/>
  <c r="CW17" i="2"/>
  <c r="CR17" i="2"/>
  <c r="CR79" i="2" s="1"/>
  <c r="CW14" i="2"/>
  <c r="CW79" i="2" s="1"/>
  <c r="CV79" i="2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<sst xmlns="http://schemas.openxmlformats.org/spreadsheetml/2006/main" count="586" uniqueCount="174">
  <si>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</si>
  <si>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</si>
  <si>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</si>
  <si>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</si>
  <si>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</si>
  <si>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</si>
  <si>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</si>
  <si>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</si>
  <si>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</si>
  <si>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</si>
  <si>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</si>
  <si>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</si>
  <si>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</si>
  <si>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</si>
  <si>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</si>
  <si>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</si>
  <si>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</si>
  <si>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</si>
  <si>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</si>
  <si>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</si>
  <si>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</si>
  <si>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</si>
  <si>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</si>
  <si>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</si>
  <si>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</si>
  <si>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</si>
  <si>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</si>
  <si>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</si>
  <si>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</si>
  <si>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</si>
  <si>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</si>
  <si>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</si>
  <si>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</si>
  <si>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</si>
  <si>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</si>
  <si>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</si>
  <si>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</si>
  <si>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</si>
  <si>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</si>
  <si>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</si>
  <si>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</si>
  <si>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</si>
  <si>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</si>
  <si>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</si>
  <si>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</si>
  <si>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</si>
  <si>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</si>
  <si>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</si>
  <si>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</si>
  <si>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</si>
  <si>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</si>
  <si>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</si>
  <si>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</si>
  <si>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</si>
  <si>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</si>
  <si>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</si>
  <si>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</si>
  <si>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</si>
  <si>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</si>
  <si>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</si>
  <si>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</si>
  <si>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</si>
  <si>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</si>
  <si>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</si>
  <si>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</si>
  <si>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</si>
  <si>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</si>
  <si>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</si>
  <si>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</si>
  <si>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</si>
  <si>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</si>
  <si>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</si>
  <si>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</si>
  <si>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</si>
  <si>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</si>
  <si>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</si>
  <si>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</si>
  <si>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</si>
  <si>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</si>
  <si>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</si>
  <si>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</si>
  <si>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</si>
  <si>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</si>
  <si>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</si>
  <si>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</si>
  <si>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</si>
  <si>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</si>
  <si>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</si>
  <si>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</si>
  <si>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</si>
  <si>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</si>
  <si>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</si>
  <si>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</si>
  <si>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</si>
  <si>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</si>
  <si>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</si>
  <si>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</si>
  <si>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</si>
  <si>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</si>
  <si>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</si>
  <si>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</si>
  <si>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</si>
  <si>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</si>
  <si>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</si>
  <si>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</si>
  <si>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</si>
  <si>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</si>
  <si>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</si>
  <si>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</si>
  <si>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</si>
  <si>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</si>
  <si>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</si>
  <si>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13:06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</si>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</sst>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574</v>
      </c>
      <c r="C6" s="89"/>
      <c r="E6" s="88">
        <f>'Programa CAJAS REPORTE DIARIO'!CH77</f>
        <v>1443</v>
      </c>
      <c r="F6" s="89"/>
      <c r="H6" s="101">
        <f>B6+E6</f>
        <v>2017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92</v>
      </c>
      <c r="E22" s="72">
        <f>'Programa CAJAS REPORTE DIARIO'!AS77</f>
        <v>118</v>
      </c>
      <c r="F22" s="72">
        <f t="shared" si="0"/>
        <v>210</v>
      </c>
      <c r="G22" s="72">
        <f t="shared" si="1"/>
        <v>2017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574</v>
      </c>
      <c r="E23" s="75">
        <f>SUM(E11:E22)</f>
        <v>1443</v>
      </c>
      <c r="F23" s="75">
        <f>SUM(F11:F22)</f>
        <v>2017</v>
      </c>
      <c r="G23" s="75">
        <f>F23</f>
        <v>2017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574</v>
      </c>
      <c r="F3" s="79" t="s">
        <v>1</v>
      </c>
      <c r="I3" s="80">
        <f>'Programa CAJAS REPORTE DIARIO'!CH77+CN79</f>
        <v>2017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92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574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17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167</v>
      </c>
      <c r="CP27" s="27">
        <f t="shared" si="4"/>
        <v>167</v>
      </c>
      <c r="CQ27" s="22">
        <v>0</v>
      </c>
      <c r="CR27" s="22">
        <f t="shared" si="5"/>
        <v>167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203.5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23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138</v>
      </c>
      <c r="CP28" s="27">
        <f t="shared" si="4"/>
        <v>138</v>
      </c>
      <c r="CQ28" s="22">
        <v>0</v>
      </c>
      <c r="CR28" s="22">
        <f t="shared" si="5"/>
        <v>138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1239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-16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92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574</v>
      </c>
      <c r="CP79" s="25">
        <f>+SUM(CP14:CP78)</f>
        <v>574</v>
      </c>
      <c r="CQ79" s="25">
        <f>+SUM(CQ14:CQ78)</f>
        <v>0</v>
      </c>
      <c r="CR79" s="25">
        <f>+SUM(CR14:CR78)</f>
        <v>574</v>
      </c>
      <c r="CS79" s="25"/>
      <c r="CT79" s="25"/>
      <c r="CU79" s="25">
        <f>+SUM(CU14:CU78)</f>
        <v>10769</v>
      </c>
      <c r="CV79" s="25">
        <f>+SUM(CV14:CV78)</f>
        <v>5384.5</v>
      </c>
      <c r="CW79" s="25">
        <f>+SUM(CW14:CW78)</f>
        <v>4810.5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1443</v>
      </c>
      <c r="F3" s="79" t="s">
        <v>1</v>
      </c>
      <c r="I3" s="80">
        <f>'Programa CASETAS REPORTE DIARIO'!CN79+CH77</f>
        <v>2017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118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1443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18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350</v>
      </c>
      <c r="CJ27" s="27">
        <f t="shared" si="3"/>
        <v>350</v>
      </c>
      <c r="CK27" s="22">
        <v>0</v>
      </c>
      <c r="CL27" s="22">
        <f t="shared" si="4"/>
        <v>350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436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16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228</v>
      </c>
      <c r="CJ28" s="27">
        <f t="shared" si="3"/>
        <v>228</v>
      </c>
      <c r="CK28" s="22">
        <v>0</v>
      </c>
      <c r="CL28" s="22">
        <f t="shared" si="4"/>
        <v>228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-50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7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37</v>
      </c>
      <c r="CJ36" s="27">
        <f t="shared" si="3"/>
        <v>37</v>
      </c>
      <c r="CK36" s="22">
        <v>0</v>
      </c>
      <c r="CL36" s="22">
        <f t="shared" si="4"/>
        <v>37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9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69</v>
      </c>
      <c r="CJ43" s="27">
        <f t="shared" si="3"/>
        <v>69</v>
      </c>
      <c r="CK43" s="22">
        <v>0</v>
      </c>
      <c r="CL43" s="22">
        <f t="shared" si="4"/>
        <v>69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-49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12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181</v>
      </c>
      <c r="CJ46" s="27">
        <f t="shared" ref="CJ46:CJ76" si="11">CH46</f>
        <v>181</v>
      </c>
      <c r="CK46" s="22">
        <v>0</v>
      </c>
      <c r="CL46" s="22">
        <f t="shared" ref="CL46:CL77" si="12">CJ46+CK46</f>
        <v>181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1323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20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63</v>
      </c>
      <c r="CJ55" s="27">
        <f t="shared" si="11"/>
        <v>63</v>
      </c>
      <c r="CK55" s="22">
        <v>0</v>
      </c>
      <c r="CL55" s="22">
        <f t="shared" si="12"/>
        <v>63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-33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46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7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38</v>
      </c>
      <c r="CJ61" s="27">
        <f t="shared" si="11"/>
        <v>38</v>
      </c>
      <c r="CK61" s="22">
        <v>0</v>
      </c>
      <c r="CL61" s="22">
        <f t="shared" si="12"/>
        <v>38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14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59</v>
      </c>
      <c r="CJ70" s="27">
        <f t="shared" si="11"/>
        <v>59</v>
      </c>
      <c r="CK70" s="22">
        <v>0</v>
      </c>
      <c r="CL70" s="22">
        <f t="shared" si="12"/>
        <v>59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-45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118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1443</v>
      </c>
      <c r="CJ77" s="25">
        <f>+SUM(CJ14:CJ76)</f>
        <v>1443</v>
      </c>
      <c r="CK77" s="25">
        <f>+SUM(CK14:CK76)</f>
        <v>0</v>
      </c>
      <c r="CL77" s="25">
        <f>+SUM(CL14:CL76)</f>
        <v>1443</v>
      </c>
      <c r="CM77" s="25"/>
      <c r="CN77" s="25"/>
      <c r="CO77" s="25">
        <f>+SUM(CO14:CO76)</f>
        <v>8168</v>
      </c>
      <c r="CP77" s="25">
        <f>+SUM(CP14:CP76)</f>
        <v>8168</v>
      </c>
      <c r="CQ77" s="25">
        <f>+SUM(CQ14:CQ76)</f>
        <v>6725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2026-10-28T19:06:11Z</dcterms:modified>
</cp:coreProperties>
</file>