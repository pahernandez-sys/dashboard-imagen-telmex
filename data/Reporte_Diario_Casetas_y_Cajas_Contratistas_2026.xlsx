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8F1355F-5FA3-4007-8CFC-2C22B066625C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L77" i="3"/>
  <c r="AK77" i="3"/>
  <c r="E14" i="1" s="1"/>
  <c r="AJ77" i="3"/>
  <c r="E13" i="1" s="1"/>
  <c r="AI77" i="3"/>
  <c r="E12" i="1" s="1"/>
  <c r="AH77" i="3"/>
  <c r="E11" i="1" s="1"/>
  <c r="AG77" i="3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K13" i="3"/>
  <c r="AJ13" i="3"/>
  <c r="AI13" i="3"/>
  <c r="AH13" i="3"/>
  <c r="AG13" i="3"/>
  <c r="E20" i="1"/>
  <c r="E19" i="1"/>
  <c r="E18" i="1"/>
  <c r="E17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DD30" i="2"/>
  <c r="CU30" i="2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46" i="2" l="1"/>
  <c r="CW37" i="2"/>
  <c r="CW34" i="2"/>
  <c r="CQ63" i="3"/>
  <c r="CQ59" i="3"/>
  <c r="CQ68" i="3"/>
  <c r="CQ64" i="3"/>
  <c r="CQ61" i="3"/>
  <c r="CW60" i="2"/>
  <c r="CW53" i="2"/>
  <c r="CW45" i="2"/>
  <c r="CW43" i="2"/>
  <c r="CW42" i="2"/>
  <c r="CW39" i="2"/>
  <c r="CW32" i="2"/>
  <c r="AM13" i="3"/>
  <c r="E16" i="1"/>
  <c r="AL13" i="3"/>
  <c r="E15" i="1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AG13" i="2"/>
  <c r="D15" i="1"/>
  <c r="AF13" i="2"/>
  <c r="D14" i="1"/>
  <c r="F14" i="1" s="1"/>
  <c r="AE13" i="2"/>
  <c r="D13" i="1"/>
  <c r="F13" i="1" s="1"/>
  <c r="AD13" i="2"/>
  <c r="D12" i="1"/>
  <c r="F12" i="1" s="1"/>
  <c r="AC13" i="2"/>
  <c r="D11" i="1"/>
  <c r="AB13" i="2"/>
  <c r="CQ33" i="3"/>
  <c r="CW47" i="2"/>
  <c r="CP14" i="3"/>
  <c r="CO77" i="3"/>
  <c r="CH77" i="3"/>
  <c r="CJ14" i="3"/>
  <c r="D21" i="1"/>
  <c r="F11" i="1"/>
  <c r="CN79" i="2"/>
  <c r="CP31" i="2"/>
  <c r="CP79" i="2" s="1"/>
  <c r="CU79" i="2"/>
  <c r="CV30" i="2"/>
  <c r="CW30" i="2" s="1"/>
  <c r="CW14" i="2"/>
  <c r="CV79" i="2"/>
  <c r="CR14" i="2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59" i="2"/>
  <c r="CW48" i="2"/>
  <c r="CW44" i="2"/>
  <c r="CW41" i="2"/>
  <c r="CW40" i="2"/>
  <c r="CW38" i="2"/>
  <c r="CW36" i="2"/>
  <c r="CW35" i="2"/>
  <c r="CW33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7" i="3"/>
  <c r="CQ65" i="3"/>
  <c r="CQ62" i="3"/>
  <c r="CQ60" i="3"/>
  <c r="CQ56" i="3"/>
  <c r="CQ55" i="3"/>
  <c r="CQ54" i="3"/>
  <c r="CQ52" i="3"/>
  <c r="CQ50" i="3"/>
  <c r="CQ49" i="3"/>
  <c r="CQ48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58" i="2"/>
  <c r="CW57" i="2"/>
  <c r="CW56" i="2"/>
  <c r="CW55" i="2"/>
  <c r="CW54" i="2"/>
  <c r="CW52" i="2"/>
  <c r="CW51" i="2"/>
  <c r="CW50" i="2"/>
  <c r="CW49" i="2"/>
  <c r="CQ66" i="3"/>
  <c r="CQ58" i="3"/>
  <c r="CQ57" i="3"/>
  <c r="CQ53" i="3"/>
  <c r="CQ51" i="3"/>
  <c r="F16" i="1" l="1"/>
  <c r="E21" i="1"/>
  <c r="F15" i="1"/>
  <c r="F21" i="1" s="1"/>
  <c r="G21" i="1" s="1"/>
  <c r="CQ14" i="3"/>
  <c r="CQ77" i="3" s="1"/>
  <c r="CP77" i="3"/>
  <c r="D3" i="3"/>
  <c r="I3" i="2"/>
  <c r="CH13" i="3"/>
  <c r="E6" i="1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B6" i="1"/>
  <c r="I3" i="3"/>
  <c r="CN13" i="2"/>
  <c r="D3" i="2"/>
  <c r="CW31" i="2"/>
  <c r="CW79" i="2" s="1"/>
  <c r="CR31" i="2"/>
  <c r="CR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<sst xmlns="http://schemas.openxmlformats.org/spreadsheetml/2006/main" count="580" uniqueCount="171">
  <si>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</si>
  <si>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</si>
  <si>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</si>
  <si>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</si>
  <si>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</si>
  <si>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</si>
  <si>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</si>
  <si>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</si>
  <si>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</si>
  <si>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</si>
  <si>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</si>
  <si>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</si>
  <si>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</si>
  <si>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</si>
  <si>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</si>
  <si>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</si>
  <si>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</si>
  <si>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</si>
  <si>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</si>
  <si>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</si>
  <si>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</si>
  <si>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</si>
  <si>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</si>
  <si>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</si>
  <si>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</si>
  <si>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</si>
  <si>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</si>
  <si>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</si>
  <si>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</si>
  <si>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</si>
  <si>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</si>
  <si>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</si>
  <si>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</si>
  <si>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</si>
  <si>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</si>
  <si>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</si>
  <si>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</si>
  <si>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</si>
  <si>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</si>
  <si>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</si>
  <si>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</si>
  <si>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</si>
  <si>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</si>
  <si>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</si>
  <si>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</si>
  <si>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</si>
  <si>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</si>
  <si>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</si>
  <si>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</si>
  <si>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</si>
  <si>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</si>
  <si>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</si>
  <si>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</si>
  <si>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</si>
  <si>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</si>
  <si>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</si>
  <si>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</si>
  <si>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</si>
  <si>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</si>
  <si>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</si>
  <si>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</si>
  <si>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</si>
  <si>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</si>
  <si>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</si>
  <si>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</si>
  <si>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</si>
  <si>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</si>
  <si>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</si>
  <si>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</si>
  <si>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</si>
  <si>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</si>
  <si>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</si>
  <si>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</si>
  <si>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</si>
  <si>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</si>
  <si>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</si>
  <si>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</si>
  <si>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</si>
  <si>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</si>
  <si>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</si>
  <si>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</si>
  <si>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</si>
  <si>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</si>
  <si>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</si>
  <si>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</si>
  <si>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</si>
  <si>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</si>
  <si>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</si>
  <si>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</si>
  <si>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</si>
  <si>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</si>
  <si>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</si>
  <si>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</si>
  <si>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</si>
  <si>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</si>
  <si>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</si>
  <si>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</si>
  <si>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</si>
  <si>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</si>
  <si>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</si>
  <si>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</si>
  <si>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</si>
  <si>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</si>
  <si>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</si>
  <si>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</si>
  <si>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</si>
  <si>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</si>
  <si>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</si>
  <si>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</si>
  <si>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</si>
  <si>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</si>
  <si>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</si>
  <si>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19:08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</si>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</sst>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461</v>
      </c>
      <c r="C6" s="89"/>
      <c r="E6" s="88">
        <f>'Programa CAJAS REPORTE DIARIO'!CH77</f>
        <v>1305</v>
      </c>
      <c r="F6" s="89"/>
      <c r="H6" s="101">
        <f>B6+E6</f>
        <v>1766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461</v>
      </c>
      <c r="F3" s="79" t="s">
        <v>1</v>
      </c>
      <c r="I3" s="80">
        <f>'Programa CAJAS REPORTE DIARIO'!CH77+CN79</f>
        <v>1766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117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461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27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36</v>
      </c>
      <c r="CP42" s="27">
        <f t="shared" si="4"/>
        <v>36</v>
      </c>
      <c r="CQ42" s="22">
        <v>0</v>
      </c>
      <c r="CR42" s="22">
        <f t="shared" si="5"/>
        <v>36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-36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117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461</v>
      </c>
      <c r="CP79" s="25">
        <f>+SUM(CP14:CP78)</f>
        <v>461</v>
      </c>
      <c r="CQ79" s="25">
        <f>+SUM(CQ14:CQ78)</f>
        <v>0</v>
      </c>
      <c r="CR79" s="25">
        <f>+SUM(CR14:CR78)</f>
        <v>461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2671.5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1305</v>
      </c>
      <c r="F3" s="79" t="s">
        <v>1</v>
      </c>
      <c r="I3" s="80">
        <f>'Programa CASETAS REPORTE DIARIO'!CN79+CH77</f>
        <v>1766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446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1305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72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76</v>
      </c>
      <c r="CJ35" s="27">
        <f t="shared" si="3"/>
        <v>76</v>
      </c>
      <c r="CK35" s="22">
        <v>0</v>
      </c>
      <c r="CL35" s="22">
        <f t="shared" si="4"/>
        <v>76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23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48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155</v>
      </c>
      <c r="CJ46" s="27">
        <f t="shared" ref="CJ46:CJ76" si="11">CH46</f>
        <v>155</v>
      </c>
      <c r="CK46" s="22">
        <v>0</v>
      </c>
      <c r="CL46" s="22">
        <f t="shared" ref="CL46:CL77" si="12">CJ46+CK46</f>
        <v>155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176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446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1305</v>
      </c>
      <c r="CJ77" s="25">
        <f>+SUM(CJ14:CJ76)</f>
        <v>1305</v>
      </c>
      <c r="CK77" s="25">
        <f>+SUM(CK14:CK76)</f>
        <v>0</v>
      </c>
      <c r="CL77" s="25">
        <f>+SUM(CL14:CL76)</f>
        <v>1305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5682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2026-10-28T01:08:11Z</dcterms:modified>
</cp:coreProperties>
</file>