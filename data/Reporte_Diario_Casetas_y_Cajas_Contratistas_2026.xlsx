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41D5150C-B2FE-4A14-8AF5-490B9BDEAA31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E20" i="1" l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E21" i="1" s="1"/>
  <c r="AH13" i="3"/>
  <c r="CQ75" i="3"/>
  <c r="CQ73" i="3"/>
  <c r="CQ70" i="3"/>
  <c r="CQ67" i="3"/>
  <c r="CQ63" i="3"/>
  <c r="CQ61" i="3"/>
  <c r="CQ56" i="3"/>
  <c r="CQ52" i="3"/>
  <c r="CQ47" i="3"/>
  <c r="CQ44" i="3"/>
  <c r="CQ39" i="3"/>
  <c r="CQ38" i="3"/>
  <c r="CQ37" i="3"/>
  <c r="CW52" i="2"/>
  <c r="CO77" i="3"/>
  <c r="CP14" i="3"/>
  <c r="CH77" i="3"/>
  <c r="CJ14" i="3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D13" i="1"/>
  <c r="F13" i="1" s="1"/>
  <c r="AD13" i="2"/>
  <c r="AC13" i="2"/>
  <c r="D12" i="1"/>
  <c r="F12" i="1" s="1"/>
  <c r="AB13" i="2"/>
  <c r="D11" i="1"/>
  <c r="CV30" i="2"/>
  <c r="CW30" i="2" s="1"/>
  <c r="CU79" i="2"/>
  <c r="CN79" i="2"/>
  <c r="CP17" i="2"/>
  <c r="CW14" i="2"/>
  <c r="CV79" i="2"/>
  <c r="CR14" i="2"/>
  <c r="CP79" i="2"/>
  <c r="CQ62" i="3"/>
  <c r="CQ55" i="3"/>
  <c r="CQ53" i="3"/>
  <c r="CQ48" i="3"/>
  <c r="CQ45" i="3"/>
  <c r="CQ41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Q74" i="3"/>
  <c r="CQ69" i="3"/>
  <c r="CQ60" i="3"/>
  <c r="CQ57" i="3"/>
  <c r="CQ54" i="3"/>
  <c r="CQ50" i="3"/>
  <c r="CQ42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Q72" i="3"/>
  <c r="CQ71" i="3"/>
  <c r="CQ64" i="3"/>
  <c r="CQ51" i="3"/>
  <c r="CQ46" i="3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Q68" i="3"/>
  <c r="CQ66" i="3"/>
  <c r="CQ59" i="3"/>
  <c r="CQ58" i="3"/>
  <c r="CQ49" i="3"/>
  <c r="CQ43" i="3"/>
  <c r="CQ40" i="3"/>
  <c r="CW26" i="2"/>
  <c r="CW25" i="2"/>
  <c r="CW24" i="2"/>
  <c r="CW23" i="2"/>
  <c r="CW22" i="2"/>
  <c r="CW21" i="2"/>
  <c r="CW20" i="2"/>
  <c r="CW19" i="2"/>
  <c r="CW18" i="2"/>
  <c r="CW16" i="2"/>
  <c r="CW15" i="2"/>
  <c r="CQ76" i="3"/>
  <c r="CQ65" i="3"/>
  <c r="CQ14" i="3" l="1"/>
  <c r="CQ77" i="3" s="1"/>
  <c r="CP77" i="3"/>
  <c r="I3" i="2"/>
  <c r="E6" i="1"/>
  <c r="D3" i="3"/>
  <c r="CH13" i="3"/>
  <c r="CL14" i="3"/>
  <c r="CL77" i="3" s="1"/>
  <c r="CJ77" i="3"/>
  <c r="F11" i="1"/>
  <c r="D21" i="1"/>
  <c r="B6" i="1"/>
  <c r="I3" i="3"/>
  <c r="D3" i="2"/>
  <c r="CN13" i="2"/>
  <c r="CW17" i="2"/>
  <c r="CW79" i="2" s="1"/>
  <c r="CR17" i="2"/>
  <c r="CR79" i="2" s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H6" i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<sst xmlns="http://schemas.openxmlformats.org/spreadsheetml/2006/main" count="580" uniqueCount="171">
  <si>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</si>
  <si>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</si>
  <si>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</si>
  <si>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</si>
  <si>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</si>
  <si>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</si>
  <si>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</si>
  <si>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</si>
  <si>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</si>
  <si>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</si>
  <si>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</si>
  <si>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</si>
  <si>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</si>
  <si>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</si>
  <si>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</si>
  <si>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</si>
  <si>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</si>
  <si>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</si>
  <si>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</si>
  <si>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</si>
  <si>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</si>
  <si>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</si>
  <si>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</si>
  <si>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</si>
  <si>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</si>
  <si>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</si>
  <si>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</si>
  <si>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</si>
  <si>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</si>
  <si>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</si>
  <si>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</si>
  <si>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</si>
  <si>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</si>
  <si>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</si>
  <si>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</si>
  <si>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</si>
  <si>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</si>
  <si>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</si>
  <si>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</si>
  <si>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</si>
  <si>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</si>
  <si>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</si>
  <si>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</si>
  <si>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</si>
  <si>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</si>
  <si>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</si>
  <si>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</si>
  <si>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</si>
  <si>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</si>
  <si>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</si>
  <si>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</si>
  <si>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</si>
  <si>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</si>
  <si>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</si>
  <si>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</si>
  <si>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</si>
  <si>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</si>
  <si>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</si>
  <si>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</si>
  <si>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</si>
  <si>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</si>
  <si>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</si>
  <si>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</si>
  <si>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</si>
  <si>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</si>
  <si>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</si>
  <si>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</si>
  <si>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</si>
  <si>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</si>
  <si>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</si>
  <si>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</si>
  <si>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</si>
  <si>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</si>
  <si>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</si>
  <si>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</si>
  <si>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</si>
  <si>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</si>
  <si>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</si>
  <si>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</si>
  <si>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</si>
  <si>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</si>
  <si>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</si>
  <si>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</si>
  <si>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</si>
  <si>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</si>
  <si>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</si>
  <si>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</si>
  <si>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</si>
  <si>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</si>
  <si>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</si>
  <si>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</si>
  <si>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</si>
  <si>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</si>
  <si>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</si>
  <si>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</si>
  <si>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</si>
  <si>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</si>
  <si>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</si>
  <si>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</si>
  <si>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</si>
  <si>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</si>
  <si>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</si>
  <si>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</si>
  <si>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</si>
  <si>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</si>
  <si>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</si>
  <si>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</si>
  <si>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</si>
  <si>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</si>
  <si>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</si>
  <si>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</si>
  <si>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</si>
  <si>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21:15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</si>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</sst>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475</v>
      </c>
      <c r="C6" s="89"/>
      <c r="E6" s="88">
        <f>'Programa CAJAS REPORTE DIARIO'!CH77</f>
        <v>1325</v>
      </c>
      <c r="F6" s="89"/>
      <c r="H6" s="101">
        <f>B6+E6</f>
        <v>1800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475</v>
      </c>
      <c r="F3" s="79" t="s">
        <v>1</v>
      </c>
      <c r="I3" s="80">
        <f>'Programa CAJAS REPORTE DIARIO'!CH77+CN79</f>
        <v>1800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131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475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7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68</v>
      </c>
      <c r="CP29" s="27">
        <f t="shared" si="4"/>
        <v>68</v>
      </c>
      <c r="CQ29" s="22">
        <v>0</v>
      </c>
      <c r="CR29" s="22">
        <f t="shared" si="5"/>
        <v>68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338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39</v>
      </c>
      <c r="CP42" s="27">
        <f t="shared" si="4"/>
        <v>39</v>
      </c>
      <c r="CQ42" s="22">
        <v>0</v>
      </c>
      <c r="CR42" s="22">
        <f t="shared" si="5"/>
        <v>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14</v>
      </c>
      <c r="CP51" s="27">
        <f t="shared" si="11"/>
        <v>14</v>
      </c>
      <c r="CQ51" s="22">
        <v>0</v>
      </c>
      <c r="CR51" s="22">
        <f t="shared" si="12"/>
        <v>14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736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131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475</v>
      </c>
      <c r="CP79" s="25">
        <f>+SUM(CP14:CP78)</f>
        <v>475</v>
      </c>
      <c r="CQ79" s="25">
        <f>+SUM(CQ14:CQ78)</f>
        <v>0</v>
      </c>
      <c r="CR79" s="25">
        <f>+SUM(CR14:CR78)</f>
        <v>475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2657.5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1325</v>
      </c>
      <c r="F3" s="79" t="s">
        <v>1</v>
      </c>
      <c r="I3" s="80">
        <f>'Programa CASETAS REPORTE DIARIO'!CN79+CH77</f>
        <v>1800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1325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82</v>
      </c>
      <c r="CJ35" s="27">
        <f t="shared" si="3"/>
        <v>82</v>
      </c>
      <c r="CK35" s="22">
        <v>0</v>
      </c>
      <c r="CL35" s="22">
        <f t="shared" si="4"/>
        <v>82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169</v>
      </c>
      <c r="CJ46" s="27">
        <f t="shared" ref="CJ46:CJ76" si="11">CH46</f>
        <v>169</v>
      </c>
      <c r="CK46" s="22">
        <v>0</v>
      </c>
      <c r="CL46" s="22">
        <f t="shared" ref="CL46:CL77" si="12">CJ46+CK46</f>
        <v>169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1325</v>
      </c>
      <c r="CJ77" s="25">
        <f>+SUM(CJ14:CJ76)</f>
        <v>1325</v>
      </c>
      <c r="CK77" s="25">
        <f>+SUM(CK14:CK76)</f>
        <v>0</v>
      </c>
      <c r="CL77" s="25">
        <f>+SUM(CL14:CL76)</f>
        <v>1325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5662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2026-10-28T03:15:05Z</dcterms:modified>
</cp:coreProperties>
</file>