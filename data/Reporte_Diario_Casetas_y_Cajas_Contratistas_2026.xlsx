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800AB40-B115-411A-9FBB-F34BE17D2E26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Q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/>
  <c r="CV75" i="2" s="1"/>
  <c r="CW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W35" i="2" s="1"/>
  <c r="CN35" i="2"/>
  <c r="CP35" i="2" s="1"/>
  <c r="CR35" i="2" s="1"/>
  <c r="DD34" i="2"/>
  <c r="CU34" i="2" s="1"/>
  <c r="CV34" i="2" s="1"/>
  <c r="CW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DD30" i="2"/>
  <c r="CU30" i="2" s="1"/>
  <c r="CV30" i="2" s="1"/>
  <c r="CW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46" i="2" l="1"/>
  <c r="CW32" i="2"/>
  <c r="CQ67" i="3"/>
  <c r="CW42" i="2"/>
  <c r="CW51" i="2"/>
  <c r="CW61" i="2"/>
  <c r="CW77" i="2"/>
  <c r="CW39" i="2"/>
  <c r="CQ55" i="3"/>
  <c r="CW49" i="2"/>
  <c r="CQ53" i="3"/>
  <c r="CQ51" i="3"/>
  <c r="CQ48" i="3"/>
  <c r="CQ32" i="3"/>
  <c r="CQ30" i="3"/>
  <c r="CW68" i="2"/>
  <c r="CW50" i="2"/>
  <c r="CW33" i="2"/>
  <c r="CW71" i="2"/>
  <c r="E23" i="1"/>
  <c r="AT13" i="3"/>
  <c r="E22" i="1"/>
  <c r="AS13" i="3"/>
  <c r="AR13" i="3"/>
  <c r="E21" i="1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AH13" i="3"/>
  <c r="E11" i="1"/>
  <c r="CH77" i="3"/>
  <c r="CJ20" i="3"/>
  <c r="CJ77" i="3" s="1"/>
  <c r="CO77" i="3"/>
  <c r="CP19" i="3"/>
  <c r="CQ14" i="3"/>
  <c r="CL14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D11" i="1"/>
  <c r="AB13" i="2"/>
  <c r="CN79" i="2"/>
  <c r="CP31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52" i="3"/>
  <c r="CQ49" i="3"/>
  <c r="CQ47" i="3"/>
  <c r="CQ46" i="3"/>
  <c r="CQ45" i="3"/>
  <c r="CQ44" i="3"/>
  <c r="CQ42" i="3"/>
  <c r="CQ37" i="3"/>
  <c r="CQ36" i="3"/>
  <c r="CQ35" i="3"/>
  <c r="CQ31" i="3"/>
  <c r="CW70" i="2"/>
  <c r="CW56" i="2"/>
  <c r="CW53" i="2"/>
  <c r="CW48" i="2"/>
  <c r="CW44" i="2"/>
  <c r="CW40" i="2"/>
  <c r="CQ66" i="3"/>
  <c r="CQ65" i="3"/>
  <c r="CQ64" i="3"/>
  <c r="CQ63" i="3"/>
  <c r="CQ62" i="3"/>
  <c r="CQ61" i="3"/>
  <c r="CQ60" i="3"/>
  <c r="CQ59" i="3"/>
  <c r="CQ58" i="3"/>
  <c r="CQ57" i="3"/>
  <c r="CQ56" i="3"/>
  <c r="CQ50" i="3"/>
  <c r="CQ40" i="3"/>
  <c r="CQ34" i="3"/>
  <c r="CQ33" i="3"/>
  <c r="CW52" i="2"/>
  <c r="CW47" i="2"/>
  <c r="CQ54" i="3"/>
  <c r="CQ43" i="3"/>
  <c r="CQ39" i="3"/>
  <c r="CQ38" i="3"/>
  <c r="CW73" i="2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W38" i="2"/>
  <c r="CW37" i="2"/>
  <c r="CW36" i="2"/>
  <c r="CW26" i="2"/>
  <c r="CW25" i="2"/>
  <c r="CW24" i="2"/>
  <c r="CW23" i="2"/>
  <c r="CW22" i="2"/>
  <c r="CW21" i="2"/>
  <c r="CW20" i="2"/>
  <c r="CW19" i="2"/>
  <c r="CW18" i="2"/>
  <c r="CW16" i="2"/>
  <c r="CW15" i="2"/>
  <c r="CW59" i="2"/>
  <c r="E24" i="1" l="1"/>
  <c r="E6" i="1"/>
  <c r="D3" i="3"/>
  <c r="CH13" i="3"/>
  <c r="I3" i="2"/>
  <c r="CQ20" i="3"/>
  <c r="CL20" i="3"/>
  <c r="CL77" i="3" s="1"/>
  <c r="F11" i="1"/>
  <c r="D24" i="1"/>
  <c r="B6" i="1"/>
  <c r="I3" i="3"/>
  <c r="CN13" i="2"/>
  <c r="D3" i="2"/>
  <c r="CW31" i="2"/>
  <c r="CW79" i="2" s="1"/>
  <c r="CR31" i="2"/>
  <c r="CR79" i="2" s="1"/>
  <c r="CQ19" i="3"/>
  <c r="CQ77" i="3" s="1"/>
  <c r="CP77" i="3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<sst xmlns="http://schemas.openxmlformats.org/spreadsheetml/2006/main" count="589" uniqueCount="175">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</sst>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2447</v>
      </c>
      <c r="F6" s="89"/>
      <c r="H6" s="101">
        <f>B6+E6</f>
        <v>3346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718</v>
      </c>
      <c r="F23" s="70">
        <f t="shared" si="0"/>
        <v>958</v>
      </c>
      <c r="G23" s="70">
        <f t="shared" si="1"/>
        <v>3346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2447</v>
      </c>
      <c r="F24" s="75">
        <f>SUM(F11:F23)</f>
        <v>3346</v>
      </c>
      <c r="G24" s="75">
        <f>F24</f>
        <v>3346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3346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2447</v>
      </c>
      <c r="F3" s="79" t="s">
        <v>1</v>
      </c>
      <c r="I3" s="80">
        <f>'Programa CASETAS REPORTE DIARIO'!CN79+CH77</f>
        <v>3346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718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2447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424</v>
      </c>
      <c r="CJ27" s="27">
        <f t="shared" si="3"/>
        <v>424</v>
      </c>
      <c r="CK27" s="22">
        <v>0</v>
      </c>
      <c r="CL27" s="22">
        <f t="shared" si="4"/>
        <v>424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163</v>
      </c>
      <c r="CJ53" s="27">
        <f t="shared" si="11"/>
        <v>163</v>
      </c>
      <c r="CK53" s="22">
        <v>0</v>
      </c>
      <c r="CL53" s="22">
        <f t="shared" si="12"/>
        <v>163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718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2447</v>
      </c>
      <c r="CJ77" s="25">
        <f>+SUM(CJ14:CJ76)</f>
        <v>2447</v>
      </c>
      <c r="CK77" s="25">
        <f>+SUM(CK14:CK76)</f>
        <v>0</v>
      </c>
      <c r="CL77" s="25">
        <f>+SUM(CL14:CL76)</f>
        <v>2447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8785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2026-10-30T02:04:10Z</dcterms:modified>
</cp:coreProperties>
</file>