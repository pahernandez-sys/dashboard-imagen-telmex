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F94CF19-B816-4B47-81CA-3C244231CBC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E23" i="1"/>
  <c r="E22" i="1"/>
  <c r="E21" i="1"/>
  <c r="E20" i="1"/>
  <c r="E19" i="1"/>
  <c r="E18" i="1"/>
  <c r="E17" i="1"/>
  <c r="E16" i="1"/>
  <c r="E15" i="1"/>
  <c r="E14" i="1"/>
  <c r="E13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41" i="3" l="1"/>
  <c r="CQ54" i="3"/>
  <c r="CQ52" i="3"/>
  <c r="CQ51" i="3"/>
  <c r="CQ42" i="3"/>
  <c r="CQ19" i="3"/>
  <c r="CW74" i="2"/>
  <c r="CW21" i="2"/>
  <c r="CW17" i="2"/>
  <c r="AU13" i="3"/>
  <c r="E24" i="1"/>
  <c r="AI13" i="3"/>
  <c r="E12" i="1"/>
  <c r="AH13" i="3"/>
  <c r="E11" i="1"/>
  <c r="D24" i="1"/>
  <c r="F24" i="1" s="1"/>
  <c r="AO13" i="2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AC13" i="2"/>
  <c r="D11" i="1"/>
  <c r="AB13" i="2"/>
  <c r="CP76" i="2"/>
  <c r="CR76" i="2" s="1"/>
  <c r="CN79" i="2"/>
  <c r="B6" i="1" s="1"/>
  <c r="CJ60" i="3"/>
  <c r="CH77" i="3"/>
  <c r="CP32" i="3"/>
  <c r="CQ32" i="3" s="1"/>
  <c r="CO77" i="3"/>
  <c r="CQ14" i="3"/>
  <c r="CP77" i="3"/>
  <c r="CL14" i="3"/>
  <c r="CJ77" i="3"/>
  <c r="D25" i="1"/>
  <c r="F11" i="1"/>
  <c r="CN13" i="2"/>
  <c r="D3" i="2"/>
  <c r="CV30" i="2"/>
  <c r="CW30" i="2" s="1"/>
  <c r="CU79" i="2"/>
  <c r="CW14" i="2"/>
  <c r="CV79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6" i="3"/>
  <c r="CQ65" i="3"/>
  <c r="CQ64" i="3"/>
  <c r="CQ63" i="3"/>
  <c r="CQ62" i="3"/>
  <c r="CQ61" i="3"/>
  <c r="CQ59" i="3"/>
  <c r="CQ58" i="3"/>
  <c r="CQ57" i="3"/>
  <c r="CQ56" i="3"/>
  <c r="CQ55" i="3"/>
  <c r="CQ49" i="3"/>
  <c r="CQ48" i="3"/>
  <c r="CQ44" i="3"/>
  <c r="CQ67" i="3"/>
  <c r="CQ53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6" i="3"/>
  <c r="CQ25" i="3"/>
  <c r="CQ24" i="3"/>
  <c r="CQ23" i="3"/>
  <c r="CQ22" i="3"/>
  <c r="CQ21" i="3"/>
  <c r="CQ20" i="3"/>
  <c r="CQ18" i="3"/>
  <c r="CQ17" i="3"/>
  <c r="CQ15" i="3"/>
  <c r="CQ27" i="3"/>
  <c r="CQ50" i="3"/>
  <c r="CQ46" i="3"/>
  <c r="CW77" i="2"/>
  <c r="CW76" i="2"/>
  <c r="CW75" i="2"/>
  <c r="CQ45" i="3"/>
  <c r="CQ43" i="3"/>
  <c r="CQ16" i="3"/>
  <c r="CW78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3" i="2"/>
  <c r="CW32" i="2"/>
  <c r="CW31" i="2"/>
  <c r="CW29" i="2"/>
  <c r="CW28" i="2"/>
  <c r="CW27" i="2"/>
  <c r="CW26" i="2"/>
  <c r="CW25" i="2"/>
  <c r="CW24" i="2"/>
  <c r="CW23" i="2"/>
  <c r="CW22" i="2"/>
  <c r="CW19" i="2"/>
  <c r="CW18" i="2"/>
  <c r="CW16" i="2"/>
  <c r="CW15" i="2"/>
  <c r="CQ47" i="3"/>
  <c r="CW60" i="2"/>
  <c r="CW47" i="2"/>
  <c r="CW34" i="2"/>
  <c r="CW20" i="2"/>
  <c r="E25" i="1" l="1"/>
  <c r="CW79" i="2"/>
  <c r="F12" i="1"/>
  <c r="CQ60" i="3"/>
  <c r="CQ77" i="3" s="1"/>
  <c r="CL60" i="3"/>
  <c r="CL77" i="3" s="1"/>
  <c r="D3" i="3"/>
  <c r="I3" i="3"/>
  <c r="CH13" i="3"/>
  <c r="E6" i="1"/>
  <c r="H6" i="1" s="1"/>
  <c r="I3" i="2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<sst xmlns="http://schemas.openxmlformats.org/spreadsheetml/2006/main" count="592" uniqueCount="176">
  <si>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</si>
  <si>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</si>
  <si>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</si>
  <si>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</si>
  <si>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</si>
  <si>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</si>
  <si>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</si>
  <si>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</si>
  <si>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</si>
  <si>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</si>
  <si>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</si>
  <si>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</si>
  <si>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</si>
  <si>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</si>
  <si>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</si>
  <si>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</si>
  <si>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</si>
  <si>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</si>
  <si>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</si>
  <si>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</si>
  <si>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</si>
  <si>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</si>
  <si>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</si>
  <si>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</si>
  <si>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</si>
  <si>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</si>
  <si>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</si>
  <si>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</si>
  <si>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</si>
  <si>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</si>
  <si>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</si>
  <si>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</si>
  <si>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</si>
  <si>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</si>
  <si>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</si>
  <si>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</si>
  <si>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</si>
  <si>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</si>
  <si>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</si>
  <si>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</si>
  <si>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</si>
  <si>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</si>
  <si>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</si>
  <si>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</si>
  <si>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</si>
  <si>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</si>
  <si>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</si>
  <si>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</si>
  <si>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</si>
  <si>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</si>
  <si>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</si>
  <si>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</si>
  <si>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</si>
  <si>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</si>
  <si>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</si>
  <si>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</si>
  <si>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</si>
  <si>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</si>
  <si>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</si>
  <si>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</si>
  <si>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</si>
  <si>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</si>
  <si>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</si>
  <si>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</si>
  <si>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</si>
  <si>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</si>
  <si>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</si>
  <si>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</si>
  <si>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</si>
  <si>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</si>
  <si>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</si>
  <si>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</si>
  <si>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</si>
  <si>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</si>
  <si>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</si>
  <si>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</si>
  <si>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</si>
  <si>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</si>
  <si>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</si>
  <si>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</si>
  <si>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</si>
  <si>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</si>
  <si>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</si>
  <si>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</si>
  <si>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</si>
  <si>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</si>
  <si>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</si>
  <si>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</si>
  <si>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</si>
  <si>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</si>
  <si>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</si>
  <si>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</si>
  <si>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</si>
  <si>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</si>
  <si>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</si>
  <si>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</si>
  <si>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</si>
  <si>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</si>
  <si>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</si>
  <si>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</si>
  <si>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</si>
  <si>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</si>
  <si>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</si>
  <si>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</si>
  <si>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</si>
  <si>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</si>
  <si>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</si>
  <si>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</si>
  <si>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</si>
  <si>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</si>
  <si>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</si>
  <si>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</si>
  <si>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14:36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</si>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</sst>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1019</v>
      </c>
      <c r="C6" s="89"/>
      <c r="E6" s="88">
        <f>'Programa CAJAS REPORTE DIARIO'!CH77</f>
        <v>2980</v>
      </c>
      <c r="F6" s="89"/>
      <c r="H6" s="101">
        <f>B6+E6</f>
        <v>3999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111</v>
      </c>
      <c r="E24" s="72">
        <f>'Programa CAJAS REPORTE DIARIO'!AU77</f>
        <v>505</v>
      </c>
      <c r="F24" s="72">
        <f t="shared" si="0"/>
        <v>616</v>
      </c>
      <c r="G24" s="72">
        <f t="shared" si="1"/>
        <v>3999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1019</v>
      </c>
      <c r="E25" s="75">
        <f>SUM(E11:E24)</f>
        <v>2980</v>
      </c>
      <c r="F25" s="75">
        <f>SUM(F11:F24)</f>
        <v>3999</v>
      </c>
      <c r="G25" s="75">
        <f>F25</f>
        <v>3999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1019</v>
      </c>
      <c r="F3" s="79" t="s">
        <v>1</v>
      </c>
      <c r="I3" s="80">
        <f>'Programa CAJAS REPORTE DIARIO'!CH77+CN79</f>
        <v>3999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111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127</v>
      </c>
      <c r="CP29" s="27">
        <f t="shared" si="4"/>
        <v>127</v>
      </c>
      <c r="CQ29" s="22">
        <v>0</v>
      </c>
      <c r="CR29" s="22">
        <f t="shared" si="5"/>
        <v>127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169</v>
      </c>
      <c r="CP42" s="27">
        <f t="shared" si="4"/>
        <v>169</v>
      </c>
      <c r="CQ42" s="22">
        <v>0</v>
      </c>
      <c r="CR42" s="22">
        <f t="shared" si="5"/>
        <v>169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103</v>
      </c>
      <c r="CP56" s="27">
        <f t="shared" si="11"/>
        <v>103</v>
      </c>
      <c r="CQ56" s="22">
        <v>0</v>
      </c>
      <c r="CR56" s="22">
        <f t="shared" si="12"/>
        <v>103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111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1019</v>
      </c>
      <c r="CP79" s="25">
        <f>+SUM(CP14:CP78)</f>
        <v>1019</v>
      </c>
      <c r="CQ79" s="25">
        <f>+SUM(CQ14:CQ78)</f>
        <v>0</v>
      </c>
      <c r="CR79" s="25">
        <f>+SUM(CR14:CR78)</f>
        <v>1019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6247.5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2980</v>
      </c>
      <c r="F3" s="79" t="s">
        <v>1</v>
      </c>
      <c r="I3" s="80">
        <f>'Programa CASETAS REPORTE DIARIO'!CN79+CH77</f>
        <v>3999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505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2980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478</v>
      </c>
      <c r="CJ27" s="27">
        <f t="shared" si="3"/>
        <v>478</v>
      </c>
      <c r="CK27" s="22">
        <v>0</v>
      </c>
      <c r="CL27" s="22">
        <f t="shared" si="4"/>
        <v>478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21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348</v>
      </c>
      <c r="CJ28" s="27">
        <f t="shared" si="3"/>
        <v>348</v>
      </c>
      <c r="CK28" s="22">
        <v>0</v>
      </c>
      <c r="CL28" s="22">
        <f t="shared" si="4"/>
        <v>348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-168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130</v>
      </c>
      <c r="CJ29" s="27">
        <f t="shared" si="3"/>
        <v>130</v>
      </c>
      <c r="CK29" s="22">
        <v>0</v>
      </c>
      <c r="CL29" s="22">
        <f t="shared" si="4"/>
        <v>130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6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56</v>
      </c>
      <c r="CJ36" s="27">
        <f t="shared" si="3"/>
        <v>56</v>
      </c>
      <c r="CK36" s="22">
        <v>0</v>
      </c>
      <c r="CL36" s="22">
        <f t="shared" si="4"/>
        <v>56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154</v>
      </c>
      <c r="CJ37" s="27">
        <f t="shared" si="3"/>
        <v>154</v>
      </c>
      <c r="CK37" s="22">
        <v>0</v>
      </c>
      <c r="CL37" s="22">
        <f t="shared" si="4"/>
        <v>154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32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91</v>
      </c>
      <c r="CJ41" s="27">
        <f t="shared" si="3"/>
        <v>91</v>
      </c>
      <c r="CK41" s="22">
        <v>0</v>
      </c>
      <c r="CL41" s="22">
        <f t="shared" si="4"/>
        <v>91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489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11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342</v>
      </c>
      <c r="CJ46" s="27">
        <f t="shared" ref="CJ46:CJ76" si="11">CH46</f>
        <v>342</v>
      </c>
      <c r="CK46" s="22">
        <v>0</v>
      </c>
      <c r="CL46" s="22">
        <f t="shared" ref="CL46:CL77" si="12">CJ46+CK46</f>
        <v>342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1186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213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386</v>
      </c>
      <c r="CJ53" s="27">
        <f t="shared" si="11"/>
        <v>386</v>
      </c>
      <c r="CK53" s="22">
        <v>0</v>
      </c>
      <c r="CL53" s="22">
        <f t="shared" si="12"/>
        <v>386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-318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16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99</v>
      </c>
      <c r="CJ55" s="27">
        <f t="shared" si="11"/>
        <v>99</v>
      </c>
      <c r="CK55" s="22">
        <v>0</v>
      </c>
      <c r="CL55" s="22">
        <f t="shared" si="12"/>
        <v>99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505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2980</v>
      </c>
      <c r="CJ77" s="25">
        <f>+SUM(CJ14:CJ76)</f>
        <v>2980</v>
      </c>
      <c r="CK77" s="25">
        <f>+SUM(CK14:CK76)</f>
        <v>0</v>
      </c>
      <c r="CL77" s="25">
        <f>+SUM(CL14:CL76)</f>
        <v>2980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8414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2026-10-30T20:36:48Z</dcterms:modified>
</cp:coreProperties>
</file>