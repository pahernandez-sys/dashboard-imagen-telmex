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7684FE3-69FC-447E-9521-982023AEA364}" xr6:coauthVersionLast="47" xr6:coauthVersionMax="47" xr10:uidLastSave="{00000000-0000-0000-0000-000000000000}"/>
  <bookViews>
    <workbookView xWindow="1560" yWindow="156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CQ27" i="3" l="1"/>
  <c r="CQ75" i="3"/>
  <c r="CQ64" i="3"/>
  <c r="CQ35" i="3"/>
  <c r="CQ34" i="3"/>
  <c r="CQ33" i="3"/>
  <c r="CW50" i="2"/>
  <c r="CW28" i="2"/>
  <c r="CW26" i="2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W56" i="2"/>
  <c r="CR56" i="2"/>
  <c r="CO77" i="3"/>
  <c r="CP14" i="3"/>
  <c r="CJ14" i="3"/>
  <c r="CH77" i="3"/>
  <c r="AK13" i="2"/>
  <c r="D20" i="1"/>
  <c r="D19" i="1"/>
  <c r="AJ13" i="2"/>
  <c r="AI13" i="2"/>
  <c r="D18" i="1"/>
  <c r="D17" i="1"/>
  <c r="F17" i="1" s="1"/>
  <c r="AH13" i="2"/>
  <c r="AG13" i="2"/>
  <c r="D16" i="1"/>
  <c r="F16" i="1" s="1"/>
  <c r="D15" i="1"/>
  <c r="F15" i="1" s="1"/>
  <c r="AF13" i="2"/>
  <c r="D14" i="1"/>
  <c r="F14" i="1" s="1"/>
  <c r="AE13" i="2"/>
  <c r="D13" i="1"/>
  <c r="F13" i="1" s="1"/>
  <c r="AD13" i="2"/>
  <c r="AC13" i="2"/>
  <c r="D12" i="1"/>
  <c r="F12" i="1" s="1"/>
  <c r="D11" i="1"/>
  <c r="AB13" i="2"/>
  <c r="CN79" i="2"/>
  <c r="CP18" i="2"/>
  <c r="CP79" i="2" s="1"/>
  <c r="CU79" i="2"/>
  <c r="CV17" i="2"/>
  <c r="CW17" i="2" s="1"/>
  <c r="CW14" i="2"/>
  <c r="CV79" i="2"/>
  <c r="CR14" i="2"/>
  <c r="CQ74" i="3"/>
  <c r="CQ73" i="3"/>
  <c r="CQ72" i="3"/>
  <c r="CQ71" i="3"/>
  <c r="CQ70" i="3"/>
  <c r="CQ69" i="3"/>
  <c r="CQ68" i="3"/>
  <c r="CQ67" i="3"/>
  <c r="CQ66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24" i="3"/>
  <c r="CQ23" i="3"/>
  <c r="CQ22" i="3"/>
  <c r="CQ21" i="3"/>
  <c r="CQ20" i="3"/>
  <c r="CQ19" i="3"/>
  <c r="CQ18" i="3"/>
  <c r="CQ17" i="3"/>
  <c r="CQ16" i="3"/>
  <c r="CQ15" i="3"/>
  <c r="CQ31" i="3"/>
  <c r="CQ29" i="3"/>
  <c r="CQ28" i="3"/>
  <c r="CQ2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5" i="2"/>
  <c r="CW54" i="2"/>
  <c r="CW53" i="2"/>
  <c r="CW52" i="2"/>
  <c r="CW51" i="2"/>
  <c r="CQ36" i="3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7" i="2"/>
  <c r="CQ32" i="3"/>
  <c r="CQ25" i="3"/>
  <c r="CW24" i="2"/>
  <c r="CW23" i="2"/>
  <c r="CW22" i="2"/>
  <c r="CW21" i="2"/>
  <c r="CW20" i="2"/>
  <c r="CW19" i="2"/>
  <c r="CW16" i="2"/>
  <c r="CW15" i="2"/>
  <c r="CQ76" i="3"/>
  <c r="CQ65" i="3"/>
  <c r="CQ63" i="3"/>
  <c r="CQ30" i="3"/>
  <c r="E21" i="1" l="1"/>
  <c r="F20" i="1"/>
  <c r="F19" i="1"/>
  <c r="F18" i="1"/>
  <c r="CQ14" i="3"/>
  <c r="CQ77" i="3" s="1"/>
  <c r="CP77" i="3"/>
  <c r="CL14" i="3"/>
  <c r="CL77" i="3" s="1"/>
  <c r="CJ77" i="3"/>
  <c r="I3" i="2"/>
  <c r="E6" i="1"/>
  <c r="D3" i="3"/>
  <c r="CH13" i="3"/>
  <c r="F11" i="1"/>
  <c r="D21" i="1"/>
  <c r="D3" i="2"/>
  <c r="CN13" i="2"/>
  <c r="B6" i="1"/>
  <c r="I3" i="3"/>
  <c r="CW18" i="2"/>
  <c r="CW79" i="2" s="1"/>
  <c r="CR18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<sst xmlns="http://schemas.openxmlformats.org/spreadsheetml/2006/main" count="580" uniqueCount="171">
  <si>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</si>
  <si>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</si>
  <si>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</si>
  <si>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</si>
  <si>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</si>
  <si>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</si>
  <si>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</si>
  <si>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</si>
  <si>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</si>
  <si>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</si>
  <si>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</si>
  <si>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</si>
  <si>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</si>
  <si>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</si>
  <si>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</si>
  <si>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</si>
  <si>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</si>
  <si>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</si>
  <si>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</si>
  <si>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</si>
  <si>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</si>
  <si>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</si>
  <si>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</si>
  <si>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</si>
  <si>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</si>
  <si>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</si>
  <si>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</si>
  <si>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</si>
  <si>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</si>
  <si>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</si>
  <si>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</si>
  <si>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</si>
  <si>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</si>
  <si>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</si>
  <si>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</si>
  <si>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</si>
  <si>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</si>
  <si>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</si>
  <si>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</si>
  <si>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</si>
  <si>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</si>
  <si>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</si>
  <si>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</si>
  <si>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</si>
  <si>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</si>
  <si>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</si>
  <si>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</si>
  <si>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</si>
  <si>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</si>
  <si>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</si>
  <si>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</si>
  <si>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</si>
  <si>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</si>
  <si>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</si>
  <si>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</si>
  <si>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</si>
  <si>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</si>
  <si>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</si>
  <si>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</si>
  <si>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</si>
  <si>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</si>
  <si>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</si>
  <si>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</si>
  <si>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</si>
  <si>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</si>
  <si>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</si>
  <si>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</si>
  <si>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</si>
  <si>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</si>
  <si>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</si>
  <si>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</si>
  <si>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</si>
  <si>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</si>
  <si>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</si>
  <si>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</si>
  <si>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</si>
  <si>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</si>
  <si>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</si>
  <si>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</si>
  <si>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</si>
  <si>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</si>
  <si>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</si>
  <si>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</si>
  <si>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</si>
  <si>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</si>
  <si>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</si>
  <si>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</si>
  <si>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</si>
  <si>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</si>
  <si>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</si>
  <si>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</si>
  <si>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</si>
  <si>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</si>
  <si>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</si>
  <si>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</si>
  <si>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</si>
  <si>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</si>
  <si>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</si>
  <si>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</si>
  <si>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</si>
  <si>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</si>
  <si>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</si>
  <si>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</si>
  <si>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</si>
  <si>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</si>
  <si>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</si>
  <si>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</si>
  <si>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</si>
  <si>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</si>
  <si>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</si>
  <si>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</si>
  <si>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</si>
  <si>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21:30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</si>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</sst>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343</v>
      </c>
      <c r="C6" s="89"/>
      <c r="E6" s="88">
        <f>'Programa CAJAS REPORTE DIARIO'!CH77</f>
        <v>859</v>
      </c>
      <c r="F6" s="89"/>
      <c r="H6" s="101">
        <f>B6+E6</f>
        <v>1202</v>
      </c>
      <c r="I6" s="97"/>
      <c r="J6" s="97"/>
    </row>
    <row r="7" spans="2:10" ht="15.95" customHeight="1" x14ac:dyDescent="0.2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80</v>
      </c>
      <c r="E20" s="72">
        <f>'Programa CAJAS REPORTE DIARIO'!AQ77</f>
        <v>175</v>
      </c>
      <c r="F20" s="72">
        <f t="shared" si="0"/>
        <v>255</v>
      </c>
      <c r="G20" s="72">
        <f t="shared" si="1"/>
        <v>1202</v>
      </c>
      <c r="H20" s="71" t="s">
        <v>145</v>
      </c>
    </row>
    <row r="21" spans="2:8" ht="24" customHeight="1" x14ac:dyDescent="0.25">
      <c r="B21" s="73" t="s">
        <v>146</v>
      </c>
      <c r="C21" s="74"/>
      <c r="D21" s="75">
        <f>SUM(D11:D20)</f>
        <v>343</v>
      </c>
      <c r="E21" s="75">
        <f>SUM(E11:E20)</f>
        <v>859</v>
      </c>
      <c r="F21" s="75">
        <f>SUM(F11:F20)</f>
        <v>1202</v>
      </c>
      <c r="G21" s="75">
        <f>F21</f>
        <v>1202</v>
      </c>
      <c r="H21" s="76" t="s">
        <v>147</v>
      </c>
    </row>
    <row r="23" spans="2:8" x14ac:dyDescent="0.2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2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2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2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343</v>
      </c>
      <c r="F3" s="79" t="s">
        <v>1</v>
      </c>
      <c r="I3" s="80">
        <f>'Programa CAJAS REPORTE DIARIO'!CH77+CN79</f>
        <v>1202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80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343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125</v>
      </c>
      <c r="CP27" s="27">
        <f t="shared" si="4"/>
        <v>125</v>
      </c>
      <c r="CQ27" s="22">
        <v>0</v>
      </c>
      <c r="CR27" s="22">
        <f t="shared" si="5"/>
        <v>125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245.5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100</v>
      </c>
      <c r="CP28" s="27">
        <f t="shared" si="4"/>
        <v>100</v>
      </c>
      <c r="CQ28" s="22">
        <v>0</v>
      </c>
      <c r="CR28" s="22">
        <f t="shared" si="5"/>
        <v>100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2</v>
      </c>
      <c r="CP35" s="27">
        <f t="shared" si="4"/>
        <v>2</v>
      </c>
      <c r="CQ35" s="22">
        <v>0</v>
      </c>
      <c r="CR35" s="22">
        <f t="shared" si="5"/>
        <v>2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-2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8</v>
      </c>
      <c r="CP36" s="27">
        <f t="shared" si="4"/>
        <v>8</v>
      </c>
      <c r="CQ36" s="22">
        <v>0</v>
      </c>
      <c r="CR36" s="22">
        <f t="shared" si="5"/>
        <v>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-8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8</v>
      </c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</v>
      </c>
      <c r="CP42" s="27">
        <f t="shared" si="4"/>
        <v>8</v>
      </c>
      <c r="CQ42" s="22">
        <v>0</v>
      </c>
      <c r="CR42" s="22">
        <f t="shared" si="5"/>
        <v>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749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80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343</v>
      </c>
      <c r="CP79" s="25">
        <f>+SUM(CP14:CP78)</f>
        <v>343</v>
      </c>
      <c r="CQ79" s="25">
        <f>+SUM(CQ14:CQ78)</f>
        <v>0</v>
      </c>
      <c r="CR79" s="25">
        <f>+SUM(CR14:CR78)</f>
        <v>343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2789.5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153</v>
      </c>
      <c r="D3" s="78">
        <f>+CH77</f>
        <v>859</v>
      </c>
      <c r="F3" s="79" t="s">
        <v>1</v>
      </c>
      <c r="I3" s="80">
        <f>'Programa CASETAS REPORTE DIARIO'!CN79+CH77</f>
        <v>1202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859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288</v>
      </c>
      <c r="CJ27" s="27">
        <f t="shared" si="3"/>
        <v>288</v>
      </c>
      <c r="CK27" s="22">
        <v>0</v>
      </c>
      <c r="CL27" s="22">
        <f t="shared" si="4"/>
        <v>288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498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153</v>
      </c>
      <c r="CJ28" s="27">
        <f t="shared" si="3"/>
        <v>153</v>
      </c>
      <c r="CK28" s="22">
        <v>0</v>
      </c>
      <c r="CL28" s="22">
        <f t="shared" si="4"/>
        <v>153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25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1</v>
      </c>
      <c r="CJ32" s="27">
        <f t="shared" si="3"/>
        <v>1</v>
      </c>
      <c r="CK32" s="22">
        <v>0</v>
      </c>
      <c r="CL32" s="22">
        <f t="shared" si="4"/>
        <v>1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4331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4</v>
      </c>
      <c r="CJ35" s="27">
        <f t="shared" si="3"/>
        <v>4</v>
      </c>
      <c r="CK35" s="22">
        <v>0</v>
      </c>
      <c r="CL35" s="22">
        <f t="shared" si="4"/>
        <v>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22</v>
      </c>
      <c r="CJ36" s="27">
        <f t="shared" si="3"/>
        <v>22</v>
      </c>
      <c r="CK36" s="22">
        <v>0</v>
      </c>
      <c r="CL36" s="22">
        <f t="shared" si="4"/>
        <v>22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-22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107</v>
      </c>
      <c r="CJ46" s="27">
        <f t="shared" ref="CJ46:CJ76" si="11">CH46</f>
        <v>107</v>
      </c>
      <c r="CK46" s="22">
        <v>0</v>
      </c>
      <c r="CL46" s="22">
        <f t="shared" ref="CL46:CL77" si="12">CJ46+CK46</f>
        <v>107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38</v>
      </c>
      <c r="CJ57" s="27">
        <f t="shared" si="11"/>
        <v>38</v>
      </c>
      <c r="CK57" s="22">
        <v>0</v>
      </c>
      <c r="CL57" s="22">
        <f t="shared" si="12"/>
        <v>38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54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26</v>
      </c>
      <c r="CJ61" s="27">
        <f t="shared" si="11"/>
        <v>26</v>
      </c>
      <c r="CK61" s="22">
        <v>0</v>
      </c>
      <c r="CL61" s="22">
        <f t="shared" si="12"/>
        <v>26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36</v>
      </c>
      <c r="CJ64" s="27">
        <f t="shared" si="11"/>
        <v>36</v>
      </c>
      <c r="CK64" s="22">
        <v>0</v>
      </c>
      <c r="CL64" s="22">
        <f t="shared" si="12"/>
        <v>36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-24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39</v>
      </c>
      <c r="CJ70" s="27">
        <f t="shared" si="11"/>
        <v>39</v>
      </c>
      <c r="CK70" s="22">
        <v>0</v>
      </c>
      <c r="CL70" s="22">
        <f t="shared" si="12"/>
        <v>39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-25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2</v>
      </c>
      <c r="CJ75" s="27">
        <f t="shared" si="11"/>
        <v>2</v>
      </c>
      <c r="CK75" s="22">
        <v>0</v>
      </c>
      <c r="CL75" s="22">
        <f t="shared" si="12"/>
        <v>2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-1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0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859</v>
      </c>
      <c r="CJ77" s="25">
        <f>+SUM(CJ14:CJ76)</f>
        <v>859</v>
      </c>
      <c r="CK77" s="25">
        <f>+SUM(CK14:CK76)</f>
        <v>0</v>
      </c>
      <c r="CL77" s="25">
        <f>+SUM(CL14:CL76)</f>
        <v>859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6128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2026-10-27T03:30:01Z</dcterms:modified>
</cp:coreProperties>
</file>