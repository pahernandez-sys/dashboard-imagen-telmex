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EE15D5B-4DFB-41E9-8DC6-1D7DEC39CA0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DD44" i="2"/>
  <c r="CU44" i="2"/>
  <c r="CV44" i="2" s="1"/>
  <c r="CN44" i="2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74" i="3" l="1"/>
  <c r="CQ56" i="3"/>
  <c r="CQ51" i="3"/>
  <c r="CQ35" i="3"/>
  <c r="CW48" i="2"/>
  <c r="AS13" i="3"/>
  <c r="E22" i="1"/>
  <c r="E21" i="1"/>
  <c r="AR13" i="3"/>
  <c r="E20" i="1"/>
  <c r="AQ13" i="3"/>
  <c r="AP13" i="3"/>
  <c r="E19" i="1"/>
  <c r="E18" i="1"/>
  <c r="AO13" i="3"/>
  <c r="E17" i="1"/>
  <c r="AN13" i="3"/>
  <c r="E16" i="1"/>
  <c r="AM13" i="3"/>
  <c r="E15" i="1"/>
  <c r="AL13" i="3"/>
  <c r="E14" i="1"/>
  <c r="AK13" i="3"/>
  <c r="AJ13" i="3"/>
  <c r="E13" i="1"/>
  <c r="AI13" i="3"/>
  <c r="E12" i="1"/>
  <c r="E11" i="1"/>
  <c r="AH13" i="3"/>
  <c r="CW45" i="2"/>
  <c r="CR45" i="2"/>
  <c r="CW64" i="2"/>
  <c r="CP14" i="3"/>
  <c r="CO77" i="3"/>
  <c r="CH77" i="3"/>
  <c r="CJ14" i="3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AF13" i="2"/>
  <c r="D15" i="1"/>
  <c r="D14" i="1"/>
  <c r="AE13" i="2"/>
  <c r="AD13" i="2"/>
  <c r="D13" i="1"/>
  <c r="D12" i="1"/>
  <c r="AC13" i="2"/>
  <c r="D11" i="1"/>
  <c r="AB13" i="2"/>
  <c r="CP44" i="2"/>
  <c r="CN79" i="2"/>
  <c r="CV30" i="2"/>
  <c r="CW30" i="2" s="1"/>
  <c r="CU79" i="2"/>
  <c r="CW14" i="2"/>
  <c r="CV79" i="2"/>
  <c r="CR14" i="2"/>
  <c r="CP79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7" i="2"/>
  <c r="CW46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7" i="3"/>
  <c r="CQ55" i="3"/>
  <c r="CQ54" i="3"/>
  <c r="CQ53" i="3"/>
  <c r="CQ52" i="3"/>
  <c r="CQ50" i="3"/>
  <c r="CQ49" i="3"/>
  <c r="CQ48" i="3"/>
  <c r="CQ58" i="3"/>
  <c r="F16" i="1" l="1"/>
  <c r="F15" i="1"/>
  <c r="F14" i="1"/>
  <c r="F13" i="1"/>
  <c r="F12" i="1"/>
  <c r="E23" i="1"/>
  <c r="CP77" i="3"/>
  <c r="CQ14" i="3"/>
  <c r="CQ77" i="3" s="1"/>
  <c r="I3" i="2"/>
  <c r="E6" i="1"/>
  <c r="D3" i="3"/>
  <c r="CH13" i="3"/>
  <c r="CL14" i="3"/>
  <c r="CL77" i="3" s="1"/>
  <c r="CJ77" i="3"/>
  <c r="F11" i="1"/>
  <c r="D23" i="1"/>
  <c r="CW44" i="2"/>
  <c r="CW79" i="2" s="1"/>
  <c r="CR44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<sst xmlns="http://schemas.openxmlformats.org/spreadsheetml/2006/main" count="586" uniqueCount="174">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</sst>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631</v>
      </c>
      <c r="C6" s="89"/>
      <c r="E6" s="88">
        <f>'Programa CAJAS REPORTE DIARIO'!CH77</f>
        <v>1644</v>
      </c>
      <c r="F6" s="89"/>
      <c r="H6" s="101">
        <f>B6+E6</f>
        <v>2275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149</v>
      </c>
      <c r="E22" s="72">
        <f>'Programa CAJAS REPORTE DIARIO'!AS77</f>
        <v>319</v>
      </c>
      <c r="F22" s="72">
        <f t="shared" si="0"/>
        <v>468</v>
      </c>
      <c r="G22" s="72">
        <f t="shared" si="1"/>
        <v>2275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631</v>
      </c>
      <c r="E23" s="75">
        <f>SUM(E11:E22)</f>
        <v>1644</v>
      </c>
      <c r="F23" s="75">
        <f>SUM(F11:F22)</f>
        <v>2275</v>
      </c>
      <c r="G23" s="75">
        <f>F23</f>
        <v>2275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631</v>
      </c>
      <c r="F3" s="79" t="s">
        <v>1</v>
      </c>
      <c r="I3" s="80">
        <f>'Programa CAJAS REPORTE DIARIO'!CH77+CN79</f>
        <v>2275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149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24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67</v>
      </c>
      <c r="CP42" s="27">
        <f t="shared" si="4"/>
        <v>67</v>
      </c>
      <c r="CQ42" s="22">
        <v>0</v>
      </c>
      <c r="CR42" s="22">
        <f t="shared" si="5"/>
        <v>67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149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631</v>
      </c>
      <c r="CP79" s="25">
        <f>+SUM(CP14:CP78)</f>
        <v>631</v>
      </c>
      <c r="CQ79" s="25">
        <f>+SUM(CQ14:CQ78)</f>
        <v>0</v>
      </c>
      <c r="CR79" s="25">
        <f>+SUM(CR14:CR78)</f>
        <v>631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1644</v>
      </c>
      <c r="F3" s="79" t="s">
        <v>1</v>
      </c>
      <c r="I3" s="80">
        <f>'Programa CASETAS REPORTE DIARIO'!CN79+CH77</f>
        <v>2275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319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16</v>
      </c>
      <c r="CJ41" s="27">
        <f t="shared" si="3"/>
        <v>16</v>
      </c>
      <c r="CK41" s="22">
        <v>0</v>
      </c>
      <c r="CL41" s="22">
        <f t="shared" si="4"/>
        <v>16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319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1644</v>
      </c>
      <c r="CJ77" s="25">
        <f>+SUM(CJ14:CJ76)</f>
        <v>1644</v>
      </c>
      <c r="CK77" s="25">
        <f>+SUM(CK14:CK76)</f>
        <v>0</v>
      </c>
      <c r="CL77" s="25">
        <f>+SUM(CL14:CL76)</f>
        <v>1644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2026-10-28T23:15:33Z</dcterms:modified>
</cp:coreProperties>
</file>