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15B4424-2419-4634-B1C2-5C3426DF9FB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6" i="3" l="1"/>
  <c r="CW31" i="2"/>
  <c r="CW20" i="2"/>
  <c r="CW17" i="2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P14" i="3"/>
  <c r="CO77" i="3"/>
  <c r="CH77" i="3"/>
  <c r="CJ14" i="3"/>
  <c r="D23" i="1"/>
  <c r="F11" i="1"/>
  <c r="CV14" i="2"/>
  <c r="CU79" i="2"/>
  <c r="CP14" i="2"/>
  <c r="CN79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73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0" i="2"/>
  <c r="CW29" i="2"/>
  <c r="CW28" i="2"/>
  <c r="CW27" i="2"/>
  <c r="CW26" i="2"/>
  <c r="CW25" i="2"/>
  <c r="CW24" i="2"/>
  <c r="CW23" i="2"/>
  <c r="CW22" i="2"/>
  <c r="CW21" i="2"/>
  <c r="CW19" i="2"/>
  <c r="CW18" i="2"/>
  <c r="CW16" i="2"/>
  <c r="CW15" i="2"/>
  <c r="CQ75" i="3"/>
  <c r="CQ74" i="3"/>
  <c r="E23" i="1" l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I3" i="3"/>
  <c r="B6" i="1"/>
  <c r="CN13" i="2"/>
  <c r="D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<sst xmlns="http://schemas.openxmlformats.org/spreadsheetml/2006/main" count="586" uniqueCount="174">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</sst>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1660</v>
      </c>
      <c r="F6" s="89"/>
      <c r="H6" s="101">
        <f>B6+E6</f>
        <v>2292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335</v>
      </c>
      <c r="F22" s="72">
        <f t="shared" si="0"/>
        <v>485</v>
      </c>
      <c r="G22" s="72">
        <f t="shared" si="1"/>
        <v>2292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1660</v>
      </c>
      <c r="F23" s="75">
        <f>SUM(F11:F22)</f>
        <v>2292</v>
      </c>
      <c r="G23" s="75">
        <f>F23</f>
        <v>2292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1660</v>
      </c>
      <c r="F3" s="79" t="s">
        <v>1</v>
      </c>
      <c r="I3" s="80">
        <f>'Programa CASETAS REPORTE DIARIO'!CN79+CH77</f>
        <v>2292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1660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7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20</v>
      </c>
      <c r="CJ41" s="27">
        <f t="shared" si="3"/>
        <v>20</v>
      </c>
      <c r="CK41" s="22">
        <v>0</v>
      </c>
      <c r="CL41" s="22">
        <f t="shared" si="4"/>
        <v>20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-7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1660</v>
      </c>
      <c r="CJ77" s="25">
        <f>+SUM(CJ14:CJ76)</f>
        <v>1660</v>
      </c>
      <c r="CK77" s="25">
        <f>+SUM(CK14:CK76)</f>
        <v>0</v>
      </c>
      <c r="CL77" s="25">
        <f>+SUM(CL14:CL76)</f>
        <v>1660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2026-10-29T01:00:49Z</dcterms:modified>
</cp:coreProperties>
</file>