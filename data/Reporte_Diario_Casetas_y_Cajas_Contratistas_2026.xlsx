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BD4B462-F3B2-467C-873C-71CAF919CE4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W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W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AE13" i="2"/>
  <c r="AD13" i="2"/>
  <c r="AC13" i="2"/>
  <c r="AB13" i="2"/>
  <c r="AA13" i="2"/>
  <c r="Z13" i="2"/>
  <c r="Y13" i="2"/>
  <c r="X13" i="2"/>
  <c r="W13" i="2"/>
  <c r="CW68" i="2" l="1"/>
  <c r="CW28" i="2"/>
  <c r="CW39" i="2"/>
  <c r="CW33" i="2"/>
  <c r="CW32" i="2"/>
  <c r="CW24" i="2"/>
  <c r="CW20" i="2"/>
  <c r="CW18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CQ75" i="3"/>
  <c r="CQ71" i="3"/>
  <c r="CQ70" i="3"/>
  <c r="CQ69" i="3"/>
  <c r="CQ68" i="3"/>
  <c r="CW35" i="2"/>
  <c r="CQ66" i="3"/>
  <c r="CQ64" i="3"/>
  <c r="CQ63" i="3"/>
  <c r="CQ56" i="3"/>
  <c r="CQ55" i="3"/>
  <c r="CQ52" i="3"/>
  <c r="CQ48" i="3"/>
  <c r="CQ46" i="3"/>
  <c r="CW22" i="2"/>
  <c r="CW21" i="2"/>
  <c r="CW19" i="2"/>
  <c r="CW59" i="2"/>
  <c r="CW55" i="2"/>
  <c r="CW15" i="2"/>
  <c r="CW27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P32" i="3"/>
  <c r="CO77" i="3"/>
  <c r="CH77" i="3"/>
  <c r="CJ19" i="3"/>
  <c r="CQ14" i="3"/>
  <c r="CL14" i="3"/>
  <c r="CJ77" i="3"/>
  <c r="F11" i="1"/>
  <c r="D24" i="1"/>
  <c r="CV14" i="2"/>
  <c r="CU79" i="2"/>
  <c r="CP14" i="2"/>
  <c r="CN79" i="2"/>
  <c r="CQ62" i="3"/>
  <c r="CQ50" i="3"/>
  <c r="CQ43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Q49" i="3"/>
  <c r="CQ47" i="3"/>
  <c r="CQ41" i="3"/>
  <c r="CW67" i="2"/>
  <c r="CW66" i="2"/>
  <c r="CW65" i="2"/>
  <c r="CW64" i="2"/>
  <c r="CW63" i="2"/>
  <c r="CW62" i="2"/>
  <c r="CW61" i="2"/>
  <c r="CW60" i="2"/>
  <c r="CW58" i="2"/>
  <c r="CW57" i="2"/>
  <c r="CW56" i="2"/>
  <c r="CW26" i="2"/>
  <c r="CQ73" i="3"/>
  <c r="CQ72" i="3"/>
  <c r="CQ61" i="3"/>
  <c r="CQ60" i="3"/>
  <c r="CQ59" i="3"/>
  <c r="CQ58" i="3"/>
  <c r="CQ57" i="3"/>
  <c r="CQ54" i="3"/>
  <c r="CQ53" i="3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8" i="2"/>
  <c r="CW37" i="2"/>
  <c r="CW36" i="2"/>
  <c r="CW34" i="2"/>
  <c r="CW31" i="2"/>
  <c r="CW30" i="2"/>
  <c r="CQ76" i="3"/>
  <c r="CQ74" i="3"/>
  <c r="CQ67" i="3"/>
  <c r="CQ65" i="3"/>
  <c r="CQ51" i="3"/>
  <c r="CQ45" i="3"/>
  <c r="CQ44" i="3"/>
  <c r="CQ42" i="3"/>
  <c r="E24" i="1" l="1"/>
  <c r="I3" i="2"/>
  <c r="E6" i="1"/>
  <c r="CH13" i="3"/>
  <c r="D3" i="3"/>
  <c r="CQ19" i="3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I3" i="3"/>
  <c r="D3" i="2"/>
  <c r="CN13" i="2"/>
  <c r="B6" i="1"/>
  <c r="CQ32" i="3"/>
  <c r="CP77" i="3"/>
  <c r="CQ77" i="3" l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<sst xmlns="http://schemas.openxmlformats.org/spreadsheetml/2006/main" count="589" uniqueCount="175">
  <si>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</si>
  <si>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</si>
  <si>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</si>
  <si>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</si>
  <si>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</si>
  <si>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</si>
  <si>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</si>
  <si>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</si>
  <si>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</si>
  <si>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</si>
  <si>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</si>
  <si>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</si>
  <si>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</si>
  <si>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</si>
  <si>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</si>
  <si>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</si>
  <si>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</si>
  <si>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</si>
  <si>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</si>
  <si>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</si>
  <si>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</si>
  <si>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</si>
  <si>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</si>
  <si>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</si>
  <si>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</si>
  <si>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</si>
  <si>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</si>
  <si>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</si>
  <si>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</si>
  <si>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</si>
  <si>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</si>
  <si>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</si>
  <si>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</si>
  <si>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</si>
  <si>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</si>
  <si>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</si>
  <si>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</si>
  <si>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</si>
  <si>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</si>
  <si>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</si>
  <si>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</si>
  <si>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</si>
  <si>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</si>
  <si>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</si>
  <si>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</si>
  <si>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</si>
  <si>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</si>
  <si>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</si>
  <si>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</si>
  <si>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</si>
  <si>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</si>
  <si>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</si>
  <si>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</si>
  <si>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</si>
  <si>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</si>
  <si>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</si>
  <si>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</si>
  <si>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</si>
  <si>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</si>
  <si>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</si>
  <si>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</si>
  <si>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</si>
  <si>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</si>
  <si>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</si>
  <si>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</si>
  <si>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</si>
  <si>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</si>
  <si>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</si>
  <si>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</si>
  <si>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</si>
  <si>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</si>
  <si>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</si>
  <si>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</si>
  <si>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</si>
  <si>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</si>
  <si>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</si>
  <si>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</si>
  <si>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</si>
  <si>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</si>
  <si>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</si>
  <si>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</si>
  <si>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</si>
  <si>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</si>
  <si>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</si>
  <si>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</si>
  <si>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</si>
  <si>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</si>
  <si>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</si>
  <si>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</si>
  <si>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</si>
  <si>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</si>
  <si>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</si>
  <si>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</si>
  <si>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</si>
  <si>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</si>
  <si>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</si>
  <si>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</si>
  <si>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</si>
  <si>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</si>
  <si>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</si>
  <si>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</si>
  <si>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</si>
  <si>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</si>
  <si>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</si>
  <si>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</si>
  <si>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</si>
  <si>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</si>
  <si>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</si>
  <si>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</si>
  <si>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</si>
  <si>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</si>
  <si>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</si>
  <si>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13:47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</si>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</sst>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751</v>
      </c>
      <c r="C6" s="89"/>
      <c r="E6" s="88">
        <f>'Programa CAJAS REPORTE DIARIO'!CH77</f>
        <v>2034</v>
      </c>
      <c r="F6" s="89"/>
      <c r="H6" s="101">
        <f>B6+E6</f>
        <v>2785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92</v>
      </c>
      <c r="E23" s="70">
        <f>'Programa CAJAS REPORTE DIARIO'!AT77</f>
        <v>305</v>
      </c>
      <c r="F23" s="70">
        <f t="shared" si="0"/>
        <v>397</v>
      </c>
      <c r="G23" s="70">
        <f t="shared" si="1"/>
        <v>2785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751</v>
      </c>
      <c r="E24" s="75">
        <f>SUM(E11:E23)</f>
        <v>2034</v>
      </c>
      <c r="F24" s="75">
        <f>SUM(F11:F23)</f>
        <v>2785</v>
      </c>
      <c r="G24" s="75">
        <f>F24</f>
        <v>2785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751</v>
      </c>
      <c r="F3" s="79" t="s">
        <v>1</v>
      </c>
      <c r="I3" s="80">
        <f>'Programa CAJAS REPORTE DIARIO'!CH77+CN79</f>
        <v>2785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22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108</v>
      </c>
      <c r="CP29" s="27">
        <f t="shared" si="4"/>
        <v>108</v>
      </c>
      <c r="CQ29" s="22">
        <v>0</v>
      </c>
      <c r="CR29" s="22">
        <f t="shared" si="5"/>
        <v>108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751</v>
      </c>
      <c r="CP79" s="25">
        <f>+SUM(CP14:CP78)</f>
        <v>751</v>
      </c>
      <c r="CQ79" s="25">
        <f>+SUM(CQ14:CQ78)</f>
        <v>0</v>
      </c>
      <c r="CR79" s="25">
        <f>+SUM(CR14:CR78)</f>
        <v>751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2034</v>
      </c>
      <c r="F3" s="79" t="s">
        <v>1</v>
      </c>
      <c r="I3" s="80">
        <f>'Programa CASETAS REPORTE DIARIO'!CN79+CH77</f>
        <v>2785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305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2034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397</v>
      </c>
      <c r="CJ27" s="27">
        <f t="shared" si="3"/>
        <v>397</v>
      </c>
      <c r="CK27" s="22">
        <v>0</v>
      </c>
      <c r="CL27" s="22">
        <f t="shared" si="4"/>
        <v>397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309</v>
      </c>
      <c r="CJ28" s="27">
        <f t="shared" si="3"/>
        <v>309</v>
      </c>
      <c r="CK28" s="22">
        <v>0</v>
      </c>
      <c r="CL28" s="22">
        <f t="shared" si="4"/>
        <v>309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43</v>
      </c>
      <c r="CJ29" s="27">
        <f t="shared" si="3"/>
        <v>43</v>
      </c>
      <c r="CK29" s="22">
        <v>0</v>
      </c>
      <c r="CL29" s="22">
        <f t="shared" si="4"/>
        <v>43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145</v>
      </c>
      <c r="CJ35" s="27">
        <f t="shared" si="3"/>
        <v>145</v>
      </c>
      <c r="CK35" s="22">
        <v>0</v>
      </c>
      <c r="CL35" s="22">
        <f t="shared" si="4"/>
        <v>145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9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52</v>
      </c>
      <c r="CJ37" s="27">
        <f t="shared" si="3"/>
        <v>52</v>
      </c>
      <c r="CK37" s="22">
        <v>0</v>
      </c>
      <c r="CL37" s="22">
        <f t="shared" si="4"/>
        <v>52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136</v>
      </c>
      <c r="CJ43" s="27">
        <f t="shared" si="3"/>
        <v>136</v>
      </c>
      <c r="CK43" s="22">
        <v>0</v>
      </c>
      <c r="CL43" s="22">
        <f t="shared" si="4"/>
        <v>136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63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68</v>
      </c>
      <c r="CJ53" s="27">
        <f t="shared" si="11"/>
        <v>68</v>
      </c>
      <c r="CK53" s="22">
        <v>0</v>
      </c>
      <c r="CL53" s="22">
        <f t="shared" si="12"/>
        <v>68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12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59</v>
      </c>
      <c r="CJ61" s="27">
        <f t="shared" si="11"/>
        <v>59</v>
      </c>
      <c r="CK61" s="22">
        <v>0</v>
      </c>
      <c r="CL61" s="22">
        <f t="shared" si="12"/>
        <v>59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305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2034</v>
      </c>
      <c r="CJ77" s="25">
        <f>+SUM(CJ14:CJ76)</f>
        <v>2034</v>
      </c>
      <c r="CK77" s="25">
        <f>+SUM(CK14:CK76)</f>
        <v>0</v>
      </c>
      <c r="CL77" s="25">
        <f>+SUM(CL14:CL76)</f>
        <v>2034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9198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2026-10-29T19:47:29Z</dcterms:modified>
</cp:coreProperties>
</file>