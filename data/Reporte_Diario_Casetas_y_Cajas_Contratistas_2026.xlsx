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8C6AB53-33AE-4FF0-97B0-32B323EB55C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C13" i="3" s="1"/>
  <c r="BB77" i="3"/>
  <c r="BA77" i="3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B13" i="3"/>
  <c r="B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W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E22" i="1" l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Q76" i="3"/>
  <c r="E23" i="1"/>
  <c r="CQ73" i="3"/>
  <c r="CW78" i="2"/>
  <c r="CW68" i="2"/>
  <c r="CW66" i="2"/>
  <c r="CW44" i="2"/>
  <c r="CW43" i="2"/>
  <c r="CW42" i="2"/>
  <c r="CW40" i="2"/>
  <c r="CW23" i="2"/>
  <c r="CW15" i="2"/>
  <c r="CW55" i="2"/>
  <c r="CW54" i="2"/>
  <c r="CW52" i="2"/>
  <c r="CW50" i="2"/>
  <c r="CW47" i="2"/>
  <c r="CW46" i="2"/>
  <c r="CW24" i="2"/>
  <c r="CO77" i="3"/>
  <c r="CP14" i="3"/>
  <c r="CH77" i="3"/>
  <c r="CJ14" i="3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AG13" i="2"/>
  <c r="D16" i="1"/>
  <c r="F16" i="1" s="1"/>
  <c r="D15" i="1"/>
  <c r="F15" i="1" s="1"/>
  <c r="AF13" i="2"/>
  <c r="AE13" i="2"/>
  <c r="D14" i="1"/>
  <c r="D13" i="1"/>
  <c r="F13" i="1" s="1"/>
  <c r="AD13" i="2"/>
  <c r="D12" i="1"/>
  <c r="F12" i="1" s="1"/>
  <c r="AC13" i="2"/>
  <c r="D11" i="1"/>
  <c r="AB13" i="2"/>
  <c r="CP18" i="2"/>
  <c r="CP79" i="2" s="1"/>
  <c r="CN79" i="2"/>
  <c r="CV17" i="2"/>
  <c r="CU79" i="2"/>
  <c r="CW14" i="2"/>
  <c r="CR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6" i="2"/>
  <c r="CW75" i="2"/>
  <c r="CW74" i="2"/>
  <c r="CW73" i="2"/>
  <c r="CW72" i="2"/>
  <c r="CW71" i="2"/>
  <c r="CW70" i="2"/>
  <c r="CW69" i="2"/>
  <c r="CW67" i="2"/>
  <c r="CW65" i="2"/>
  <c r="CW62" i="2"/>
  <c r="CW61" i="2"/>
  <c r="CW60" i="2"/>
  <c r="CW59" i="2"/>
  <c r="CW58" i="2"/>
  <c r="CW57" i="2"/>
  <c r="CW56" i="2"/>
  <c r="CW53" i="2"/>
  <c r="CW51" i="2"/>
  <c r="CW45" i="2"/>
  <c r="CW25" i="2"/>
  <c r="CW21" i="2"/>
  <c r="CW20" i="2"/>
  <c r="CW16" i="2"/>
  <c r="CQ75" i="3"/>
  <c r="CW77" i="2"/>
  <c r="CW64" i="2"/>
  <c r="CW63" i="2"/>
  <c r="CW49" i="2"/>
  <c r="CW48" i="2"/>
  <c r="CW41" i="2"/>
  <c r="CW26" i="2"/>
  <c r="CW19" i="2"/>
  <c r="CQ74" i="3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F14" i="1" l="1"/>
  <c r="CQ14" i="3"/>
  <c r="CQ77" i="3" s="1"/>
  <c r="CP77" i="3"/>
  <c r="I3" i="2"/>
  <c r="D3" i="3"/>
  <c r="E6" i="1"/>
  <c r="CH13" i="3"/>
  <c r="CJ77" i="3"/>
  <c r="CL14" i="3"/>
  <c r="CL77" i="3" s="1"/>
  <c r="F11" i="1"/>
  <c r="D23" i="1"/>
  <c r="CW18" i="2"/>
  <c r="CR18" i="2"/>
  <c r="CR79" i="2" s="1"/>
  <c r="I3" i="3"/>
  <c r="B6" i="1"/>
  <c r="D3" i="2"/>
  <c r="CN13" i="2"/>
  <c r="CW17" i="2"/>
  <c r="CV79" i="2"/>
  <c r="CW79" i="2" l="1"/>
  <c r="H6" i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<sst xmlns="http://schemas.openxmlformats.org/spreadsheetml/2006/main" count="586" uniqueCount="174">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</sst>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625</v>
      </c>
      <c r="C6" s="89"/>
      <c r="E6" s="88">
        <f>'Programa CAJAS REPORTE DIARIO'!CH77</f>
        <v>1602</v>
      </c>
      <c r="F6" s="89"/>
      <c r="H6" s="101">
        <f>B6+E6</f>
        <v>2227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143</v>
      </c>
      <c r="E22" s="72">
        <f>'Programa CAJAS REPORTE DIARIO'!AS77</f>
        <v>277</v>
      </c>
      <c r="F22" s="72">
        <f t="shared" si="0"/>
        <v>420</v>
      </c>
      <c r="G22" s="72">
        <f t="shared" si="1"/>
        <v>2227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625</v>
      </c>
      <c r="E23" s="75">
        <f>SUM(E11:E22)</f>
        <v>1602</v>
      </c>
      <c r="F23" s="75">
        <f>SUM(F11:F22)</f>
        <v>2227</v>
      </c>
      <c r="G23" s="75">
        <f>F23</f>
        <v>2227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625</v>
      </c>
      <c r="F3" s="79" t="s">
        <v>1</v>
      </c>
      <c r="I3" s="80">
        <f>'Programa CAJAS REPORTE DIARIO'!CH77+CN79</f>
        <v>2227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180</v>
      </c>
      <c r="CP27" s="27">
        <f t="shared" si="4"/>
        <v>180</v>
      </c>
      <c r="CQ27" s="22">
        <v>0</v>
      </c>
      <c r="CR27" s="22">
        <f t="shared" si="5"/>
        <v>180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28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143</v>
      </c>
      <c r="CP28" s="27">
        <f t="shared" si="4"/>
        <v>143</v>
      </c>
      <c r="CQ28" s="22">
        <v>0</v>
      </c>
      <c r="CR28" s="22">
        <f t="shared" si="5"/>
        <v>143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63</v>
      </c>
      <c r="CP42" s="27">
        <f t="shared" si="4"/>
        <v>63</v>
      </c>
      <c r="CQ42" s="22">
        <v>0</v>
      </c>
      <c r="CR42" s="22">
        <f t="shared" si="5"/>
        <v>63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625</v>
      </c>
      <c r="CP79" s="25">
        <f>+SUM(CP14:CP78)</f>
        <v>625</v>
      </c>
      <c r="CQ79" s="25">
        <f>+SUM(CQ14:CQ78)</f>
        <v>0</v>
      </c>
      <c r="CR79" s="25">
        <f>+SUM(CR14:CR78)</f>
        <v>625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1602</v>
      </c>
      <c r="F3" s="79" t="s">
        <v>1</v>
      </c>
      <c r="I3" s="80">
        <f>'Programa CASETAS REPORTE DIARIO'!CN79+CH77</f>
        <v>2227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277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1602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260</v>
      </c>
      <c r="CJ28" s="27">
        <f t="shared" si="3"/>
        <v>260</v>
      </c>
      <c r="CK28" s="22">
        <v>0</v>
      </c>
      <c r="CL28" s="22">
        <f t="shared" si="4"/>
        <v>260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44</v>
      </c>
      <c r="CJ36" s="27">
        <f t="shared" si="3"/>
        <v>44</v>
      </c>
      <c r="CK36" s="22">
        <v>0</v>
      </c>
      <c r="CL36" s="22">
        <f t="shared" si="4"/>
        <v>44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277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1602</v>
      </c>
      <c r="CJ77" s="25">
        <f>+SUM(CJ14:CJ76)</f>
        <v>1602</v>
      </c>
      <c r="CK77" s="25">
        <f>+SUM(CK14:CK76)</f>
        <v>0</v>
      </c>
      <c r="CL77" s="25">
        <f>+SUM(CL14:CL76)</f>
        <v>1602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6905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2026-10-28T22:32:38Z</dcterms:modified>
</cp:coreProperties>
</file>