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0E1B02C-37FF-478D-9573-510DC4A6AF60}" xr6:coauthVersionLast="47" xr6:coauthVersionMax="47" xr10:uidLastSave="{00000000-0000-0000-0000-000000000000}"/>
  <bookViews>
    <workbookView xWindow="384" yWindow="38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Q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W16" i="2" s="1"/>
  <c r="CN16" i="2"/>
  <c r="CP16" i="2" s="1"/>
  <c r="CR16" i="2" s="1"/>
  <c r="DD15" i="2"/>
  <c r="CU15" i="2" s="1"/>
  <c r="CN15" i="2"/>
  <c r="CP15" i="2" s="1"/>
  <c r="CR15" i="2" s="1"/>
  <c r="DD14" i="2"/>
  <c r="CU14" i="2"/>
  <c r="CV14" i="2" s="1"/>
  <c r="CN14" i="2"/>
  <c r="CP14" i="2" s="1"/>
  <c r="BO13" i="2"/>
  <c r="CQ50" i="3" l="1"/>
  <c r="CN85" i="2"/>
  <c r="CW32" i="2"/>
  <c r="CQ71" i="3"/>
  <c r="CW30" i="2"/>
  <c r="CW17" i="2"/>
  <c r="CQ76" i="3"/>
  <c r="CQ75" i="3"/>
  <c r="CQ74" i="3"/>
  <c r="CQ73" i="3"/>
  <c r="CQ70" i="3"/>
  <c r="CQ66" i="3"/>
  <c r="CQ65" i="3"/>
  <c r="CQ61" i="3"/>
  <c r="CQ60" i="3"/>
  <c r="CQ58" i="3"/>
  <c r="CQ57" i="3"/>
  <c r="CQ47" i="3"/>
  <c r="CQ17" i="3"/>
  <c r="CQ55" i="3"/>
  <c r="CQ42" i="3"/>
  <c r="CQ30" i="3"/>
  <c r="CW55" i="2"/>
  <c r="CW28" i="2"/>
  <c r="CW27" i="2"/>
  <c r="CW51" i="2"/>
  <c r="CW48" i="2"/>
  <c r="CW44" i="2"/>
  <c r="CW41" i="2"/>
  <c r="E24" i="1"/>
  <c r="AU13" i="3"/>
  <c r="AT13" i="3"/>
  <c r="E23" i="1"/>
  <c r="E22" i="1"/>
  <c r="AS13" i="3"/>
  <c r="AR13" i="3"/>
  <c r="E21" i="1"/>
  <c r="AQ13" i="3"/>
  <c r="E20" i="1"/>
  <c r="AP13" i="3"/>
  <c r="E19" i="1"/>
  <c r="E18" i="1"/>
  <c r="AO13" i="3"/>
  <c r="E17" i="1"/>
  <c r="AN13" i="3"/>
  <c r="E16" i="1"/>
  <c r="AM13" i="3"/>
  <c r="E15" i="1"/>
  <c r="AL13" i="3"/>
  <c r="AK13" i="3"/>
  <c r="E14" i="1"/>
  <c r="AJ13" i="3"/>
  <c r="E13" i="1"/>
  <c r="AI13" i="3"/>
  <c r="E12" i="1"/>
  <c r="E11" i="1"/>
  <c r="AH13" i="3"/>
  <c r="CP32" i="3"/>
  <c r="CO77" i="3"/>
  <c r="CJ19" i="3"/>
  <c r="CH77" i="3"/>
  <c r="CQ14" i="3"/>
  <c r="CL14" i="3"/>
  <c r="CJ77" i="3"/>
  <c r="D24" i="1"/>
  <c r="AO13" i="2"/>
  <c r="AN13" i="2"/>
  <c r="D23" i="1"/>
  <c r="AM13" i="2"/>
  <c r="D22" i="1"/>
  <c r="AL13" i="2"/>
  <c r="D21" i="1"/>
  <c r="AK13" i="2"/>
  <c r="D20" i="1"/>
  <c r="AJ13" i="2"/>
  <c r="D19" i="1"/>
  <c r="AI13" i="2"/>
  <c r="D18" i="1"/>
  <c r="AH13" i="2"/>
  <c r="D17" i="1"/>
  <c r="F17" i="1" s="1"/>
  <c r="D16" i="1"/>
  <c r="F16" i="1" s="1"/>
  <c r="AG13" i="2"/>
  <c r="D15" i="1"/>
  <c r="F15" i="1" s="1"/>
  <c r="AF13" i="2"/>
  <c r="D14" i="1"/>
  <c r="AE13" i="2"/>
  <c r="D13" i="1"/>
  <c r="AD13" i="2"/>
  <c r="D12" i="1"/>
  <c r="AC13" i="2"/>
  <c r="D11" i="1"/>
  <c r="AB13" i="2"/>
  <c r="CP72" i="2"/>
  <c r="CN79" i="2"/>
  <c r="CV15" i="2"/>
  <c r="CW15" i="2" s="1"/>
  <c r="CU79" i="2"/>
  <c r="CW14" i="2"/>
  <c r="CV79" i="2"/>
  <c r="CP79" i="2"/>
  <c r="CR14" i="2"/>
  <c r="CQ29" i="3"/>
  <c r="CQ28" i="3"/>
  <c r="CQ27" i="3"/>
  <c r="CQ26" i="3"/>
  <c r="CQ25" i="3"/>
  <c r="CQ24" i="3"/>
  <c r="CQ23" i="3"/>
  <c r="CQ22" i="3"/>
  <c r="CQ21" i="3"/>
  <c r="CQ20" i="3"/>
  <c r="CQ18" i="3"/>
  <c r="CQ62" i="3"/>
  <c r="CQ56" i="3"/>
  <c r="CQ52" i="3"/>
  <c r="CQ43" i="3"/>
  <c r="CQ16" i="3"/>
  <c r="CQ15" i="3"/>
  <c r="CQ68" i="3"/>
  <c r="CQ67" i="3"/>
  <c r="CQ34" i="3"/>
  <c r="CW78" i="2"/>
  <c r="CW77" i="2"/>
  <c r="CW76" i="2"/>
  <c r="CW75" i="2"/>
  <c r="CW74" i="2"/>
  <c r="CW73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4" i="2"/>
  <c r="CW53" i="2"/>
  <c r="CW52" i="2"/>
  <c r="CW50" i="2"/>
  <c r="CW49" i="2"/>
  <c r="CW47" i="2"/>
  <c r="CW46" i="2"/>
  <c r="CW45" i="2"/>
  <c r="CW43" i="2"/>
  <c r="CW42" i="2"/>
  <c r="CW40" i="2"/>
  <c r="CW39" i="2"/>
  <c r="CW37" i="2"/>
  <c r="CW36" i="2"/>
  <c r="CW35" i="2"/>
  <c r="CW34" i="2"/>
  <c r="CW33" i="2"/>
  <c r="CW31" i="2"/>
  <c r="CW26" i="2"/>
  <c r="CW25" i="2"/>
  <c r="CW20" i="2"/>
  <c r="CW19" i="2"/>
  <c r="CQ63" i="3"/>
  <c r="CQ53" i="3"/>
  <c r="CQ51" i="3"/>
  <c r="CQ41" i="3"/>
  <c r="CQ38" i="3"/>
  <c r="CQ33" i="3"/>
  <c r="CQ64" i="3"/>
  <c r="CQ54" i="3"/>
  <c r="CQ49" i="3"/>
  <c r="CQ48" i="3"/>
  <c r="CQ46" i="3"/>
  <c r="CQ45" i="3"/>
  <c r="CQ44" i="3"/>
  <c r="CQ40" i="3"/>
  <c r="CQ39" i="3"/>
  <c r="CQ37" i="3"/>
  <c r="CQ36" i="3"/>
  <c r="CQ35" i="3"/>
  <c r="CW38" i="2"/>
  <c r="CW29" i="2"/>
  <c r="CW24" i="2"/>
  <c r="CW23" i="2"/>
  <c r="CW22" i="2"/>
  <c r="CW21" i="2"/>
  <c r="CW18" i="2"/>
  <c r="CQ69" i="3"/>
  <c r="CQ59" i="3"/>
  <c r="CQ31" i="3"/>
  <c r="F14" i="1" l="1"/>
  <c r="F13" i="1"/>
  <c r="F12" i="1"/>
  <c r="CQ32" i="3"/>
  <c r="CP77" i="3"/>
  <c r="CQ19" i="3"/>
  <c r="CQ77" i="3" s="1"/>
  <c r="CL19" i="3"/>
  <c r="CL77" i="3" s="1"/>
  <c r="D3" i="3"/>
  <c r="E6" i="1"/>
  <c r="CH13" i="3"/>
  <c r="I3" i="2"/>
  <c r="F11" i="1"/>
  <c r="D25" i="1"/>
  <c r="CW72" i="2"/>
  <c r="CW79" i="2" s="1"/>
  <c r="CR72" i="2"/>
  <c r="CR79" i="2" s="1"/>
  <c r="B6" i="1"/>
  <c r="I3" i="3"/>
  <c r="D3" i="2"/>
  <c r="CN13" i="2"/>
  <c r="E25" i="1"/>
  <c r="F24" i="1"/>
  <c r="F23" i="1"/>
  <c r="F22" i="1"/>
  <c r="F21" i="1"/>
  <c r="F20" i="1"/>
  <c r="F19" i="1"/>
  <c r="F18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H6" i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<sst xmlns="http://schemas.openxmlformats.org/spreadsheetml/2006/main" count="592" uniqueCount="176">
  <si>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</si>
  <si>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</si>
  <si>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</si>
  <si>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</si>
  <si>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</si>
  <si>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</si>
  <si>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</si>
  <si>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</si>
  <si>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</si>
  <si>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</si>
  <si>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</si>
  <si>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</si>
  <si>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</si>
  <si>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</si>
  <si>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</si>
  <si>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</si>
  <si>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</si>
  <si>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</si>
  <si>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</si>
  <si>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</si>
  <si>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</si>
  <si>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</si>
  <si>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</si>
  <si>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</si>
  <si>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</si>
  <si>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</si>
  <si>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</si>
  <si>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</si>
  <si>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</si>
  <si>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</si>
  <si>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</si>
  <si>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</si>
  <si>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</si>
  <si>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</si>
  <si>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</si>
  <si>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</si>
  <si>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</si>
  <si>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</si>
  <si>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</si>
  <si>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</si>
  <si>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</si>
  <si>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</si>
  <si>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</si>
  <si>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</si>
  <si>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</si>
  <si>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</si>
  <si>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</si>
  <si>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</si>
  <si>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</si>
  <si>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</si>
  <si>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</si>
  <si>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</si>
  <si>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</si>
  <si>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</si>
  <si>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</si>
  <si>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</si>
  <si>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</si>
  <si>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</si>
  <si>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</si>
  <si>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</si>
  <si>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</si>
  <si>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</si>
  <si>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</si>
  <si>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</si>
  <si>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</si>
  <si>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</si>
  <si>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</si>
  <si>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</si>
  <si>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</si>
  <si>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</si>
  <si>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</si>
  <si>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</si>
  <si>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</si>
  <si>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</si>
  <si>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</si>
  <si>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</si>
  <si>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</si>
  <si>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</si>
  <si>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</si>
  <si>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</si>
  <si>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</si>
  <si>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</si>
  <si>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</si>
  <si>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</si>
  <si>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</si>
  <si>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</si>
  <si>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</si>
  <si>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</si>
  <si>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</si>
  <si>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</si>
  <si>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</si>
  <si>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</si>
  <si>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</si>
  <si>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</si>
  <si>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</si>
  <si>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</si>
  <si>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</si>
  <si>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</si>
  <si>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</si>
  <si>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</si>
  <si>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</si>
  <si>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</si>
  <si>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</si>
  <si>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</si>
  <si>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</si>
  <si>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</si>
  <si>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</si>
  <si>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</si>
  <si>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</si>
  <si>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</si>
  <si>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</si>
  <si>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</si>
  <si>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11:01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</si>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</sst>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930</v>
      </c>
      <c r="C6" s="89"/>
      <c r="E6" s="88">
        <f>'Programa CAJAS REPORTE DIARIO'!CH77</f>
        <v>2570</v>
      </c>
      <c r="F6" s="89"/>
      <c r="H6" s="101">
        <f>B6+E6</f>
        <v>3500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22</v>
      </c>
      <c r="E24" s="72">
        <f>'Programa CAJAS REPORTE DIARIO'!AU77</f>
        <v>95</v>
      </c>
      <c r="F24" s="72">
        <f t="shared" si="0"/>
        <v>117</v>
      </c>
      <c r="G24" s="72">
        <f t="shared" si="1"/>
        <v>3500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930</v>
      </c>
      <c r="E25" s="75">
        <f>SUM(E11:E24)</f>
        <v>2570</v>
      </c>
      <c r="F25" s="75">
        <f>SUM(F11:F24)</f>
        <v>3500</v>
      </c>
      <c r="G25" s="75">
        <f>F25</f>
        <v>3500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930</v>
      </c>
      <c r="F3" s="79" t="s">
        <v>1</v>
      </c>
      <c r="I3" s="80">
        <f>'Programa CAJAS REPORTE DIARIO'!CH77+CN79</f>
        <v>3500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22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930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201</v>
      </c>
      <c r="CP27" s="27">
        <f t="shared" si="4"/>
        <v>201</v>
      </c>
      <c r="CQ27" s="22">
        <v>0</v>
      </c>
      <c r="CR27" s="22">
        <f t="shared" si="5"/>
        <v>201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5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118</v>
      </c>
      <c r="CP29" s="27">
        <f t="shared" si="4"/>
        <v>118</v>
      </c>
      <c r="CQ29" s="22">
        <v>0</v>
      </c>
      <c r="CR29" s="22">
        <f t="shared" si="5"/>
        <v>118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288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15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77</v>
      </c>
      <c r="CP56" s="27">
        <f t="shared" si="11"/>
        <v>77</v>
      </c>
      <c r="CQ56" s="22">
        <v>0</v>
      </c>
      <c r="CR56" s="22">
        <f t="shared" si="12"/>
        <v>77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-77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22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930</v>
      </c>
      <c r="CP79" s="25">
        <f>+SUM(CP14:CP78)</f>
        <v>930</v>
      </c>
      <c r="CQ79" s="25">
        <f>+SUM(CQ14:CQ78)</f>
        <v>0</v>
      </c>
      <c r="CR79" s="25">
        <f>+SUM(CR14:CR78)</f>
        <v>930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6336.5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2570</v>
      </c>
      <c r="F3" s="79" t="s">
        <v>1</v>
      </c>
      <c r="I3" s="80">
        <f>'Programa CASETAS REPORTE DIARIO'!CN79+CH77</f>
        <v>3500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95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2570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5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442</v>
      </c>
      <c r="CJ27" s="27">
        <f t="shared" si="3"/>
        <v>442</v>
      </c>
      <c r="CK27" s="22">
        <v>0</v>
      </c>
      <c r="CL27" s="22">
        <f t="shared" si="4"/>
        <v>442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5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332</v>
      </c>
      <c r="CJ28" s="27">
        <f t="shared" si="3"/>
        <v>332</v>
      </c>
      <c r="CK28" s="22">
        <v>0</v>
      </c>
      <c r="CL28" s="22">
        <f t="shared" si="4"/>
        <v>332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-152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4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109</v>
      </c>
      <c r="CJ29" s="27">
        <f t="shared" si="3"/>
        <v>109</v>
      </c>
      <c r="CK29" s="22">
        <v>0</v>
      </c>
      <c r="CL29" s="22">
        <f t="shared" si="4"/>
        <v>109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1227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27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113</v>
      </c>
      <c r="CJ37" s="27">
        <f t="shared" si="3"/>
        <v>113</v>
      </c>
      <c r="CK37" s="22">
        <v>0</v>
      </c>
      <c r="CL37" s="22">
        <f t="shared" si="4"/>
        <v>113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462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6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65</v>
      </c>
      <c r="CJ41" s="27">
        <f t="shared" si="3"/>
        <v>65</v>
      </c>
      <c r="CK41" s="22">
        <v>0</v>
      </c>
      <c r="CL41" s="22">
        <f t="shared" si="4"/>
        <v>65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515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14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190</v>
      </c>
      <c r="CJ43" s="27">
        <f t="shared" si="3"/>
        <v>190</v>
      </c>
      <c r="CK43" s="22">
        <v>0</v>
      </c>
      <c r="CL43" s="22">
        <f t="shared" si="4"/>
        <v>190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-170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14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187</v>
      </c>
      <c r="CJ53" s="27">
        <f t="shared" si="11"/>
        <v>187</v>
      </c>
      <c r="CK53" s="22">
        <v>0</v>
      </c>
      <c r="CL53" s="22">
        <f t="shared" si="12"/>
        <v>187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-119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3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86</v>
      </c>
      <c r="CJ55" s="27">
        <f t="shared" si="11"/>
        <v>86</v>
      </c>
      <c r="CK55" s="22">
        <v>0</v>
      </c>
      <c r="CL55" s="22">
        <f t="shared" si="12"/>
        <v>86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-56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95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2570</v>
      </c>
      <c r="CJ77" s="25">
        <f>+SUM(CJ14:CJ76)</f>
        <v>2570</v>
      </c>
      <c r="CK77" s="25">
        <f>+SUM(CK14:CK76)</f>
        <v>0</v>
      </c>
      <c r="CL77" s="25">
        <f>+SUM(CL14:CL76)</f>
        <v>2570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8824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2026-10-30T17:01:30Z</dcterms:modified>
</cp:coreProperties>
</file>