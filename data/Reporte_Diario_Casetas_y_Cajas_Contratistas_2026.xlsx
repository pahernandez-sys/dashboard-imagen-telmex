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F7E56AA-1A55-4337-BFFE-51B70007393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E22" i="1" s="1"/>
  <c r="AR77" i="3"/>
  <c r="E21" i="1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Q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Q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Q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Q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Q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35" i="3" l="1"/>
  <c r="CQ19" i="3"/>
  <c r="CQ46" i="3"/>
  <c r="CQ32" i="3"/>
  <c r="CQ59" i="3"/>
  <c r="CQ38" i="3"/>
  <c r="CW43" i="2"/>
  <c r="CW17" i="2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D22" i="1"/>
  <c r="F22" i="1" s="1"/>
  <c r="AM13" i="2"/>
  <c r="D21" i="1"/>
  <c r="F21" i="1" s="1"/>
  <c r="AL13" i="2"/>
  <c r="D20" i="1"/>
  <c r="F20" i="1" s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O77" i="3"/>
  <c r="CP14" i="3"/>
  <c r="CH77" i="3"/>
  <c r="CJ14" i="3"/>
  <c r="F11" i="1"/>
  <c r="CV14" i="2"/>
  <c r="CU79" i="2"/>
  <c r="CN79" i="2"/>
  <c r="CP14" i="2"/>
  <c r="CQ74" i="3"/>
  <c r="CQ73" i="3"/>
  <c r="CQ72" i="3"/>
  <c r="CQ71" i="3"/>
  <c r="CQ70" i="3"/>
  <c r="CQ69" i="3"/>
  <c r="CQ68" i="3"/>
  <c r="CQ67" i="3"/>
  <c r="CQ66" i="3"/>
  <c r="CQ65" i="3"/>
  <c r="CQ64" i="3"/>
  <c r="CQ56" i="3"/>
  <c r="CQ55" i="3"/>
  <c r="CQ45" i="3"/>
  <c r="CQ39" i="3"/>
  <c r="CQ3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Q21" i="3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Q52" i="3"/>
  <c r="CQ50" i="3"/>
  <c r="CQ42" i="3"/>
  <c r="CQ41" i="3"/>
  <c r="CQ40" i="3"/>
  <c r="CQ34" i="3"/>
  <c r="CQ31" i="3"/>
  <c r="CQ28" i="3"/>
  <c r="CQ25" i="3"/>
  <c r="CQ23" i="3"/>
  <c r="CQ22" i="3"/>
  <c r="CQ20" i="3"/>
  <c r="CQ18" i="3"/>
  <c r="CQ17" i="3"/>
  <c r="CW16" i="2"/>
  <c r="CW15" i="2"/>
  <c r="CQ76" i="3"/>
  <c r="CQ75" i="3"/>
  <c r="CQ63" i="3"/>
  <c r="CQ61" i="3"/>
  <c r="CQ60" i="3"/>
  <c r="CQ58" i="3"/>
  <c r="CQ57" i="3"/>
  <c r="CQ54" i="3"/>
  <c r="CQ53" i="3"/>
  <c r="CQ51" i="3"/>
  <c r="CQ49" i="3"/>
  <c r="CQ48" i="3"/>
  <c r="CQ47" i="3"/>
  <c r="CQ44" i="3"/>
  <c r="CQ43" i="3"/>
  <c r="CQ36" i="3"/>
  <c r="CQ33" i="3"/>
  <c r="CQ30" i="3"/>
  <c r="CQ27" i="3"/>
  <c r="CQ15" i="3"/>
  <c r="F18" i="1" l="1"/>
  <c r="F17" i="1"/>
  <c r="F16" i="1"/>
  <c r="F15" i="1"/>
  <c r="F14" i="1"/>
  <c r="F13" i="1"/>
  <c r="F23" i="1" s="1"/>
  <c r="G23" i="1" s="1"/>
  <c r="F12" i="1"/>
  <c r="F19" i="1"/>
  <c r="D23" i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CV79" i="2"/>
  <c r="CW14" i="2"/>
  <c r="CW79" i="2" s="1"/>
  <c r="B6" i="1"/>
  <c r="I3" i="3"/>
  <c r="CN13" i="2"/>
  <c r="D3" i="2"/>
  <c r="CP79" i="2"/>
  <c r="CR14" i="2"/>
  <c r="CR79" i="2" s="1"/>
  <c r="G13" i="1" l="1"/>
  <c r="G14" i="1" s="1"/>
  <c r="G15" i="1" s="1"/>
  <c r="G16" i="1" s="1"/>
  <c r="G17" i="1" s="1"/>
  <c r="G18" i="1" s="1"/>
  <c r="G19" i="1" s="1"/>
  <c r="G20" i="1" s="1"/>
  <c r="G21" i="1" s="1"/>
  <c r="G22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<sst xmlns="http://schemas.openxmlformats.org/spreadsheetml/2006/main" count="586" uniqueCount="174">
  <si>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</si>
  <si>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</si>
  <si>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</si>
  <si>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</si>
  <si>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</si>
  <si>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</si>
  <si>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</si>
  <si>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</si>
  <si>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</si>
  <si>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</si>
  <si>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</si>
  <si>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</si>
  <si>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</si>
  <si>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</si>
  <si>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</si>
  <si>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</si>
  <si>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</si>
  <si>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</si>
  <si>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</si>
  <si>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</si>
  <si>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</si>
  <si>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</si>
  <si>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</si>
  <si>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</si>
  <si>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</si>
  <si>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</si>
  <si>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</si>
  <si>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</si>
  <si>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</si>
  <si>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</si>
  <si>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</si>
  <si>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</si>
  <si>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</si>
  <si>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</si>
  <si>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</si>
  <si>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</si>
  <si>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</si>
  <si>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</si>
  <si>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</si>
  <si>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</si>
  <si>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</si>
  <si>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</si>
  <si>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</si>
  <si>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</si>
  <si>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</si>
  <si>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</si>
  <si>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</si>
  <si>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</si>
  <si>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</si>
  <si>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</si>
  <si>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</si>
  <si>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</si>
  <si>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</si>
  <si>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</si>
  <si>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</si>
  <si>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</si>
  <si>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</si>
  <si>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</si>
  <si>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</si>
  <si>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</si>
  <si>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</si>
  <si>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</si>
  <si>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</si>
  <si>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</si>
  <si>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</si>
  <si>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</si>
  <si>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</si>
  <si>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</si>
  <si>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</si>
  <si>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</si>
  <si>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</si>
  <si>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</si>
  <si>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</si>
  <si>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</si>
  <si>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</si>
  <si>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</si>
  <si>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</si>
  <si>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</si>
  <si>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</si>
  <si>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</si>
  <si>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</si>
  <si>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</si>
  <si>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</si>
  <si>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</si>
  <si>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</si>
  <si>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</si>
  <si>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</si>
  <si>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</si>
  <si>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</si>
  <si>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</si>
  <si>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</si>
  <si>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</si>
  <si>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</si>
  <si>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</si>
  <si>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</si>
  <si>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</si>
  <si>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</si>
  <si>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</si>
  <si>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</si>
  <si>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</si>
  <si>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</si>
  <si>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</si>
  <si>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</si>
  <si>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</si>
  <si>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</si>
  <si>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</si>
  <si>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</si>
  <si>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</si>
  <si>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</si>
  <si>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</si>
  <si>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</si>
  <si>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</si>
  <si>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15:31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</si>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</sst>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612</v>
      </c>
      <c r="C6" s="89"/>
      <c r="E6" s="88">
        <f>'Programa CAJAS REPORTE DIARIO'!CH77</f>
        <v>1536</v>
      </c>
      <c r="F6" s="89"/>
      <c r="H6" s="101">
        <f>B6+E6</f>
        <v>2148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130</v>
      </c>
      <c r="E22" s="72">
        <f>'Programa CAJAS REPORTE DIARIO'!AS77</f>
        <v>211</v>
      </c>
      <c r="F22" s="72">
        <f t="shared" si="0"/>
        <v>341</v>
      </c>
      <c r="G22" s="72">
        <f t="shared" si="1"/>
        <v>2148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612</v>
      </c>
      <c r="E23" s="75">
        <f>SUM(E11:E22)</f>
        <v>1536</v>
      </c>
      <c r="F23" s="75">
        <f>SUM(F11:F22)</f>
        <v>2148</v>
      </c>
      <c r="G23" s="75">
        <f>F23</f>
        <v>2148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612</v>
      </c>
      <c r="F3" s="79" t="s">
        <v>1</v>
      </c>
      <c r="I3" s="80">
        <f>'Programa CAJAS REPORTE DIARIO'!CH77+CN79</f>
        <v>2148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130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612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28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178</v>
      </c>
      <c r="CP27" s="27">
        <f t="shared" si="4"/>
        <v>178</v>
      </c>
      <c r="CQ27" s="22">
        <v>0</v>
      </c>
      <c r="CR27" s="22">
        <f t="shared" si="5"/>
        <v>178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58</v>
      </c>
      <c r="CP42" s="27">
        <f t="shared" si="4"/>
        <v>58</v>
      </c>
      <c r="CQ42" s="22">
        <v>0</v>
      </c>
      <c r="CR42" s="22">
        <f t="shared" si="5"/>
        <v>58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31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33</v>
      </c>
      <c r="CP58" s="27">
        <f t="shared" si="11"/>
        <v>33</v>
      </c>
      <c r="CQ58" s="22">
        <v>0</v>
      </c>
      <c r="CR58" s="22">
        <f t="shared" si="12"/>
        <v>33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1646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130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612</v>
      </c>
      <c r="CP79" s="25">
        <f>+SUM(CP14:CP78)</f>
        <v>612</v>
      </c>
      <c r="CQ79" s="25">
        <f>+SUM(CQ14:CQ78)</f>
        <v>0</v>
      </c>
      <c r="CR79" s="25">
        <f>+SUM(CR14:CR78)</f>
        <v>612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6470.5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1536</v>
      </c>
      <c r="F3" s="79" t="s">
        <v>1</v>
      </c>
      <c r="I3" s="80">
        <f>'Programa CASETAS REPORTE DIARIO'!CN79+CH77</f>
        <v>2148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211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1536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361</v>
      </c>
      <c r="CJ27" s="27">
        <f t="shared" si="3"/>
        <v>361</v>
      </c>
      <c r="CK27" s="22">
        <v>0</v>
      </c>
      <c r="CL27" s="22">
        <f t="shared" si="4"/>
        <v>361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255</v>
      </c>
      <c r="CJ28" s="27">
        <f t="shared" si="3"/>
        <v>255</v>
      </c>
      <c r="CK28" s="22">
        <v>0</v>
      </c>
      <c r="CL28" s="22">
        <f t="shared" si="4"/>
        <v>255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6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88</v>
      </c>
      <c r="CJ35" s="27">
        <f t="shared" si="3"/>
        <v>88</v>
      </c>
      <c r="CK35" s="22">
        <v>0</v>
      </c>
      <c r="CL35" s="22">
        <f t="shared" si="4"/>
        <v>88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14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183</v>
      </c>
      <c r="CJ46" s="27">
        <f t="shared" ref="CJ46:CJ76" si="11">CH46</f>
        <v>183</v>
      </c>
      <c r="CK46" s="22">
        <v>0</v>
      </c>
      <c r="CL46" s="22">
        <f t="shared" ref="CL46:CL77" si="12">CJ46+CK46</f>
        <v>183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1321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19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60</v>
      </c>
      <c r="CJ57" s="27">
        <f t="shared" si="11"/>
        <v>60</v>
      </c>
      <c r="CK57" s="22">
        <v>0</v>
      </c>
      <c r="CL57" s="22">
        <f t="shared" si="12"/>
        <v>60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193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211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1536</v>
      </c>
      <c r="CJ77" s="25">
        <f>+SUM(CJ14:CJ76)</f>
        <v>1536</v>
      </c>
      <c r="CK77" s="25">
        <f>+SUM(CK14:CK76)</f>
        <v>0</v>
      </c>
      <c r="CL77" s="25">
        <f>+SUM(CL14:CL76)</f>
        <v>1536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6971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2026-10-28T21:31:21Z</dcterms:modified>
</cp:coreProperties>
</file>