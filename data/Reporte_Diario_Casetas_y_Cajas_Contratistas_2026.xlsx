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13CC393-1F10-403C-A0DB-930DCBB8B88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Q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6" i="3" l="1"/>
  <c r="CQ24" i="3"/>
  <c r="CQ15" i="3"/>
  <c r="CQ34" i="3"/>
  <c r="CQ2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J20" i="3"/>
  <c r="CH77" i="3"/>
  <c r="CP19" i="3"/>
  <c r="CQ19" i="3" s="1"/>
  <c r="CO77" i="3"/>
  <c r="CQ14" i="3"/>
  <c r="CP77" i="3"/>
  <c r="CL14" i="3"/>
  <c r="CJ77" i="3"/>
  <c r="F11" i="1"/>
  <c r="D23" i="1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6" i="3"/>
  <c r="CQ35" i="3"/>
  <c r="CQ33" i="3"/>
  <c r="CQ32" i="3"/>
  <c r="CQ31" i="3"/>
  <c r="CQ27" i="3"/>
  <c r="CQ22" i="3"/>
  <c r="CQ18" i="3"/>
  <c r="CQ40" i="3"/>
  <c r="CQ39" i="3"/>
  <c r="CQ38" i="3"/>
  <c r="CQ37" i="3"/>
  <c r="CQ30" i="3"/>
  <c r="CQ29" i="3"/>
  <c r="CQ25" i="3"/>
  <c r="CQ21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17" i="3"/>
  <c r="CQ16" i="3"/>
  <c r="CQ20" i="3" l="1"/>
  <c r="CQ77" i="3" s="1"/>
  <c r="CL2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P79" i="2"/>
  <c r="CR14" i="2"/>
  <c r="CR79" i="2" s="1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<sst xmlns="http://schemas.openxmlformats.org/spreadsheetml/2006/main" count="586" uniqueCount="174">
  <si>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</si>
  <si>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</si>
  <si>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</si>
  <si>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</si>
  <si>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</si>
  <si>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</si>
  <si>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</si>
  <si>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</si>
  <si>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</si>
  <si>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</si>
  <si>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</si>
  <si>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</si>
  <si>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</si>
  <si>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</si>
  <si>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</si>
  <si>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</si>
  <si>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</si>
  <si>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</si>
  <si>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</si>
  <si>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</si>
  <si>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</si>
  <si>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</si>
  <si>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</si>
  <si>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</si>
  <si>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</si>
  <si>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</si>
  <si>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</si>
  <si>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</si>
  <si>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</si>
  <si>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</si>
  <si>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</si>
  <si>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</si>
  <si>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</si>
  <si>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</si>
  <si>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</si>
  <si>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</si>
  <si>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</si>
  <si>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</si>
  <si>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</si>
  <si>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</si>
  <si>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</si>
  <si>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</si>
  <si>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</si>
  <si>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</si>
  <si>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</si>
  <si>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</si>
  <si>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</si>
  <si>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</si>
  <si>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</si>
  <si>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</si>
  <si>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</si>
  <si>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</si>
  <si>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</si>
  <si>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</si>
  <si>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</si>
  <si>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</si>
  <si>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</si>
  <si>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</si>
  <si>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</si>
  <si>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</si>
  <si>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</si>
  <si>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</si>
  <si>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</si>
  <si>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</si>
  <si>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</si>
  <si>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</si>
  <si>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</si>
  <si>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</si>
  <si>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</si>
  <si>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</si>
  <si>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</si>
  <si>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</si>
  <si>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</si>
  <si>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</si>
  <si>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</si>
  <si>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</si>
  <si>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</si>
  <si>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</si>
  <si>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</si>
  <si>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</si>
  <si>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</si>
  <si>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</si>
  <si>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</si>
  <si>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</si>
  <si>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</si>
  <si>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</si>
  <si>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</si>
  <si>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</si>
  <si>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</si>
  <si>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</si>
  <si>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</si>
  <si>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</si>
  <si>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</si>
  <si>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</si>
  <si>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</si>
  <si>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</si>
  <si>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</si>
  <si>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</si>
  <si>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</si>
  <si>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</si>
  <si>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</si>
  <si>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</si>
  <si>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</si>
  <si>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</si>
  <si>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</si>
  <si>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</si>
  <si>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</si>
  <si>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</si>
  <si>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</si>
  <si>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</si>
  <si>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</si>
  <si>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</si>
  <si>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20:58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</si>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</sst>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1721</v>
      </c>
      <c r="F6" s="89"/>
      <c r="H6" s="101">
        <f>B6+E6</f>
        <v>2380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396</v>
      </c>
      <c r="F22" s="72">
        <f t="shared" si="0"/>
        <v>573</v>
      </c>
      <c r="G22" s="72">
        <f t="shared" si="1"/>
        <v>2380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1721</v>
      </c>
      <c r="F23" s="75">
        <f>SUM(F11:F22)</f>
        <v>2380</v>
      </c>
      <c r="G23" s="75">
        <f>F23</f>
        <v>2380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1721</v>
      </c>
      <c r="F3" s="79" t="s">
        <v>1</v>
      </c>
      <c r="I3" s="80">
        <f>'Programa CASETAS REPORTE DIARIO'!CN79+CH77</f>
        <v>2380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23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36</v>
      </c>
      <c r="CJ41" s="27">
        <f t="shared" si="3"/>
        <v>36</v>
      </c>
      <c r="CK41" s="22">
        <v>0</v>
      </c>
      <c r="CL41" s="22">
        <f t="shared" si="4"/>
        <v>36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-23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1721</v>
      </c>
      <c r="CJ77" s="25">
        <f>+SUM(CJ14:CJ76)</f>
        <v>1721</v>
      </c>
      <c r="CK77" s="25">
        <f>+SUM(CK14:CK76)</f>
        <v>0</v>
      </c>
      <c r="CL77" s="25">
        <f>+SUM(CL14:CL76)</f>
        <v>1721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2026-10-29T02:58:04Z</dcterms:modified>
</cp:coreProperties>
</file>