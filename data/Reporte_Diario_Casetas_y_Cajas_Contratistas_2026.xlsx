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05AEA96-B369-4464-B462-A8DF187DA2BD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DC19" i="3"/>
  <c r="CO19" i="3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17" i="3" l="1"/>
  <c r="CQ56" i="3"/>
  <c r="CW52" i="2"/>
  <c r="CW56" i="2"/>
  <c r="CW44" i="2"/>
  <c r="CQ65" i="3"/>
  <c r="CQ62" i="3"/>
  <c r="CQ59" i="3"/>
  <c r="CQ58" i="3"/>
  <c r="CW64" i="2"/>
  <c r="CR64" i="2"/>
  <c r="E23" i="1"/>
  <c r="AT13" i="3"/>
  <c r="AS13" i="3"/>
  <c r="E22" i="1"/>
  <c r="AR13" i="3"/>
  <c r="E21" i="1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AJ13" i="3"/>
  <c r="E13" i="1"/>
  <c r="AI13" i="3"/>
  <c r="E12" i="1"/>
  <c r="AH13" i="3"/>
  <c r="E11" i="1"/>
  <c r="E24" i="1" s="1"/>
  <c r="CH77" i="3"/>
  <c r="CJ20" i="3"/>
  <c r="CJ77" i="3" s="1"/>
  <c r="CP19" i="3"/>
  <c r="CQ19" i="3" s="1"/>
  <c r="CO77" i="3"/>
  <c r="CQ14" i="3"/>
  <c r="CP77" i="3"/>
  <c r="CL14" i="3"/>
  <c r="AN13" i="2"/>
  <c r="D23" i="1"/>
  <c r="F23" i="1" s="1"/>
  <c r="AM13" i="2"/>
  <c r="D22" i="1"/>
  <c r="F22" i="1" s="1"/>
  <c r="AL13" i="2"/>
  <c r="D21" i="1"/>
  <c r="F21" i="1" s="1"/>
  <c r="D20" i="1"/>
  <c r="F20" i="1" s="1"/>
  <c r="AK13" i="2"/>
  <c r="D19" i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AE13" i="2"/>
  <c r="D14" i="1"/>
  <c r="AD13" i="2"/>
  <c r="D13" i="1"/>
  <c r="D12" i="1"/>
  <c r="AC13" i="2"/>
  <c r="AB13" i="2"/>
  <c r="D11" i="1"/>
  <c r="CP18" i="2"/>
  <c r="CN79" i="2"/>
  <c r="CU79" i="2"/>
  <c r="CV17" i="2"/>
  <c r="CW17" i="2" s="1"/>
  <c r="CW14" i="2"/>
  <c r="CV79" i="2"/>
  <c r="CR14" i="2"/>
  <c r="CP79" i="2"/>
  <c r="CQ76" i="3"/>
  <c r="CQ75" i="3"/>
  <c r="CQ74" i="3"/>
  <c r="CQ73" i="3"/>
  <c r="CQ72" i="3"/>
  <c r="CQ71" i="3"/>
  <c r="CQ70" i="3"/>
  <c r="CQ69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6" i="3"/>
  <c r="CQ15" i="3"/>
  <c r="CQ1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5" i="2"/>
  <c r="CW53" i="2"/>
  <c r="CW55" i="2"/>
  <c r="CQ68" i="3"/>
  <c r="CQ66" i="3"/>
  <c r="CQ64" i="3"/>
  <c r="CQ63" i="3"/>
  <c r="CQ57" i="3"/>
  <c r="CW63" i="2"/>
  <c r="CW62" i="2"/>
  <c r="CW61" i="2"/>
  <c r="CW60" i="2"/>
  <c r="CW59" i="2"/>
  <c r="CW58" i="2"/>
  <c r="CQ67" i="3"/>
  <c r="CQ61" i="3"/>
  <c r="CQ60" i="3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F14" i="1" l="1"/>
  <c r="F13" i="1"/>
  <c r="F19" i="1"/>
  <c r="I3" i="2"/>
  <c r="D3" i="3"/>
  <c r="E6" i="1"/>
  <c r="CH13" i="3"/>
  <c r="CQ20" i="3"/>
  <c r="CQ77" i="3" s="1"/>
  <c r="CL20" i="3"/>
  <c r="CL77" i="3" s="1"/>
  <c r="F11" i="1"/>
  <c r="D24" i="1"/>
  <c r="CW18" i="2"/>
  <c r="CW79" i="2" s="1"/>
  <c r="CR18" i="2"/>
  <c r="CR79" i="2" s="1"/>
  <c r="B6" i="1"/>
  <c r="D3" i="2"/>
  <c r="CN13" i="2"/>
  <c r="I3" i="3"/>
  <c r="F12" i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<sst xmlns="http://schemas.openxmlformats.org/spreadsheetml/2006/main" count="589" uniqueCount="175">
  <si>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</si>
  <si>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</si>
  <si>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</si>
  <si>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</si>
  <si>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</si>
  <si>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</si>
  <si>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</si>
  <si>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</si>
  <si>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</si>
  <si>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</si>
  <si>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</si>
  <si>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</si>
  <si>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</si>
  <si>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</si>
  <si>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</si>
  <si>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</si>
  <si>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</si>
  <si>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</si>
  <si>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</si>
  <si>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</si>
  <si>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</si>
  <si>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</si>
  <si>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</si>
  <si>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</si>
  <si>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</si>
  <si>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</si>
  <si>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</si>
  <si>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</si>
  <si>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</si>
  <si>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</si>
  <si>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</si>
  <si>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</si>
  <si>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</si>
  <si>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</si>
  <si>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</si>
  <si>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</si>
  <si>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</si>
  <si>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</si>
  <si>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</si>
  <si>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</si>
  <si>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</si>
  <si>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</si>
  <si>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</si>
  <si>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</si>
  <si>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</si>
  <si>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</si>
  <si>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</si>
  <si>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</si>
  <si>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</si>
  <si>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</si>
  <si>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</si>
  <si>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</si>
  <si>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</si>
  <si>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</si>
  <si>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</si>
  <si>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</si>
  <si>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</si>
  <si>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</si>
  <si>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</si>
  <si>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</si>
  <si>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</si>
  <si>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</si>
  <si>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</si>
  <si>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</si>
  <si>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</si>
  <si>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</si>
  <si>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</si>
  <si>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</si>
  <si>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</si>
  <si>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</si>
  <si>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</si>
  <si>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</si>
  <si>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</si>
  <si>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</si>
  <si>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</si>
  <si>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</si>
  <si>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</si>
  <si>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</si>
  <si>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</si>
  <si>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</si>
  <si>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</si>
  <si>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</si>
  <si>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</si>
  <si>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</si>
  <si>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</si>
  <si>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</si>
  <si>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</si>
  <si>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</si>
  <si>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</si>
  <si>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</si>
  <si>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</si>
  <si>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</si>
  <si>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</si>
  <si>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</si>
  <si>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</si>
  <si>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</si>
  <si>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</si>
  <si>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</si>
  <si>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</si>
  <si>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</si>
  <si>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</si>
  <si>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</si>
  <si>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</si>
  <si>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</si>
  <si>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</si>
  <si>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</si>
  <si>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</si>
  <si>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</si>
  <si>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</si>
  <si>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</si>
  <si>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</si>
  <si>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</si>
  <si>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20:49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</si>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</sst>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2461</v>
      </c>
      <c r="F6" s="89"/>
      <c r="H6" s="101">
        <f>B6+E6</f>
        <v>3369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732</v>
      </c>
      <c r="F23" s="70">
        <f t="shared" si="0"/>
        <v>981</v>
      </c>
      <c r="G23" s="70">
        <f t="shared" si="1"/>
        <v>3369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2461</v>
      </c>
      <c r="F24" s="75">
        <f>SUM(F11:F23)</f>
        <v>3369</v>
      </c>
      <c r="G24" s="75">
        <f>F24</f>
        <v>3369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2461</v>
      </c>
      <c r="F3" s="79" t="s">
        <v>1</v>
      </c>
      <c r="I3" s="80">
        <f>'Programa CASETAS REPORTE DIARIO'!CN79+CH77</f>
        <v>3369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164</v>
      </c>
      <c r="CJ53" s="27">
        <f t="shared" si="11"/>
        <v>164</v>
      </c>
      <c r="CK53" s="22">
        <v>0</v>
      </c>
      <c r="CL53" s="22">
        <f t="shared" si="12"/>
        <v>164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2461</v>
      </c>
      <c r="CJ77" s="25">
        <f>+SUM(CJ14:CJ76)</f>
        <v>2461</v>
      </c>
      <c r="CK77" s="25">
        <f>+SUM(CK14:CK76)</f>
        <v>0</v>
      </c>
      <c r="CL77" s="25">
        <f>+SUM(CL14:CL76)</f>
        <v>2461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2026-10-30T02:49:03Z</dcterms:modified>
</cp:coreProperties>
</file>