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413D5D3-EC47-46E1-823F-E9AD3D7517E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2" i="2" l="1"/>
  <c r="CW41" i="2"/>
  <c r="CW35" i="2"/>
  <c r="CW34" i="2"/>
  <c r="CW37" i="2"/>
  <c r="CW21" i="2"/>
  <c r="CW45" i="2"/>
  <c r="CW36" i="2"/>
  <c r="CW33" i="2"/>
  <c r="CW43" i="2"/>
  <c r="CW27" i="2"/>
  <c r="CW18" i="2"/>
  <c r="CW19" i="2"/>
  <c r="CW31" i="2"/>
  <c r="CR31" i="2"/>
  <c r="CW71" i="2"/>
  <c r="CW26" i="2"/>
  <c r="E23" i="1"/>
  <c r="F23" i="1" s="1"/>
  <c r="AT13" i="3"/>
  <c r="AS13" i="3"/>
  <c r="E22" i="1"/>
  <c r="F22" i="1" s="1"/>
  <c r="AR13" i="3"/>
  <c r="E21" i="1"/>
  <c r="F21" i="1" s="1"/>
  <c r="AQ13" i="3"/>
  <c r="E20" i="1"/>
  <c r="F20" i="1" s="1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AH13" i="3"/>
  <c r="CJ46" i="3"/>
  <c r="CH77" i="3"/>
  <c r="CP32" i="3"/>
  <c r="CO77" i="3"/>
  <c r="CQ14" i="3"/>
  <c r="CL14" i="3"/>
  <c r="CJ77" i="3"/>
  <c r="F11" i="1"/>
  <c r="D24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38" i="2"/>
  <c r="CW25" i="2"/>
  <c r="CW24" i="2"/>
  <c r="CW23" i="2"/>
  <c r="CW20" i="2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7" i="2"/>
  <c r="CW46" i="2"/>
  <c r="CW44" i="2"/>
  <c r="CW40" i="2"/>
  <c r="CW39" i="2"/>
  <c r="CW32" i="2"/>
  <c r="CW30" i="2"/>
  <c r="CW29" i="2"/>
  <c r="CW17" i="2"/>
  <c r="CW16" i="2"/>
  <c r="CW15" i="2"/>
  <c r="E24" i="1" l="1"/>
  <c r="CQ46" i="3"/>
  <c r="CL46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CR14" i="2"/>
  <c r="CR79" i="2" s="1"/>
  <c r="CP79" i="2"/>
  <c r="B6" i="1"/>
  <c r="I3" i="3"/>
  <c r="CN13" i="2"/>
  <c r="D3" i="2"/>
  <c r="CQ32" i="3"/>
  <c r="CP77" i="3"/>
  <c r="CQ77" i="3" l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<sst xmlns="http://schemas.openxmlformats.org/spreadsheetml/2006/main" count="589" uniqueCount="175">
  <si>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</si>
  <si>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</si>
  <si>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</si>
  <si>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</si>
  <si>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</si>
  <si>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</si>
  <si>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</si>
  <si>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</si>
  <si>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</si>
  <si>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</si>
  <si>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</si>
  <si>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</si>
  <si>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</si>
  <si>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</si>
  <si>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</si>
  <si>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</si>
  <si>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</si>
  <si>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</si>
  <si>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</si>
  <si>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</si>
  <si>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</si>
  <si>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</si>
  <si>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</si>
  <si>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</si>
  <si>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</si>
  <si>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</si>
  <si>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</si>
  <si>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</si>
  <si>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</si>
  <si>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</si>
  <si>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</si>
  <si>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</si>
  <si>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</si>
  <si>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</si>
  <si>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</si>
  <si>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</si>
  <si>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</si>
  <si>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</si>
  <si>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</si>
  <si>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</si>
  <si>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</si>
  <si>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</si>
  <si>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</si>
  <si>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</si>
  <si>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</si>
  <si>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</si>
  <si>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</si>
  <si>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</si>
  <si>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</si>
  <si>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</si>
  <si>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</si>
  <si>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</si>
  <si>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</si>
  <si>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</si>
  <si>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</si>
  <si>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</si>
  <si>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</si>
  <si>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</si>
  <si>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</si>
  <si>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</si>
  <si>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</si>
  <si>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</si>
  <si>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</si>
  <si>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</si>
  <si>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</si>
  <si>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</si>
  <si>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</si>
  <si>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</si>
  <si>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</si>
  <si>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</si>
  <si>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</si>
  <si>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</si>
  <si>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</si>
  <si>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</si>
  <si>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</si>
  <si>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</si>
  <si>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</si>
  <si>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</si>
  <si>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</si>
  <si>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</si>
  <si>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</si>
  <si>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</si>
  <si>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</si>
  <si>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</si>
  <si>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</si>
  <si>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</si>
  <si>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</si>
  <si>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</si>
  <si>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</si>
  <si>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</si>
  <si>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</si>
  <si>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</si>
  <si>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</si>
  <si>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</si>
  <si>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</si>
  <si>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</si>
  <si>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</si>
  <si>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</si>
  <si>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</si>
  <si>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</si>
  <si>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</si>
  <si>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</si>
  <si>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</si>
  <si>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</si>
  <si>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</si>
  <si>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</si>
  <si>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</si>
  <si>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</si>
  <si>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</si>
  <si>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</si>
  <si>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</si>
  <si>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</si>
  <si>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14:51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</si>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</sst>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779</v>
      </c>
      <c r="C6" s="89"/>
      <c r="E6" s="88">
        <f>'Programa CAJAS REPORTE DIARIO'!CH77</f>
        <v>2087</v>
      </c>
      <c r="F6" s="89"/>
      <c r="H6" s="101">
        <f>B6+E6</f>
        <v>2866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120</v>
      </c>
      <c r="E23" s="70">
        <f>'Programa CAJAS REPORTE DIARIO'!AT77</f>
        <v>358</v>
      </c>
      <c r="F23" s="70">
        <f t="shared" si="0"/>
        <v>478</v>
      </c>
      <c r="G23" s="70">
        <f t="shared" si="1"/>
        <v>2866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779</v>
      </c>
      <c r="E24" s="75">
        <f>SUM(E11:E23)</f>
        <v>2087</v>
      </c>
      <c r="F24" s="75">
        <f>SUM(F11:F23)</f>
        <v>2866</v>
      </c>
      <c r="G24" s="75">
        <f>F24</f>
        <v>2866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779</v>
      </c>
      <c r="F3" s="79" t="s">
        <v>1</v>
      </c>
      <c r="I3" s="80">
        <f>'Programa CAJAS REPORTE DIARIO'!CH77+CN79</f>
        <v>2866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779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23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168</v>
      </c>
      <c r="CP28" s="27">
        <f t="shared" si="4"/>
        <v>168</v>
      </c>
      <c r="CQ28" s="22">
        <v>0</v>
      </c>
      <c r="CR28" s="22">
        <f t="shared" si="5"/>
        <v>168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83</v>
      </c>
      <c r="CP42" s="27">
        <f t="shared" si="4"/>
        <v>83</v>
      </c>
      <c r="CQ42" s="22">
        <v>0</v>
      </c>
      <c r="CR42" s="22">
        <f t="shared" si="5"/>
        <v>83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37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37</v>
      </c>
      <c r="CP56" s="27">
        <f t="shared" si="11"/>
        <v>37</v>
      </c>
      <c r="CQ56" s="22">
        <v>0</v>
      </c>
      <c r="CR56" s="22">
        <f t="shared" si="12"/>
        <v>37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779</v>
      </c>
      <c r="CP79" s="25">
        <f>+SUM(CP14:CP78)</f>
        <v>779</v>
      </c>
      <c r="CQ79" s="25">
        <f>+SUM(CQ14:CQ78)</f>
        <v>0</v>
      </c>
      <c r="CR79" s="25">
        <f>+SUM(CR14:CR78)</f>
        <v>779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2087</v>
      </c>
      <c r="F3" s="79" t="s">
        <v>1</v>
      </c>
      <c r="I3" s="80">
        <f>'Programa CASETAS REPORTE DIARIO'!CN79+CH77</f>
        <v>2866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358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2087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403</v>
      </c>
      <c r="CJ27" s="27">
        <f t="shared" si="3"/>
        <v>403</v>
      </c>
      <c r="CK27" s="22">
        <v>0</v>
      </c>
      <c r="CL27" s="22">
        <f t="shared" si="4"/>
        <v>403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52</v>
      </c>
      <c r="CJ29" s="27">
        <f t="shared" si="3"/>
        <v>52</v>
      </c>
      <c r="CK29" s="22">
        <v>0</v>
      </c>
      <c r="CL29" s="22">
        <f t="shared" si="4"/>
        <v>52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11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54</v>
      </c>
      <c r="CJ37" s="27">
        <f t="shared" si="3"/>
        <v>54</v>
      </c>
      <c r="CK37" s="22">
        <v>0</v>
      </c>
      <c r="CL37" s="22">
        <f t="shared" si="4"/>
        <v>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83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88</v>
      </c>
      <c r="CJ53" s="27">
        <f t="shared" si="11"/>
        <v>88</v>
      </c>
      <c r="CK53" s="22">
        <v>0</v>
      </c>
      <c r="CL53" s="22">
        <f t="shared" si="12"/>
        <v>88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62</v>
      </c>
      <c r="CJ61" s="27">
        <f t="shared" si="11"/>
        <v>62</v>
      </c>
      <c r="CK61" s="22">
        <v>0</v>
      </c>
      <c r="CL61" s="22">
        <f t="shared" si="12"/>
        <v>62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358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2087</v>
      </c>
      <c r="CJ77" s="25">
        <f>+SUM(CJ14:CJ76)</f>
        <v>2087</v>
      </c>
      <c r="CK77" s="25">
        <f>+SUM(CK14:CK76)</f>
        <v>0</v>
      </c>
      <c r="CL77" s="25">
        <f>+SUM(CL14:CL76)</f>
        <v>2087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9145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2026-10-29T20:51:30Z</dcterms:modified>
</cp:coreProperties>
</file>